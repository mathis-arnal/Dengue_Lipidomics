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elle.durbec\Documents\01-Prestations\MISSE-METABODEN\Second batch 20 ech controles\"/>
    </mc:Choice>
  </mc:AlternateContent>
  <bookViews>
    <workbookView xWindow="0" yWindow="0" windowWidth="28800" windowHeight="12000"/>
  </bookViews>
  <sheets>
    <sheet name="Results" sheetId="14" r:id="rId1"/>
    <sheet name="Raw Datas" sheetId="17" state="hidden" r:id="rId2"/>
    <sheet name="Identifiants" sheetId="18" r:id="rId3"/>
    <sheet name="PUFA's metabolismes" sheetId="1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4" l="1"/>
  <c r="K63" i="14" s="1"/>
  <c r="L6" i="14"/>
  <c r="L63" i="14" s="1"/>
  <c r="M6" i="14"/>
  <c r="N6" i="14"/>
  <c r="O6" i="14"/>
  <c r="P6" i="14"/>
  <c r="Q6" i="14"/>
  <c r="Q63" i="14" s="1"/>
  <c r="R6" i="14"/>
  <c r="R63" i="14" s="1"/>
  <c r="S6" i="14"/>
  <c r="T6" i="14"/>
  <c r="T63" i="14" s="1"/>
  <c r="U6" i="14"/>
  <c r="V6" i="14"/>
  <c r="V63" i="14" s="1"/>
  <c r="M63" i="14"/>
  <c r="N63" i="14"/>
  <c r="O63" i="14"/>
  <c r="P63" i="14"/>
  <c r="S63" i="14"/>
  <c r="U63" i="14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C7" i="14" l="1"/>
  <c r="D7" i="14" s="1"/>
  <c r="B6" i="14"/>
  <c r="B63" i="14" s="1"/>
  <c r="D6" i="14"/>
  <c r="E6" i="14"/>
  <c r="F6" i="14"/>
  <c r="F63" i="14" s="1"/>
  <c r="G6" i="14"/>
  <c r="G63" i="14" s="1"/>
  <c r="H6" i="14"/>
  <c r="I6" i="14"/>
  <c r="I63" i="14" s="1"/>
  <c r="J6" i="14"/>
  <c r="J63" i="14" s="1"/>
  <c r="C6" i="14"/>
  <c r="C55" i="17"/>
  <c r="C56" i="17"/>
  <c r="C36" i="14" s="1"/>
  <c r="C57" i="17"/>
  <c r="C47" i="14" s="1"/>
  <c r="C58" i="17"/>
  <c r="C59" i="17"/>
  <c r="C60" i="17"/>
  <c r="C15" i="14" s="1"/>
  <c r="C61" i="17"/>
  <c r="C16" i="14" s="1"/>
  <c r="C62" i="17"/>
  <c r="C63" i="17"/>
  <c r="C64" i="17"/>
  <c r="C65" i="17"/>
  <c r="C59" i="14" s="1"/>
  <c r="C66" i="17"/>
  <c r="C57" i="14" s="1"/>
  <c r="C67" i="17"/>
  <c r="C30" i="14" s="1"/>
  <c r="C68" i="17"/>
  <c r="C37" i="14" s="1"/>
  <c r="C69" i="17"/>
  <c r="C70" i="17"/>
  <c r="C71" i="17"/>
  <c r="C72" i="17"/>
  <c r="C46" i="14" s="1"/>
  <c r="C73" i="17"/>
  <c r="C54" i="14" s="1"/>
  <c r="C74" i="17"/>
  <c r="C75" i="17"/>
  <c r="C29" i="14" s="1"/>
  <c r="C76" i="17"/>
  <c r="C55" i="14" s="1"/>
  <c r="C77" i="17"/>
  <c r="C78" i="17"/>
  <c r="C79" i="17"/>
  <c r="C80" i="17"/>
  <c r="C42" i="14" s="1"/>
  <c r="C81" i="17"/>
  <c r="C43" i="14" s="1"/>
  <c r="C82" i="17"/>
  <c r="C83" i="17"/>
  <c r="C38" i="14" s="1"/>
  <c r="C84" i="17"/>
  <c r="C85" i="17"/>
  <c r="C86" i="17"/>
  <c r="C87" i="17"/>
  <c r="C88" i="17"/>
  <c r="C89" i="17"/>
  <c r="C90" i="17"/>
  <c r="C91" i="17"/>
  <c r="C25" i="14" s="1"/>
  <c r="C92" i="17"/>
  <c r="C26" i="14" s="1"/>
  <c r="C93" i="17"/>
  <c r="C51" i="14" s="1"/>
  <c r="C94" i="17"/>
  <c r="C95" i="17"/>
  <c r="C96" i="17"/>
  <c r="C97" i="17"/>
  <c r="C20" i="14" s="1"/>
  <c r="C98" i="17"/>
  <c r="C22" i="14" s="1"/>
  <c r="C99" i="17"/>
  <c r="C21" i="14" s="1"/>
  <c r="C100" i="17"/>
  <c r="C56" i="14" s="1"/>
  <c r="C101" i="17"/>
  <c r="C53" i="14" s="1"/>
  <c r="C54" i="17"/>
  <c r="D63" i="14"/>
  <c r="E63" i="14"/>
  <c r="H63" i="14"/>
  <c r="A101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54" i="17"/>
  <c r="C63" i="14"/>
  <c r="C52" i="14"/>
  <c r="C28" i="14"/>
  <c r="C13" i="14"/>
  <c r="C32" i="14"/>
  <c r="C24" i="14"/>
  <c r="C40" i="14"/>
  <c r="C39" i="14"/>
  <c r="C18" i="14"/>
  <c r="C65" i="14" s="1"/>
  <c r="C31" i="14"/>
  <c r="C49" i="14"/>
  <c r="C27" i="14"/>
  <c r="C45" i="14"/>
  <c r="C8" i="14"/>
  <c r="D43" i="14" l="1"/>
  <c r="D13" i="14"/>
  <c r="D24" i="14"/>
  <c r="D32" i="14"/>
  <c r="D40" i="14"/>
  <c r="D55" i="14"/>
  <c r="D38" i="14"/>
  <c r="E7" i="14"/>
  <c r="D54" i="14"/>
  <c r="D14" i="14"/>
  <c r="D25" i="14"/>
  <c r="D33" i="14"/>
  <c r="D42" i="14"/>
  <c r="D56" i="14"/>
  <c r="D10" i="14"/>
  <c r="D64" i="14" s="1"/>
  <c r="D59" i="14"/>
  <c r="D15" i="14"/>
  <c r="D26" i="14"/>
  <c r="D34" i="14"/>
  <c r="D45" i="14"/>
  <c r="D57" i="14"/>
  <c r="D58" i="14"/>
  <c r="D21" i="14"/>
  <c r="D20" i="14"/>
  <c r="D11" i="14"/>
  <c r="D30" i="14"/>
  <c r="D47" i="14"/>
  <c r="D16" i="14"/>
  <c r="D27" i="14"/>
  <c r="D35" i="14"/>
  <c r="D46" i="14"/>
  <c r="D68" i="14" s="1"/>
  <c r="D29" i="14"/>
  <c r="D22" i="14"/>
  <c r="D9" i="14"/>
  <c r="D18" i="14"/>
  <c r="D65" i="14" s="1"/>
  <c r="D28" i="14"/>
  <c r="D36" i="14"/>
  <c r="D48" i="14"/>
  <c r="D60" i="14"/>
  <c r="D37" i="14"/>
  <c r="D51" i="14"/>
  <c r="D69" i="14" s="1"/>
  <c r="D52" i="14"/>
  <c r="D12" i="14"/>
  <c r="D23" i="14"/>
  <c r="D31" i="14"/>
  <c r="D39" i="14"/>
  <c r="D53" i="14"/>
  <c r="D49" i="14"/>
  <c r="D8" i="14"/>
  <c r="D67" i="14"/>
  <c r="C67" i="14"/>
  <c r="D66" i="14"/>
  <c r="C60" i="14"/>
  <c r="C12" i="14"/>
  <c r="C11" i="14"/>
  <c r="E10" i="14"/>
  <c r="C48" i="14"/>
  <c r="C68" i="14" s="1"/>
  <c r="C58" i="14"/>
  <c r="C33" i="14"/>
  <c r="C14" i="14"/>
  <c r="C34" i="14"/>
  <c r="C10" i="14"/>
  <c r="C9" i="14"/>
  <c r="C23" i="14"/>
  <c r="C35" i="14"/>
  <c r="E13" i="14" l="1"/>
  <c r="E12" i="14"/>
  <c r="E24" i="14"/>
  <c r="E32" i="14"/>
  <c r="E42" i="14"/>
  <c r="E53" i="14"/>
  <c r="E49" i="14"/>
  <c r="E14" i="14"/>
  <c r="E25" i="14"/>
  <c r="E33" i="14"/>
  <c r="E43" i="14"/>
  <c r="E54" i="14"/>
  <c r="E21" i="14"/>
  <c r="F7" i="14"/>
  <c r="E60" i="14"/>
  <c r="E15" i="14"/>
  <c r="E26" i="14"/>
  <c r="E35" i="14"/>
  <c r="E45" i="14"/>
  <c r="E55" i="14"/>
  <c r="E20" i="14"/>
  <c r="E48" i="14"/>
  <c r="E51" i="14"/>
  <c r="E57" i="14"/>
  <c r="E16" i="14"/>
  <c r="E27" i="14"/>
  <c r="E36" i="14"/>
  <c r="E46" i="14"/>
  <c r="E56" i="14"/>
  <c r="E8" i="14"/>
  <c r="E38" i="14"/>
  <c r="E59" i="14"/>
  <c r="E30" i="14"/>
  <c r="E34" i="14"/>
  <c r="E18" i="14"/>
  <c r="E65" i="14" s="1"/>
  <c r="E28" i="14"/>
  <c r="E37" i="14"/>
  <c r="E47" i="14"/>
  <c r="E58" i="14"/>
  <c r="E29" i="14"/>
  <c r="E9" i="14"/>
  <c r="E64" i="14" s="1"/>
  <c r="E22" i="14"/>
  <c r="E11" i="14"/>
  <c r="E23" i="14"/>
  <c r="E31" i="14"/>
  <c r="E40" i="14"/>
  <c r="E52" i="14"/>
  <c r="E39" i="14"/>
  <c r="C69" i="14"/>
  <c r="C64" i="14"/>
  <c r="D70" i="14"/>
  <c r="C66" i="14"/>
  <c r="C70" i="14" s="1"/>
  <c r="F21" i="14" l="1"/>
  <c r="F9" i="14"/>
  <c r="F31" i="14"/>
  <c r="F52" i="14"/>
  <c r="F57" i="14"/>
  <c r="F58" i="14"/>
  <c r="F25" i="14"/>
  <c r="F10" i="14"/>
  <c r="F20" i="14"/>
  <c r="F32" i="14"/>
  <c r="F43" i="14"/>
  <c r="F53" i="14"/>
  <c r="F27" i="14"/>
  <c r="F38" i="14"/>
  <c r="F11" i="14"/>
  <c r="F22" i="14"/>
  <c r="F33" i="14"/>
  <c r="F45" i="14"/>
  <c r="F54" i="14"/>
  <c r="F12" i="14"/>
  <c r="F23" i="14"/>
  <c r="F55" i="14"/>
  <c r="F47" i="14"/>
  <c r="F14" i="14"/>
  <c r="F48" i="14"/>
  <c r="G7" i="14"/>
  <c r="F29" i="14"/>
  <c r="F34" i="14"/>
  <c r="F46" i="14"/>
  <c r="F56" i="14"/>
  <c r="F40" i="14"/>
  <c r="F26" i="14"/>
  <c r="F30" i="14"/>
  <c r="F13" i="14"/>
  <c r="F24" i="14"/>
  <c r="F35" i="14"/>
  <c r="F36" i="14"/>
  <c r="F37" i="14"/>
  <c r="F8" i="14"/>
  <c r="F16" i="14"/>
  <c r="F28" i="14"/>
  <c r="F39" i="14"/>
  <c r="F51" i="14"/>
  <c r="F59" i="14"/>
  <c r="F18" i="14"/>
  <c r="F65" i="14" s="1"/>
  <c r="F42" i="14"/>
  <c r="F67" i="14" s="1"/>
  <c r="F60" i="14"/>
  <c r="F15" i="14"/>
  <c r="F49" i="14"/>
  <c r="E66" i="14"/>
  <c r="E67" i="14"/>
  <c r="E69" i="14"/>
  <c r="E68" i="14"/>
  <c r="E70" i="14" s="1"/>
  <c r="F64" i="14" l="1"/>
  <c r="F69" i="14"/>
  <c r="G12" i="14"/>
  <c r="G23" i="14"/>
  <c r="G32" i="14"/>
  <c r="G42" i="14"/>
  <c r="G52" i="14"/>
  <c r="G8" i="14"/>
  <c r="G59" i="14"/>
  <c r="G49" i="14"/>
  <c r="G56" i="14"/>
  <c r="G13" i="14"/>
  <c r="G24" i="14"/>
  <c r="G33" i="14"/>
  <c r="G43" i="14"/>
  <c r="G53" i="14"/>
  <c r="G29" i="14"/>
  <c r="G30" i="14"/>
  <c r="G26" i="14"/>
  <c r="G14" i="14"/>
  <c r="G25" i="14"/>
  <c r="G34" i="14"/>
  <c r="G45" i="14"/>
  <c r="G68" i="14" s="1"/>
  <c r="G54" i="14"/>
  <c r="G35" i="14"/>
  <c r="G46" i="14"/>
  <c r="G10" i="14"/>
  <c r="G60" i="14"/>
  <c r="G9" i="14"/>
  <c r="G16" i="14"/>
  <c r="G27" i="14"/>
  <c r="G57" i="14"/>
  <c r="G48" i="14"/>
  <c r="G21" i="14"/>
  <c r="H7" i="14"/>
  <c r="G55" i="14"/>
  <c r="G18" i="14"/>
  <c r="G65" i="14" s="1"/>
  <c r="G28" i="14"/>
  <c r="G36" i="14"/>
  <c r="G47" i="14"/>
  <c r="G58" i="14"/>
  <c r="G37" i="14"/>
  <c r="G38" i="14"/>
  <c r="G15" i="14"/>
  <c r="G11" i="14"/>
  <c r="G22" i="14"/>
  <c r="G31" i="14"/>
  <c r="G40" i="14"/>
  <c r="G51" i="14"/>
  <c r="G20" i="14"/>
  <c r="G39" i="14"/>
  <c r="F68" i="14"/>
  <c r="F66" i="14"/>
  <c r="G64" i="14" l="1"/>
  <c r="G67" i="14"/>
  <c r="H8" i="14"/>
  <c r="H21" i="14"/>
  <c r="H29" i="14"/>
  <c r="H37" i="14"/>
  <c r="H47" i="14"/>
  <c r="H59" i="14"/>
  <c r="H9" i="14"/>
  <c r="H22" i="14"/>
  <c r="H30" i="14"/>
  <c r="H38" i="14"/>
  <c r="H48" i="14"/>
  <c r="H60" i="14"/>
  <c r="H27" i="14"/>
  <c r="H53" i="14"/>
  <c r="H12" i="14"/>
  <c r="H23" i="14"/>
  <c r="H31" i="14"/>
  <c r="H39" i="14"/>
  <c r="H49" i="14"/>
  <c r="H11" i="14"/>
  <c r="H43" i="14"/>
  <c r="H18" i="14"/>
  <c r="H65" i="14" s="1"/>
  <c r="H51" i="14"/>
  <c r="H13" i="14"/>
  <c r="H24" i="14"/>
  <c r="H32" i="14"/>
  <c r="H40" i="14"/>
  <c r="H52" i="14"/>
  <c r="H15" i="14"/>
  <c r="H34" i="14"/>
  <c r="H55" i="14"/>
  <c r="H58" i="14"/>
  <c r="H35" i="14"/>
  <c r="H10" i="14"/>
  <c r="H14" i="14"/>
  <c r="H25" i="14"/>
  <c r="H33" i="14"/>
  <c r="H42" i="14"/>
  <c r="H54" i="14"/>
  <c r="I7" i="14"/>
  <c r="H26" i="14"/>
  <c r="H45" i="14"/>
  <c r="H16" i="14"/>
  <c r="H20" i="14"/>
  <c r="H28" i="14"/>
  <c r="H36" i="14"/>
  <c r="H46" i="14"/>
  <c r="H57" i="14"/>
  <c r="H56" i="14"/>
  <c r="G66" i="14"/>
  <c r="G69" i="14"/>
  <c r="F70" i="14"/>
  <c r="H67" i="14" l="1"/>
  <c r="H66" i="14"/>
  <c r="G70" i="14"/>
  <c r="H68" i="14"/>
  <c r="H64" i="14"/>
  <c r="I35" i="14"/>
  <c r="I16" i="14"/>
  <c r="I27" i="14"/>
  <c r="I37" i="14"/>
  <c r="I48" i="14"/>
  <c r="I57" i="14"/>
  <c r="I13" i="14"/>
  <c r="I54" i="14"/>
  <c r="I25" i="14"/>
  <c r="I39" i="14"/>
  <c r="I18" i="14"/>
  <c r="I65" i="14" s="1"/>
  <c r="I28" i="14"/>
  <c r="I38" i="14"/>
  <c r="I49" i="14"/>
  <c r="I58" i="14"/>
  <c r="I12" i="14"/>
  <c r="I55" i="14"/>
  <c r="I9" i="14"/>
  <c r="I20" i="14"/>
  <c r="I29" i="14"/>
  <c r="I40" i="14"/>
  <c r="I51" i="14"/>
  <c r="I59" i="14"/>
  <c r="I23" i="14"/>
  <c r="I34" i="14"/>
  <c r="I10" i="14"/>
  <c r="I21" i="14"/>
  <c r="I30" i="14"/>
  <c r="I42" i="14"/>
  <c r="I52" i="14"/>
  <c r="I60" i="14"/>
  <c r="I8" i="14"/>
  <c r="J7" i="14"/>
  <c r="I14" i="14"/>
  <c r="I24" i="14"/>
  <c r="I11" i="14"/>
  <c r="I22" i="14"/>
  <c r="I31" i="14"/>
  <c r="I43" i="14"/>
  <c r="I53" i="14"/>
  <c r="I33" i="14"/>
  <c r="I46" i="14"/>
  <c r="I32" i="14"/>
  <c r="I15" i="14"/>
  <c r="I26" i="14"/>
  <c r="I36" i="14"/>
  <c r="I47" i="14"/>
  <c r="I56" i="14"/>
  <c r="I45" i="14"/>
  <c r="H69" i="14"/>
  <c r="I66" i="14" l="1"/>
  <c r="I68" i="14"/>
  <c r="K7" i="14"/>
  <c r="J18" i="14"/>
  <c r="J65" i="14" s="1"/>
  <c r="J10" i="14"/>
  <c r="J21" i="14"/>
  <c r="J32" i="14"/>
  <c r="J40" i="14"/>
  <c r="J53" i="14"/>
  <c r="J16" i="14"/>
  <c r="J51" i="14"/>
  <c r="J31" i="14"/>
  <c r="J11" i="14"/>
  <c r="J22" i="14"/>
  <c r="J33" i="14"/>
  <c r="J42" i="14"/>
  <c r="J54" i="14"/>
  <c r="J48" i="14"/>
  <c r="J12" i="14"/>
  <c r="J24" i="14"/>
  <c r="J34" i="14"/>
  <c r="J43" i="14"/>
  <c r="J55" i="14"/>
  <c r="J23" i="14"/>
  <c r="J15" i="14"/>
  <c r="J37" i="14"/>
  <c r="J58" i="14"/>
  <c r="J13" i="14"/>
  <c r="J25" i="14"/>
  <c r="J35" i="14"/>
  <c r="J46" i="14"/>
  <c r="J56" i="14"/>
  <c r="J49" i="14"/>
  <c r="J38" i="14"/>
  <c r="J14" i="14"/>
  <c r="J26" i="14"/>
  <c r="J36" i="14"/>
  <c r="J47" i="14"/>
  <c r="J57" i="14"/>
  <c r="J28" i="14"/>
  <c r="J27" i="14"/>
  <c r="J29" i="14"/>
  <c r="J45" i="14"/>
  <c r="J9" i="14"/>
  <c r="J20" i="14"/>
  <c r="J30" i="14"/>
  <c r="J39" i="14"/>
  <c r="J52" i="14"/>
  <c r="J60" i="14"/>
  <c r="J8" i="14"/>
  <c r="J59" i="14"/>
  <c r="I64" i="14"/>
  <c r="H70" i="14"/>
  <c r="I69" i="14"/>
  <c r="I67" i="14"/>
  <c r="J67" i="14" l="1"/>
  <c r="J66" i="14"/>
  <c r="I70" i="14"/>
  <c r="J68" i="14"/>
  <c r="J69" i="14"/>
  <c r="K54" i="14"/>
  <c r="K51" i="14"/>
  <c r="K69" i="14" s="1"/>
  <c r="K22" i="14"/>
  <c r="K18" i="14"/>
  <c r="K65" i="14" s="1"/>
  <c r="K45" i="14"/>
  <c r="K39" i="14"/>
  <c r="K37" i="14"/>
  <c r="K56" i="14"/>
  <c r="K53" i="14"/>
  <c r="K11" i="14"/>
  <c r="K27" i="14"/>
  <c r="K34" i="14"/>
  <c r="K49" i="14"/>
  <c r="K59" i="14"/>
  <c r="K46" i="14"/>
  <c r="L7" i="14"/>
  <c r="K21" i="14"/>
  <c r="K8" i="14"/>
  <c r="K64" i="14" s="1"/>
  <c r="K43" i="14"/>
  <c r="K15" i="14"/>
  <c r="K32" i="14"/>
  <c r="K13" i="14"/>
  <c r="K36" i="14"/>
  <c r="K42" i="14"/>
  <c r="K57" i="14"/>
  <c r="K28" i="14"/>
  <c r="K14" i="14"/>
  <c r="K29" i="14"/>
  <c r="K16" i="14"/>
  <c r="K30" i="14"/>
  <c r="K38" i="14"/>
  <c r="K52" i="14"/>
  <c r="K47" i="14"/>
  <c r="K24" i="14"/>
  <c r="K10" i="14"/>
  <c r="K26" i="14"/>
  <c r="K33" i="14"/>
  <c r="K48" i="14"/>
  <c r="K58" i="14"/>
  <c r="K20" i="14"/>
  <c r="K40" i="14"/>
  <c r="K23" i="14"/>
  <c r="K12" i="14"/>
  <c r="K9" i="14"/>
  <c r="K35" i="14"/>
  <c r="K31" i="14"/>
  <c r="K60" i="14"/>
  <c r="K55" i="14"/>
  <c r="K25" i="14"/>
  <c r="J64" i="14"/>
  <c r="J70" i="14" s="1"/>
  <c r="K66" i="14" l="1"/>
  <c r="K67" i="14"/>
  <c r="L13" i="14"/>
  <c r="L36" i="14"/>
  <c r="L32" i="14"/>
  <c r="L53" i="14"/>
  <c r="L23" i="14"/>
  <c r="L20" i="14"/>
  <c r="L46" i="14"/>
  <c r="L40" i="14"/>
  <c r="L38" i="14"/>
  <c r="L55" i="14"/>
  <c r="L42" i="14"/>
  <c r="L12" i="14"/>
  <c r="L28" i="14"/>
  <c r="L16" i="14"/>
  <c r="L51" i="14"/>
  <c r="L47" i="14"/>
  <c r="L60" i="14"/>
  <c r="L15" i="14"/>
  <c r="L9" i="14"/>
  <c r="L31" i="14"/>
  <c r="L54" i="14"/>
  <c r="L22" i="14"/>
  <c r="L35" i="14"/>
  <c r="L33" i="14"/>
  <c r="L21" i="14"/>
  <c r="L25" i="14"/>
  <c r="L30" i="14"/>
  <c r="L18" i="14"/>
  <c r="L65" i="14" s="1"/>
  <c r="L45" i="14"/>
  <c r="L68" i="14" s="1"/>
  <c r="L39" i="14"/>
  <c r="L59" i="14"/>
  <c r="L37" i="14"/>
  <c r="M7" i="14"/>
  <c r="L11" i="14"/>
  <c r="L27" i="14"/>
  <c r="L8" i="14"/>
  <c r="L64" i="14" s="1"/>
  <c r="L49" i="14"/>
  <c r="L52" i="14"/>
  <c r="L14" i="14"/>
  <c r="L34" i="14"/>
  <c r="L58" i="14"/>
  <c r="L24" i="14"/>
  <c r="L29" i="14"/>
  <c r="L26" i="14"/>
  <c r="L43" i="14"/>
  <c r="L48" i="14"/>
  <c r="L57" i="14"/>
  <c r="L10" i="14"/>
  <c r="L56" i="14"/>
  <c r="K68" i="14"/>
  <c r="K70" i="14" s="1"/>
  <c r="L66" i="14" l="1"/>
  <c r="L70" i="14" s="1"/>
  <c r="L67" i="14"/>
  <c r="M25" i="14"/>
  <c r="M30" i="14"/>
  <c r="M37" i="14"/>
  <c r="M42" i="14"/>
  <c r="M67" i="14" s="1"/>
  <c r="M9" i="14"/>
  <c r="M52" i="14"/>
  <c r="N7" i="14"/>
  <c r="M11" i="14"/>
  <c r="M47" i="14"/>
  <c r="M18" i="14"/>
  <c r="M65" i="14" s="1"/>
  <c r="M39" i="14"/>
  <c r="M58" i="14"/>
  <c r="M29" i="14"/>
  <c r="M40" i="14"/>
  <c r="M10" i="14"/>
  <c r="M12" i="14"/>
  <c r="M31" i="14"/>
  <c r="M14" i="14"/>
  <c r="M21" i="14"/>
  <c r="M36" i="14"/>
  <c r="M32" i="14"/>
  <c r="M48" i="14"/>
  <c r="M56" i="14"/>
  <c r="M55" i="14"/>
  <c r="M57" i="14"/>
  <c r="M26" i="14"/>
  <c r="M24" i="14"/>
  <c r="M46" i="14"/>
  <c r="M53" i="14"/>
  <c r="M8" i="14"/>
  <c r="M13" i="14"/>
  <c r="M51" i="14"/>
  <c r="M27" i="14"/>
  <c r="M16" i="14"/>
  <c r="M23" i="14"/>
  <c r="M20" i="14"/>
  <c r="M45" i="14"/>
  <c r="M68" i="14" s="1"/>
  <c r="M43" i="14"/>
  <c r="M60" i="14"/>
  <c r="M28" i="14"/>
  <c r="M15" i="14"/>
  <c r="M22" i="14"/>
  <c r="M38" i="14"/>
  <c r="M33" i="14"/>
  <c r="M54" i="14"/>
  <c r="M59" i="14"/>
  <c r="M35" i="14"/>
  <c r="M34" i="14"/>
  <c r="M49" i="14"/>
  <c r="L69" i="14"/>
  <c r="M66" i="14" l="1"/>
  <c r="M69" i="14"/>
  <c r="N14" i="14"/>
  <c r="N29" i="14"/>
  <c r="N53" i="14"/>
  <c r="N31" i="14"/>
  <c r="N24" i="14"/>
  <c r="N8" i="14"/>
  <c r="N13" i="14"/>
  <c r="N39" i="14"/>
  <c r="N36" i="14"/>
  <c r="N51" i="14"/>
  <c r="N60" i="14"/>
  <c r="N46" i="14"/>
  <c r="N30" i="14"/>
  <c r="N49" i="14"/>
  <c r="N25" i="14"/>
  <c r="N33" i="14"/>
  <c r="N56" i="14"/>
  <c r="N16" i="14"/>
  <c r="N23" i="14"/>
  <c r="N28" i="14"/>
  <c r="N55" i="14"/>
  <c r="N15" i="14"/>
  <c r="N22" i="14"/>
  <c r="N58" i="14"/>
  <c r="N11" i="14"/>
  <c r="N20" i="14"/>
  <c r="N32" i="14"/>
  <c r="N26" i="14"/>
  <c r="N12" i="14"/>
  <c r="N38" i="14"/>
  <c r="N34" i="14"/>
  <c r="N40" i="14"/>
  <c r="N59" i="14"/>
  <c r="N48" i="14"/>
  <c r="N43" i="14"/>
  <c r="N54" i="14"/>
  <c r="N10" i="14"/>
  <c r="N9" i="14"/>
  <c r="O7" i="14"/>
  <c r="N21" i="14"/>
  <c r="N37" i="14"/>
  <c r="N42" i="14"/>
  <c r="N35" i="14"/>
  <c r="N57" i="14"/>
  <c r="N18" i="14"/>
  <c r="N65" i="14" s="1"/>
  <c r="N47" i="14"/>
  <c r="N52" i="14"/>
  <c r="N27" i="14"/>
  <c r="N45" i="14"/>
  <c r="M64" i="14"/>
  <c r="M70" i="14" s="1"/>
  <c r="N64" i="14" l="1"/>
  <c r="N67" i="14"/>
  <c r="N66" i="14"/>
  <c r="N69" i="14"/>
  <c r="N68" i="14"/>
  <c r="O16" i="14"/>
  <c r="O23" i="14"/>
  <c r="O38" i="14"/>
  <c r="O34" i="14"/>
  <c r="O47" i="14"/>
  <c r="O57" i="14"/>
  <c r="O12" i="14"/>
  <c r="O48" i="14"/>
  <c r="O54" i="14"/>
  <c r="O59" i="14"/>
  <c r="O14" i="14"/>
  <c r="O60" i="14"/>
  <c r="O10" i="14"/>
  <c r="O26" i="14"/>
  <c r="O43" i="14"/>
  <c r="O56" i="14"/>
  <c r="O52" i="14"/>
  <c r="O20" i="14"/>
  <c r="O66" i="14" s="1"/>
  <c r="O15" i="14"/>
  <c r="O22" i="14"/>
  <c r="O37" i="14"/>
  <c r="O46" i="14"/>
  <c r="O11" i="14"/>
  <c r="O35" i="14"/>
  <c r="O27" i="14"/>
  <c r="O28" i="14"/>
  <c r="O25" i="14"/>
  <c r="O32" i="14"/>
  <c r="O29" i="14"/>
  <c r="O33" i="14"/>
  <c r="O24" i="14"/>
  <c r="O9" i="14"/>
  <c r="P7" i="14"/>
  <c r="O40" i="14"/>
  <c r="O30" i="14"/>
  <c r="O42" i="14"/>
  <c r="O67" i="14" s="1"/>
  <c r="O53" i="14"/>
  <c r="O31" i="14"/>
  <c r="O51" i="14"/>
  <c r="O39" i="14"/>
  <c r="O45" i="14"/>
  <c r="O68" i="14" s="1"/>
  <c r="O8" i="14"/>
  <c r="O64" i="14" s="1"/>
  <c r="O13" i="14"/>
  <c r="O49" i="14"/>
  <c r="O21" i="14"/>
  <c r="O36" i="14"/>
  <c r="O58" i="14"/>
  <c r="O18" i="14"/>
  <c r="O65" i="14" s="1"/>
  <c r="O55" i="14"/>
  <c r="P29" i="14" l="1"/>
  <c r="P39" i="14"/>
  <c r="P45" i="14"/>
  <c r="P33" i="14"/>
  <c r="P54" i="14"/>
  <c r="P30" i="14"/>
  <c r="P10" i="14"/>
  <c r="P49" i="14"/>
  <c r="P57" i="14"/>
  <c r="P55" i="14"/>
  <c r="P20" i="14"/>
  <c r="P15" i="14"/>
  <c r="P42" i="14"/>
  <c r="P12" i="14"/>
  <c r="P43" i="14"/>
  <c r="P53" i="14"/>
  <c r="P18" i="14"/>
  <c r="P65" i="14" s="1"/>
  <c r="P46" i="14"/>
  <c r="P28" i="14"/>
  <c r="P25" i="14"/>
  <c r="P32" i="14"/>
  <c r="P38" i="14"/>
  <c r="P56" i="14"/>
  <c r="P52" i="14"/>
  <c r="P14" i="14"/>
  <c r="P48" i="14"/>
  <c r="P60" i="14"/>
  <c r="P24" i="14"/>
  <c r="P9" i="14"/>
  <c r="Q7" i="14"/>
  <c r="P40" i="14"/>
  <c r="P36" i="14"/>
  <c r="P37" i="14"/>
  <c r="P58" i="14"/>
  <c r="P51" i="14"/>
  <c r="P11" i="14"/>
  <c r="P27" i="14"/>
  <c r="P59" i="14"/>
  <c r="P21" i="14"/>
  <c r="P8" i="14"/>
  <c r="P64" i="14" s="1"/>
  <c r="P13" i="14"/>
  <c r="P31" i="14"/>
  <c r="P35" i="14"/>
  <c r="P34" i="14"/>
  <c r="P16" i="14"/>
  <c r="P23" i="14"/>
  <c r="P47" i="14"/>
  <c r="P26" i="14"/>
  <c r="P22" i="14"/>
  <c r="O69" i="14"/>
  <c r="O70" i="14"/>
  <c r="N70" i="14"/>
  <c r="Q22" i="14" l="1"/>
  <c r="Q18" i="14"/>
  <c r="Q65" i="14" s="1"/>
  <c r="Q14" i="14"/>
  <c r="Q51" i="14"/>
  <c r="Q58" i="14"/>
  <c r="Q55" i="14"/>
  <c r="Q11" i="14"/>
  <c r="Q27" i="14"/>
  <c r="Q24" i="14"/>
  <c r="Q31" i="14"/>
  <c r="Q45" i="14"/>
  <c r="Q54" i="14"/>
  <c r="Q47" i="14"/>
  <c r="Q53" i="14"/>
  <c r="Q28" i="14"/>
  <c r="Q21" i="14"/>
  <c r="Q8" i="14"/>
  <c r="Q34" i="14"/>
  <c r="Q39" i="14"/>
  <c r="Q57" i="14"/>
  <c r="Q13" i="14"/>
  <c r="Q30" i="14"/>
  <c r="Q59" i="14"/>
  <c r="Q35" i="14"/>
  <c r="Q29" i="14"/>
  <c r="Q16" i="14"/>
  <c r="Q43" i="14"/>
  <c r="Q37" i="14"/>
  <c r="Q38" i="14"/>
  <c r="Q49" i="14"/>
  <c r="Q32" i="14"/>
  <c r="Q10" i="14"/>
  <c r="Q26" i="14"/>
  <c r="Q33" i="14"/>
  <c r="Q25" i="14"/>
  <c r="Q20" i="14"/>
  <c r="Q15" i="14"/>
  <c r="Q42" i="14"/>
  <c r="Q67" i="14" s="1"/>
  <c r="Q23" i="14"/>
  <c r="Q56" i="14"/>
  <c r="Q36" i="14"/>
  <c r="Q12" i="14"/>
  <c r="Q9" i="14"/>
  <c r="R7" i="14"/>
  <c r="Q40" i="14"/>
  <c r="Q46" i="14"/>
  <c r="Q48" i="14"/>
  <c r="Q60" i="14"/>
  <c r="Q52" i="14"/>
  <c r="P67" i="14"/>
  <c r="P69" i="14"/>
  <c r="P66" i="14"/>
  <c r="P70" i="14" s="1"/>
  <c r="P68" i="14"/>
  <c r="Q66" i="14" l="1"/>
  <c r="Q69" i="14"/>
  <c r="Q68" i="14"/>
  <c r="R29" i="14"/>
  <c r="R16" i="14"/>
  <c r="R34" i="14"/>
  <c r="R40" i="14"/>
  <c r="R39" i="14"/>
  <c r="R54" i="14"/>
  <c r="R51" i="14"/>
  <c r="R33" i="14"/>
  <c r="R36" i="14"/>
  <c r="R10" i="14"/>
  <c r="R26" i="14"/>
  <c r="R43" i="14"/>
  <c r="R38" i="14"/>
  <c r="R60" i="14"/>
  <c r="R37" i="14"/>
  <c r="R55" i="14"/>
  <c r="R13" i="14"/>
  <c r="R20" i="14"/>
  <c r="R15" i="14"/>
  <c r="R24" i="14"/>
  <c r="R48" i="14"/>
  <c r="R57" i="14"/>
  <c r="R53" i="14"/>
  <c r="R27" i="14"/>
  <c r="R46" i="14"/>
  <c r="R23" i="14"/>
  <c r="R28" i="14"/>
  <c r="R25" i="14"/>
  <c r="R14" i="14"/>
  <c r="R12" i="14"/>
  <c r="R9" i="14"/>
  <c r="S7" i="14"/>
  <c r="R42" i="14"/>
  <c r="R47" i="14"/>
  <c r="R49" i="14"/>
  <c r="R52" i="14"/>
  <c r="R56" i="14"/>
  <c r="R31" i="14"/>
  <c r="R22" i="14"/>
  <c r="R18" i="14"/>
  <c r="R65" i="14" s="1"/>
  <c r="R30" i="14"/>
  <c r="R59" i="14"/>
  <c r="R11" i="14"/>
  <c r="R35" i="14"/>
  <c r="R58" i="14"/>
  <c r="R21" i="14"/>
  <c r="R8" i="14"/>
  <c r="R45" i="14"/>
  <c r="R32" i="14"/>
  <c r="Q64" i="14"/>
  <c r="Q70" i="14" s="1"/>
  <c r="R66" i="14" l="1"/>
  <c r="R67" i="14"/>
  <c r="R68" i="14"/>
  <c r="S14" i="14"/>
  <c r="S29" i="14"/>
  <c r="S16" i="14"/>
  <c r="S43" i="14"/>
  <c r="S48" i="14"/>
  <c r="S32" i="14"/>
  <c r="S39" i="14"/>
  <c r="S18" i="14"/>
  <c r="S65" i="14" s="1"/>
  <c r="S24" i="14"/>
  <c r="S10" i="14"/>
  <c r="S26" i="14"/>
  <c r="S33" i="14"/>
  <c r="S52" i="14"/>
  <c r="S47" i="14"/>
  <c r="S40" i="14"/>
  <c r="S58" i="14"/>
  <c r="S59" i="14"/>
  <c r="S45" i="14"/>
  <c r="S13" i="14"/>
  <c r="S20" i="14"/>
  <c r="S36" i="14"/>
  <c r="S42" i="14"/>
  <c r="S60" i="14"/>
  <c r="S56" i="14"/>
  <c r="S31" i="14"/>
  <c r="S15" i="14"/>
  <c r="S35" i="14"/>
  <c r="S37" i="14"/>
  <c r="S53" i="14"/>
  <c r="S23" i="14"/>
  <c r="S28" i="14"/>
  <c r="S46" i="14"/>
  <c r="S55" i="14"/>
  <c r="S27" i="14"/>
  <c r="S12" i="14"/>
  <c r="S9" i="14"/>
  <c r="S30" i="14"/>
  <c r="S49" i="14"/>
  <c r="S51" i="14"/>
  <c r="S22" i="14"/>
  <c r="T7" i="14"/>
  <c r="S21" i="14"/>
  <c r="S8" i="14"/>
  <c r="S34" i="14"/>
  <c r="S38" i="14"/>
  <c r="S57" i="14"/>
  <c r="S54" i="14"/>
  <c r="S11" i="14"/>
  <c r="S25" i="14"/>
  <c r="R69" i="14"/>
  <c r="R64" i="14"/>
  <c r="R70" i="14" s="1"/>
  <c r="S64" i="14" l="1"/>
  <c r="S68" i="14"/>
  <c r="T15" i="14"/>
  <c r="T22" i="14"/>
  <c r="T9" i="14"/>
  <c r="T45" i="14"/>
  <c r="T39" i="14"/>
  <c r="T58" i="14"/>
  <c r="T55" i="14"/>
  <c r="T13" i="14"/>
  <c r="T56" i="14"/>
  <c r="T25" i="14"/>
  <c r="T30" i="14"/>
  <c r="T18" i="14"/>
  <c r="T65" i="14" s="1"/>
  <c r="T16" i="14"/>
  <c r="T49" i="14"/>
  <c r="T33" i="14"/>
  <c r="T57" i="14"/>
  <c r="T10" i="14"/>
  <c r="T23" i="14"/>
  <c r="T60" i="14"/>
  <c r="U7" i="14"/>
  <c r="T11" i="14"/>
  <c r="T27" i="14"/>
  <c r="T34" i="14"/>
  <c r="T8" i="14"/>
  <c r="T48" i="14"/>
  <c r="T52" i="14"/>
  <c r="T42" i="14"/>
  <c r="T67" i="14" s="1"/>
  <c r="T20" i="14"/>
  <c r="T14" i="14"/>
  <c r="T21" i="14"/>
  <c r="T37" i="14"/>
  <c r="T43" i="14"/>
  <c r="T53" i="14"/>
  <c r="T46" i="14"/>
  <c r="T26" i="14"/>
  <c r="T24" i="14"/>
  <c r="T29" i="14"/>
  <c r="T36" i="14"/>
  <c r="T32" i="14"/>
  <c r="T40" i="14"/>
  <c r="T51" i="14"/>
  <c r="T12" i="14"/>
  <c r="T28" i="14"/>
  <c r="T35" i="14"/>
  <c r="T31" i="14"/>
  <c r="T38" i="14"/>
  <c r="T54" i="14"/>
  <c r="T47" i="14"/>
  <c r="T59" i="14"/>
  <c r="S66" i="14"/>
  <c r="S69" i="14"/>
  <c r="S67" i="14"/>
  <c r="T66" i="14" l="1"/>
  <c r="U26" i="14"/>
  <c r="U12" i="14"/>
  <c r="U9" i="14"/>
  <c r="U45" i="14"/>
  <c r="U18" i="14"/>
  <c r="U65" i="14" s="1"/>
  <c r="U49" i="14"/>
  <c r="U53" i="14"/>
  <c r="U31" i="14"/>
  <c r="U40" i="14"/>
  <c r="U13" i="14"/>
  <c r="U51" i="14"/>
  <c r="U15" i="14"/>
  <c r="U22" i="14"/>
  <c r="U38" i="14"/>
  <c r="U33" i="14"/>
  <c r="U58" i="14"/>
  <c r="U43" i="14"/>
  <c r="U39" i="14"/>
  <c r="U8" i="14"/>
  <c r="U59" i="14"/>
  <c r="U54" i="14"/>
  <c r="U25" i="14"/>
  <c r="U11" i="14"/>
  <c r="U37" i="14"/>
  <c r="U42" i="14"/>
  <c r="U67" i="14" s="1"/>
  <c r="U48" i="14"/>
  <c r="U57" i="14"/>
  <c r="U46" i="14"/>
  <c r="U34" i="14"/>
  <c r="V7" i="14"/>
  <c r="U21" i="14"/>
  <c r="U47" i="14"/>
  <c r="U27" i="14"/>
  <c r="U52" i="14"/>
  <c r="U20" i="14"/>
  <c r="U23" i="14"/>
  <c r="U14" i="14"/>
  <c r="U29" i="14"/>
  <c r="U30" i="14"/>
  <c r="U32" i="14"/>
  <c r="U60" i="14"/>
  <c r="U55" i="14"/>
  <c r="U16" i="14"/>
  <c r="U35" i="14"/>
  <c r="U24" i="14"/>
  <c r="U10" i="14"/>
  <c r="U36" i="14"/>
  <c r="U56" i="14"/>
  <c r="U28" i="14"/>
  <c r="T68" i="14"/>
  <c r="T69" i="14"/>
  <c r="T64" i="14"/>
  <c r="T70" i="14" s="1"/>
  <c r="S70" i="14"/>
  <c r="U68" i="14" l="1"/>
  <c r="U64" i="14"/>
  <c r="U70" i="14" s="1"/>
  <c r="U69" i="14"/>
  <c r="U66" i="14"/>
  <c r="V16" i="14"/>
  <c r="V12" i="14"/>
  <c r="V48" i="14"/>
  <c r="V34" i="14"/>
  <c r="V53" i="14"/>
  <c r="V49" i="14"/>
  <c r="V56" i="14"/>
  <c r="V29" i="14"/>
  <c r="V23" i="14"/>
  <c r="V26" i="14"/>
  <c r="V22" i="14"/>
  <c r="V28" i="14"/>
  <c r="V43" i="14"/>
  <c r="V40" i="14"/>
  <c r="V57" i="14"/>
  <c r="V60" i="14"/>
  <c r="V14" i="14"/>
  <c r="V55" i="14"/>
  <c r="V8" i="14"/>
  <c r="V15" i="14"/>
  <c r="V11" i="14"/>
  <c r="V37" i="14"/>
  <c r="V33" i="14"/>
  <c r="V52" i="14"/>
  <c r="V9" i="14"/>
  <c r="V35" i="14"/>
  <c r="V32" i="14"/>
  <c r="V25" i="14"/>
  <c r="V21" i="14"/>
  <c r="V47" i="14"/>
  <c r="V42" i="14"/>
  <c r="V58" i="14"/>
  <c r="V20" i="14"/>
  <c r="V46" i="14"/>
  <c r="V18" i="14"/>
  <c r="V65" i="14" s="1"/>
  <c r="V24" i="14"/>
  <c r="V31" i="14"/>
  <c r="V30" i="14"/>
  <c r="V54" i="14"/>
  <c r="V51" i="14"/>
  <c r="V38" i="14"/>
  <c r="V27" i="14"/>
  <c r="V13" i="14"/>
  <c r="V39" i="14"/>
  <c r="V36" i="14"/>
  <c r="V10" i="14"/>
  <c r="V59" i="14"/>
  <c r="V45" i="14"/>
  <c r="V66" i="14" l="1"/>
  <c r="V64" i="14"/>
  <c r="V69" i="14"/>
  <c r="V68" i="14"/>
  <c r="V67" i="14"/>
  <c r="V70" i="14" l="1"/>
</calcChain>
</file>

<file path=xl/sharedStrings.xml><?xml version="1.0" encoding="utf-8"?>
<sst xmlns="http://schemas.openxmlformats.org/spreadsheetml/2006/main" count="536" uniqueCount="387">
  <si>
    <t>Analysis reference :</t>
  </si>
  <si>
    <t>ND :</t>
  </si>
  <si>
    <t>Not detected</t>
  </si>
  <si>
    <t>Matrix :</t>
  </si>
  <si>
    <t>&lt;LLOQ :</t>
  </si>
  <si>
    <t>Not quantifiable</t>
  </si>
  <si>
    <t>Normalization</t>
  </si>
  <si>
    <t>Linoleic acid 
C18:2ꙍ6</t>
  </si>
  <si>
    <t>9-HODE</t>
  </si>
  <si>
    <t>10-HODE</t>
  </si>
  <si>
    <t>13-HODE</t>
  </si>
  <si>
    <t>9,10-DiHOME</t>
  </si>
  <si>
    <t>12,13-DiHOME</t>
  </si>
  <si>
    <t>9-oxoODE</t>
  </si>
  <si>
    <t>13-oxoODE</t>
  </si>
  <si>
    <t>10-TriHOME</t>
  </si>
  <si>
    <t>12-TriHOME</t>
  </si>
  <si>
    <t>Dihomo-gamma-linoleic acid
C20:3ꙍ6</t>
  </si>
  <si>
    <t>PGA1</t>
  </si>
  <si>
    <t xml:space="preserve">Arachidonic acid
C20:4ꙍ6
</t>
  </si>
  <si>
    <t>5,6-EET</t>
  </si>
  <si>
    <t>8,9-EET</t>
  </si>
  <si>
    <t>11,12-EET</t>
  </si>
  <si>
    <t>14,15-EET</t>
  </si>
  <si>
    <t>5-HETE</t>
  </si>
  <si>
    <t>8-HETE</t>
  </si>
  <si>
    <t>12-HETE</t>
  </si>
  <si>
    <t>15-HETE</t>
  </si>
  <si>
    <t>5oxoETE</t>
  </si>
  <si>
    <t>LTB4</t>
  </si>
  <si>
    <t>LxA4</t>
  </si>
  <si>
    <t>LXB4</t>
  </si>
  <si>
    <t>8isoPGA2</t>
  </si>
  <si>
    <t>PGD2</t>
  </si>
  <si>
    <t>PGE2</t>
  </si>
  <si>
    <t>PGF2a</t>
  </si>
  <si>
    <t>11B-PGF2a</t>
  </si>
  <si>
    <t>PGFM</t>
  </si>
  <si>
    <t>15dPGJ2</t>
  </si>
  <si>
    <t>6kPGF1a</t>
  </si>
  <si>
    <t>TXB2</t>
  </si>
  <si>
    <t>Alpha-linolenic acid
C18:3ꙍ3</t>
  </si>
  <si>
    <t>9-HOTrE</t>
  </si>
  <si>
    <t>13-HOTrE</t>
  </si>
  <si>
    <t>Eicosapentaenoic acid
C20:5ꙍ3</t>
  </si>
  <si>
    <t>18-HEPE</t>
  </si>
  <si>
    <t>LTB5</t>
  </si>
  <si>
    <t>PGE3</t>
  </si>
  <si>
    <t>RvE1</t>
  </si>
  <si>
    <t>5,6-DiHETE</t>
  </si>
  <si>
    <t>Docosahexaenoic acid
C22:6ꙍ3</t>
  </si>
  <si>
    <t>14-HDHA</t>
  </si>
  <si>
    <t>17-HDHA</t>
  </si>
  <si>
    <t>16-HDHA</t>
  </si>
  <si>
    <t>7MaR1</t>
  </si>
  <si>
    <t>PDx</t>
  </si>
  <si>
    <t>PD1</t>
  </si>
  <si>
    <t>RVD1</t>
  </si>
  <si>
    <t>RvD2</t>
  </si>
  <si>
    <t>RvD3</t>
  </si>
  <si>
    <t>RvD5</t>
  </si>
  <si>
    <t>Total oxylipins issued from LA cascade</t>
  </si>
  <si>
    <t>Total oxylipins issued from DGLA cascade</t>
  </si>
  <si>
    <t>Total oxylipins issued from AA cascade</t>
  </si>
  <si>
    <t>Total oxylipin sissued from alpha-LA cascade</t>
  </si>
  <si>
    <t>Total oxylipins issued from EPA cascade</t>
  </si>
  <si>
    <t>Total oxylipins issued from DHA cascade</t>
  </si>
  <si>
    <t>Total</t>
  </si>
  <si>
    <t>Sample name</t>
  </si>
  <si>
    <t>Cal min conc</t>
  </si>
  <si>
    <t>RvD1</t>
  </si>
  <si>
    <t>LXA4</t>
  </si>
  <si>
    <t>Vial volume</t>
  </si>
  <si>
    <t>µL</t>
  </si>
  <si>
    <t>Normalisation</t>
  </si>
  <si>
    <t>Synonymes</t>
  </si>
  <si>
    <t>IUPAC name</t>
  </si>
  <si>
    <t>CHEBI</t>
  </si>
  <si>
    <t>InChiKEY</t>
  </si>
  <si>
    <t>InChi</t>
  </si>
  <si>
    <t>5,6-EpETrE</t>
  </si>
  <si>
    <t>(±)5,6-epoxy-8Z,11Z,14Z-eicosatrienoic acid</t>
  </si>
  <si>
    <t>VBQNSZQZRAGRIX-GSKBNKFLSA-N</t>
  </si>
  <si>
    <t>InChI=1S/C20H32O3/c1-2-3-4-5-6-7-8-9-10-11-12-13-15-18-19(23-18)16-14-17-20(21)22/h6-7,9-10,12-13,18-19H,2-5,8,11,14-17H2,1H3,(H,21,22)/b7-6-,10-9-,13-12-/t18-,19+/m1/s1</t>
  </si>
  <si>
    <t xml:space="preserve">8,9-EET </t>
  </si>
  <si>
    <t>8,9-EpETrE</t>
  </si>
  <si>
    <t>(±)8,9-epoxy-5Z,11Z,14Z-eicosatrienoic acid</t>
  </si>
  <si>
    <t>DBWQSCSXHFNTMO-TYAUOURKSA-N</t>
  </si>
  <si>
    <t>1S/C20H32O3/c1-2-3-4-5-6-7-8-9-12-15-18-19(23-18)16-13-10-11-14-17-20(21)22/h6-7,9-10,12-13,18-19H,2-5,8,11,14-17H2,1H3,(H,21,22)/b7-6-,12-9-,13-10-</t>
  </si>
  <si>
    <t xml:space="preserve">11,12-EET </t>
  </si>
  <si>
    <t>11,12-EpETrE</t>
  </si>
  <si>
    <t>(±)11,(12)-epoxy-5Z,8Z,14Z-eicosatrienoic acid</t>
  </si>
  <si>
    <t>DXOYQVHGIODESM-KROJNAHFSA-N</t>
  </si>
  <si>
    <t>1S/C20H32O3/c1-2-3-4-5-9-12-15-18-19(23-18)16-13-10-7-6-8-11-14-17-20(21)22/h6,8-10,12-13,18-19H,2-5,7,11,14-17H2,1H3,(H,21,22)/b8-6-,12-9-,13-10-</t>
  </si>
  <si>
    <t>14,15-EpETrE</t>
  </si>
  <si>
    <t>(±)14(15)-epoxy-5Z,8Z,11Z-eicosatrienoic acid</t>
  </si>
  <si>
    <t>JBSCUHKPLGKXKH-ILYOTBPNSA-N</t>
  </si>
  <si>
    <t>1S/C20H32O3/c1-2-3-12-15-18-19(23-18)16-13-10-8-6-4-5-7-9-11-14-17-20(21)22/h4,6-7,9-10,13,18-19H,2-3,5,8,11-12,14-17H2,1H3,(H,21,22)/b6-4-,9-7-,13-10-</t>
  </si>
  <si>
    <t>5-Hydroxyeicosatetraenoic Acid</t>
  </si>
  <si>
    <t>KGIJOOYOSFUGPC-JGKLHWIESA-N</t>
  </si>
  <si>
    <t>1S/C20H32O3/c1-2-3-4-5-6-7-8-9-10-11-12-13-14-16-19(21)17-15-18-20(22)23/h6-7,9-10,12-14,16,19,21H,2-5,8,11,15,17-18H2,1H3,(H,22,23)/b7-6-,10-9-,13-12-,16-14+/t19-/m1/s1</t>
  </si>
  <si>
    <t>8-Hydroxyeicosatetraenoic Acid</t>
  </si>
  <si>
    <t>NLUNAYAEIJYXRB-HEJOTXCHSA-N</t>
  </si>
  <si>
    <t>1S/C20H32O3/c1-2-3-4-5-6-7-8-9-10-13-16-19(21)17-14-11-12-15-18-20(22)23/h6-7,9-11,13-14,16,19,21H,2-5,8,12,15,17-18H2,1H3,(H,22,23)/b7-6-,10-9-,14-11-,16-13+</t>
  </si>
  <si>
    <t>12-Hydroxyeicosatetraenoic Acid</t>
  </si>
  <si>
    <t>ZNHVWPKMFKADKW-VXBMJZGYSA-N</t>
  </si>
  <si>
    <t>1S/C20H32O3/c1-2-3-4-5-10-13-16-19(21)17-14-11-8-6-7-9-12-15-18-20(22)23/h7-11,13-14,17,19,21H,2-6,12,15-16,18H2,1H3,(H,22,23)/b9-7-,11-8-,13-10-,17-14+</t>
  </si>
  <si>
    <t xml:space="preserve">15-HETE </t>
  </si>
  <si>
    <t>15-Hydroxyeicosatetraenoic Acid</t>
  </si>
  <si>
    <t>JSFATNQSLKRBCI-USWFWKISSA-N</t>
  </si>
  <si>
    <t>1S/C20H32O3/c1-2-3-13-16-19(21)17-14-11-9-7-5-4-6-8-10-12-15-18-20(22)23/h4-5,8-11,14,17,19,21H,2-3,6-7,12-13,15-16,18H2,1H3,(H,22,23)/b5-4-,10-8-,11-9-,17-14+</t>
  </si>
  <si>
    <t>5-oxo-ETE</t>
  </si>
  <si>
    <t>5-KETE</t>
  </si>
  <si>
    <t>5-oxo-6E,8Z,11Z,14Z-eicosatetraenoic acid</t>
  </si>
  <si>
    <t>MEASLHGILYBXFO-XTDASVJISA-N</t>
  </si>
  <si>
    <t>1S/C20H30O3/c1-2-3-4-5-6-7-8-9-10-11-12-13-14-16-19(21)17-15-18-20(22)23/h6-7,9-10,12-14,16H,2-5,8,11,15,17-18H2,1H3,(H,22,23)/b7-6-,10-9-,13-12-,16-14+</t>
  </si>
  <si>
    <t xml:space="preserve">LTB4 </t>
  </si>
  <si>
    <t>Leuktriene B4</t>
  </si>
  <si>
    <t>5S,12R-dihydroxy-6Z,8E,10E,14Z-eicosatetraenoic acid</t>
  </si>
  <si>
    <t>VNYSSYRCGWBHLG-AMOLWHMGSA-N</t>
  </si>
  <si>
    <t>1S/C20H32O4/c1-2-3-4-5-6-9-13-18(21)14-10-7-8-11-15-19(22)16-12-17-20(23)2
 4/h6-11,14-15,18-19,21-22H,2-5,12-13,16-17H2,1H3,(H,23,24)/b8-7+,9-6-,14-10+,15-
 11-/t18-,19-/m1/s1</t>
  </si>
  <si>
    <t xml:space="preserve">LxA4 </t>
  </si>
  <si>
    <t>Lipoxin A4</t>
  </si>
  <si>
    <t>5(S),6(R),15(S)-TriHETE</t>
  </si>
  <si>
    <t>5S,6R,15S-trihydroxy-7E,9E,11Z,13E-eicosatetraenoic acid</t>
  </si>
  <si>
    <t>IXAQOQZEOGMIQS-SSQFXEBMSA-N</t>
  </si>
  <si>
    <t>1S/C20H32O5/c1-2-3-8-12-17(21)13-9-6-4-5-7-10-14-18(22)19(23)15-11-16-20(2
 4)25/h4-7,9-10,13-14,17-19,21-23H,2-3,8,11-12,15-16H2,1H3,(H,24,25)/b6-4-,7-5+,1
 3-9+,14-10+/t17-,18+,19-/m0/s1</t>
  </si>
  <si>
    <t xml:space="preserve">LXB4 </t>
  </si>
  <si>
    <t>Lipoxin B4</t>
  </si>
  <si>
    <t>5(S),14(R),15(S)-TriHETE</t>
  </si>
  <si>
    <t>5S,14R,15S-trihydroxy-6E,8Z,10E,12E-eicosatetraenoic acid</t>
  </si>
  <si>
    <t>UXVRTOKOJOMENI-WLPVFMORSA-N</t>
  </si>
  <si>
    <t>InChI=1S/C20H32O5/c1-2-3-8-14-18(22)19(23)15-10-7-5-4-6-9-12-17(21)13-11-16-20(24)25/h4-7,9-10,12,15,17-19,21-23H,2-3,8,11,13-14,16H2,1H3,(H,24,25)/b6-4-,7-5+,12-9+,15-10+/t17-,18+,19-/m1/s1</t>
  </si>
  <si>
    <t xml:space="preserve">8isoPGA2 </t>
  </si>
  <si>
    <t>8-iso-Prostaglandin A2</t>
  </si>
  <si>
    <r>
      <t>8-epi PGA</t>
    </r>
    <r>
      <rPr>
        <vertAlign val="subscript"/>
        <sz val="11"/>
        <color theme="1"/>
        <rFont val="Calibri"/>
        <family val="2"/>
        <scheme val="minor"/>
      </rPr>
      <t>2</t>
    </r>
  </si>
  <si>
    <t>9-oxo-15S-hydroxy-(8β)-prosta-5Z,10,13E-trien-1-oic acid</t>
  </si>
  <si>
    <t>-</t>
  </si>
  <si>
    <t>MYHXHCUNDDAEOZ-UKUWKSPLSA-N</t>
  </si>
  <si>
    <t>nChI=1S/C20H30O4/c1-2-3-6-9-17(21)14-12-16-13-15-19(22)18(16)10-7-4-5-8-11-20(23)24/h4,7,12-18,21H,2-3,5-6,8-11H2,1H3,(H,23,24)/b7-4-,14-12+/t16-,17-,18-/m0/s1</t>
  </si>
  <si>
    <t xml:space="preserve">PGD2 </t>
  </si>
  <si>
    <t>Prostaglandin D2</t>
  </si>
  <si>
    <t>9α,15S-dihydroxy-11-oxo-prosta-5Z,13E-dien-1-oic acid</t>
  </si>
  <si>
    <t>BHMBVRSPMRCCGG-OUTUXVNYSA-N</t>
  </si>
  <si>
    <t>InChI=1S/C20H32O5/c1-2-3-6-9-15(21)12-13-17-16(18(22)14-19(17)23)10-7-4-5-8-11-20(24)25/h4,7,12-13,15-18,21-22H,2-3,5-6,8-11,14H2,1H3,(H,24,25)/b7-4-,13-12+/t15-,16+,17+,18-/m0/s1</t>
  </si>
  <si>
    <t xml:space="preserve">PGE2 </t>
  </si>
  <si>
    <t>Prostaglandin E2</t>
  </si>
  <si>
    <t>9-oxo-11α,15S-dihydroxy-prosta-5Z,13E-dien-1-oic acid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</si>
  <si>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</si>
  <si>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</si>
  <si>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 xml:space="preserve">PGF2a </t>
  </si>
  <si>
    <t>Prostaglandin F2 alpha</t>
  </si>
  <si>
    <t>9α,11α,15S-trihydroxy-prosta-5Z,13E-dien-1-oic acid</t>
  </si>
  <si>
    <t>PXGPLTODNUVGFL-YNNPMVKQSA-N</t>
  </si>
  <si>
    <t>1S/C20H34O5/c1-2-3-6-9-15(21)12-13-17-16(18(22)14-19(17)23)10-7-4-5-8-11-2
 0(24)25/h4,7,12-13,15-19,21-23H,2-3,5-6,8-11,14H2,1H3,(H,24,25)/b7-4-,13-12+/t15
 -,16+,17+,18-,19+/m0/s1</t>
  </si>
  <si>
    <t xml:space="preserve">11B-PGF2a </t>
  </si>
  <si>
    <t>11-beta-Prostaglandin F2 alpha</t>
  </si>
  <si>
    <t>(5Z,9α,11β,13E,15S)-9,11,15-trihydroxy-prosta-5,13-dien-1-oic acid</t>
  </si>
  <si>
    <t>PXGPLTODNUVGFL-ZWAKLXPCSA-N</t>
  </si>
  <si>
    <t>InChI=1S/C20H34O5/c1-2-3-6-9-15(21)12-13-17-16(18(22)14-19(17)23)10-7-4-5-8-11-20(24)25/h4,7,12-13,15-19,21-23H,2-3,5-6,8-11,14H2,1H3,(H,24,25)/b7-4-,13-12+/t15-,16+,17+,18-,19-/m0/s1</t>
  </si>
  <si>
    <r>
      <t>13,14-dihydro-15-keto PGF</t>
    </r>
    <r>
      <rPr>
        <vertAlign val="subscript"/>
        <sz val="11"/>
        <color theme="1"/>
        <rFont val="Calibri"/>
        <family val="2"/>
        <scheme val="minor"/>
      </rPr>
      <t>2α</t>
    </r>
  </si>
  <si>
    <t>9α,11α-dihydroxy-15-oxo-prost-5Z-en-1-oic acid</t>
  </si>
  <si>
    <t>VKTIONYPMSCHQI-XAGFEHLVSA-N</t>
  </si>
  <si>
    <t>InChI=1S/C20H34O5/c1-2-3-6-9-15(21)12-13-17-16(18(22)14-19(17)23)10-7-4-5-8-11-20(24)25/h4,7,16-19,22-23H,2-3,5-6,8-14H2,1H3,(H,24,25)/b7-4-/t16-,17-,18+,19-/m1/s1</t>
  </si>
  <si>
    <t xml:space="preserve">15dPGJ2 </t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</si>
  <si>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-Prostaglandin J</t>
    </r>
    <r>
      <rPr>
        <vertAlign val="subscript"/>
        <sz val="11"/>
        <color theme="1"/>
        <rFont val="Calibri"/>
        <family val="2"/>
        <scheme val="minor"/>
      </rPr>
      <t>2</t>
    </r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</si>
  <si>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-PGJ</t>
    </r>
    <r>
      <rPr>
        <vertAlign val="subscript"/>
        <sz val="11"/>
        <color theme="1"/>
        <rFont val="Calibri"/>
        <family val="2"/>
        <scheme val="minor"/>
      </rPr>
      <t>2</t>
    </r>
  </si>
  <si>
    <t>11-oxo-prosta-5Z,9,12E,14E-tetraen-1-oic acid</t>
  </si>
  <si>
    <t>VHRUMKCAEVRUBK-GODQJPCRSA-N</t>
  </si>
  <si>
    <t>InChI=1S/C20H28O3/c1-2-3-4-5-6-10-13-18-17(15-16-19(18)21)12-9-7-8-11-14-20(22)23/h6-7,9-10,13,15-17H,2-5,8,11-12,14H2,1H3,(H,22,23)/b9-7-,10-6+,18-13+/t17-/m0/s1</t>
  </si>
  <si>
    <t xml:space="preserve">6kPGF1a </t>
  </si>
  <si>
    <t>6-keto-Prostaglandin-F1-alpha</t>
  </si>
  <si>
    <t>6-oxo-9α,11α,15S-trihydroxy-prost-13E-en-1-oic acid</t>
  </si>
  <si>
    <t>KFGOFTHODYBSGM-ZUNNJUQCSA-N</t>
  </si>
  <si>
    <t>InChI=1S/C20H34O6/c1-2-3-4-7-14(21)10-11-16-17(19(24)13-18(16)23)12-15(22)8-5-6-9-20(25)26/h10-11,14,16-19,21,23-24H,2-9,12-13H2,1H3,(H,25,26)/b11-10+/t14-,16+,17+,18+,19-/m0/s1</t>
  </si>
  <si>
    <t xml:space="preserve">TXB2 </t>
  </si>
  <si>
    <t>Tromboxane B2</t>
  </si>
  <si>
    <t>9α,11,15S-trihydroxythromba-5Z,13E-dien-1-oic acid</t>
  </si>
  <si>
    <t>XNRNNGPBEPRNAR-JQBLCGNGSA-N</t>
  </si>
  <si>
    <t>InChI=1S/C20H34O6/c1-2-3-6-9-15(21)12-13-18-16(17(22)14-20(25)26-18)10-7-4-5-8-11-19(23)24/h4,7,12-13,15-18,20-22,25H,2-3,5-6,8-11,14H2,1H3,(H,23,24)/b7-4-,13-12+/t15-,16-,17-,18+,20?/m0/s1</t>
  </si>
  <si>
    <t>Prostaglandin A1</t>
  </si>
  <si>
    <t>9-oxo-15S-hydroxy-prosta-10,13E-dien-1-oic acid</t>
  </si>
  <si>
    <t>BGKHCLZFGPIKKU-LDDQNKHRSA-N</t>
  </si>
  <si>
    <t>InChI=1S/C20H32O4/c1-2-3-6-9-17(21)14-12-16-13-15-19(22)18(16)10-7-4-5-8-11-20(23)24/h12-18,21H,2-11H2,1H3,(H,23,24)/b14-12+/t16-,17-,18+/m0/s1</t>
  </si>
  <si>
    <t>14-hydroxy Docosahexaenoic Acid</t>
  </si>
  <si>
    <t xml:space="preserve">14-HDoHE </t>
  </si>
  <si>
    <t>14-hydroxy-4Z,7Z,10Z,12E,16Z,19Z-docosahexaenoic acid</t>
  </si>
  <si>
    <t>ZNEBXONKCYFJAF-BGKMTWLOSA-N</t>
  </si>
  <si>
    <t>1S/C22H32O3/c1-2-3-4-5-12-15-18-21(23)19-16-13-10-8-6-7-9-11-14-17-20-22(24)25/h3-4,6-7,10-16,19,21,23H,2,5,8-9,17-18,20H2,1H3,(H,24,25)/b4-3-,7-6-,13-10-,14-11-,15-12-,19-16+</t>
  </si>
  <si>
    <t>17-hydroxy Docosahexaenoic Acid</t>
  </si>
  <si>
    <t xml:space="preserve">17-HDoHE </t>
  </si>
  <si>
    <t>17-hydroxy-4Z,7Z,10Z,13Z,15E,19Z-docosahexaenoic acid</t>
  </si>
  <si>
    <t>SWTYBBUBEPPYCX-VIIQGJSXSA-N</t>
  </si>
  <si>
    <t>1S/C22H32O3/c1-2-3-15-18-21(23)19-16-13-11-9-7-5-4-6-8-10-12-14-17-20-22(24)25/h3,5-8,11-16,19,21,23H,2,4,9-10,17-18,20H2,1H3,(H,24,25)/b7-5-,8-6-,13-11-,14-12-,15-3-,19-16+</t>
  </si>
  <si>
    <t>7(S)-MaR1</t>
  </si>
  <si>
    <t>Maresin 1 - 7(S)-MaR1</t>
  </si>
  <si>
    <t>7-epi-MaR1</t>
  </si>
  <si>
    <t>7S,14S-dihydroxy-4Z,8E,10E,12Z,16Z,19Z-docosahexaenoic acid</t>
  </si>
  <si>
    <t>HLHYXXBCQOUTGK-NVFVPEJPSA-N</t>
  </si>
  <si>
    <t>InChI=1S/C22H32O4/c1-2-3-4-5-6-10-15-20(23)16-11-7-8-12-17-21(24)18-13-9-14-19-22(25)26/h3-4,6-13,16-17,20-21,23-24H,2,5,14-15,18-19H2,1H3,(H,25,26)/b4-3-,8-7+,10-6-,13-9-,16-11-,17-12+/t20-,21+/m0/s1</t>
  </si>
  <si>
    <t xml:space="preserve">PDx </t>
  </si>
  <si>
    <t>Neuro Protectin DX</t>
  </si>
  <si>
    <t>10(S),17(S)-DiHDHA</t>
  </si>
  <si>
    <t>10(S),17(S)-dihydroxy-4Z,7Z,11E,13Z,15E,19Z-docosahexaenoic acid</t>
  </si>
  <si>
    <t>CRDZYJSQHCXHEG-XLBFCUQGSA-N</t>
  </si>
  <si>
    <t>InChI=1S/C22H32O4/c1-2-3-10-15-20(23)17-12-8-9-13-18-21(24)16-11-6-4-5-7-14-19-22(25)26/h3,5-13,17-18,20-21,23-24H,2,4,14-16,19H2,1H3,(H,25,26)/b7-5-,9-8-,10-3-,11-6-,17-12+,18-13+/t20-,21-/m0/s1</t>
  </si>
  <si>
    <t xml:space="preserve">RVD1 </t>
  </si>
  <si>
    <t>Resolvin D1</t>
  </si>
  <si>
    <t>17(S)-Resolvin D1</t>
  </si>
  <si>
    <t>7S,8R,17S-trihydroxy-4Z,9E,11E,13Z,15E,19Z-docosahexaenoic acid</t>
  </si>
  <si>
    <t>OIWTWACQMDFHJG-CCFUIAGSSA-N</t>
  </si>
  <si>
    <t>InChI=1S/C22H32O5/c1-2-3-9-14-19(23)15-10-6-4-5-7-11-16-20(24)21(25)17-12-8-13-18-22(26)27/h3-12,15-16,19-21,23-25H,2,13-14,17-18H2,1H3,(H,26,27)/b6-4-,7-5+,9-3-,12-8-,15-10+,16-11+/t19-,20+,21-/m0/s1</t>
  </si>
  <si>
    <t xml:space="preserve">RvD2 </t>
  </si>
  <si>
    <t>Resolvin D2</t>
  </si>
  <si>
    <t>7(S),16(R),17(S)-Resolvin D2</t>
  </si>
  <si>
    <t>7S,16R,17S-trihydroxy-4Z,8E,10Z,12E,14E,19Z-docosahexaenoic acid</t>
  </si>
  <si>
    <t>IKFAUGXNBOBQDM-XFMPMKITSA-N</t>
  </si>
  <si>
    <t>InChI=1S/C22H32O5/c1-2-3-9-16-20(24)21(25)17-12-7-5-4-6-10-14-19(23)15-11-8-13-18-22(26)27/h3-12,14,17,19-21,23-25H,2,13,15-16,18H2,1H3,(H,26,27)/b6-4-,7-5+,9-3-,11-8-,14-10+,17-12+/t19-,20+,21-/m1/s1</t>
  </si>
  <si>
    <t xml:space="preserve">RvD3 </t>
  </si>
  <si>
    <t>Resolvin D3</t>
  </si>
  <si>
    <t>4S,11R,17S-trihydroxy-5Z,7E,9E,13Z,15E,19Z-docosahexaenoic acid</t>
  </si>
  <si>
    <t>QBTJOLCUKWLTIC-UZAFJXHNSA-N</t>
  </si>
  <si>
    <t>InChI=1S/C22H32O5/c1-2-3-7-12-19(23)14-10-6-11-15-20(24)13-8-4-5-9-16-21(25)17-18-22(26)27/h3-11,13-14,16,19-21,23-25H,2,12,15,17-18H2,1H3,(H,26,27)/b5-4+,7-3-,11-6-,13-8+,14-10+,16-9-/t19-,20-,21+/m0/s1</t>
  </si>
  <si>
    <t xml:space="preserve">RvD5 </t>
  </si>
  <si>
    <t>Resolvin D5</t>
  </si>
  <si>
    <t>7(S),17(S)-diHDHA</t>
  </si>
  <si>
    <t>7S,17S-dihydroxy-4Z,8E,10Z,13Z,15E,19Z-docosahexaenoic acid</t>
  </si>
  <si>
    <t>CFOFZYMMJZILHE-XGTWDWJNSA-N</t>
  </si>
  <si>
    <t>InChI=1S/C22H32O4/c1-2-3-10-15-20(23)16-11-7-5-4-6-8-12-17-21(24)18-13-9-14-19-22(25)26/h3,5-13,16-17,20-21,23-24H,2,4,14-15,18-19H2,1H3,(H,25,26)/b7-5-,8-6-,10-3-,13-9-,16-11+,17-12+/t20-,21+/m0/s1</t>
  </si>
  <si>
    <t>(±)-18-hydroxy-5Z,8Z,11Z,14Z,16E-eicosapentaenoic acid</t>
  </si>
  <si>
    <t>LRWYBGFSVUBWMO-UXNZXXPISA-N</t>
  </si>
  <si>
    <t>1S/C20H30O3/c1-2-19(21)17-15-13-11-9-7-5-3-4-6-8-10-12-14-16-18-20(22)23/h
 4-7,10-13,15,17,19,21H,2-3,8-9,14,16,18H2,1H3,(H,22,23)/b6-4-,7-5-,12-10-,13-11-
 ,17-15+</t>
  </si>
  <si>
    <t xml:space="preserve">LTB5 </t>
  </si>
  <si>
    <t>Leuktriene B5</t>
  </si>
  <si>
    <t>5S,12R-dihydroxy-6Z,8E,10E,14Z,17Z-eicosapentaenoic acid</t>
  </si>
  <si>
    <t>BISQPGCQOHLHQK-HDNPQISLSA-N</t>
  </si>
  <si>
    <t>InChI=1S/C20H30O4/c1-2-3-4-5-6-9-13-18(21)14-10-7-8-11-15-19(22)16-12-17-20(23)24/h3-4,6-11,14-15,18-19,21-22H,2,5,12-13,16-17H2,1H3,(H,23,24)/b4-3-,8-7+,9-6-,14-10+,15-11-/t18-,19-/m1/s1</t>
  </si>
  <si>
    <t xml:space="preserve">PGE3 </t>
  </si>
  <si>
    <t>Prostaglandin E3</t>
  </si>
  <si>
    <t>9-oxo-11α,15S-dihydroxy-prosta-5Z,13E,17Z-trien-1-oic acid</t>
  </si>
  <si>
    <t>CBOMORHDRONZRN-QLOYDKTKSA-N</t>
  </si>
  <si>
    <t>InChI=1S/C20H30O5/c1-2-3-6-9-15(21)12-13-17-16(18(22)14-19(17)23)10-7-4-5-8-11-20(24)25/h3-4,6-7,12-13,15-17,19,21,23H,2,5,8-11,14H2,1H3,(H,24,25)/b6-3-,7-4-,13-12+/t15-,16+,17+,19+/m0/s1</t>
  </si>
  <si>
    <t xml:space="preserve">RvE1 </t>
  </si>
  <si>
    <t>Resolvin E1</t>
  </si>
  <si>
    <t>5,12,18R-triHEPE</t>
  </si>
  <si>
    <t>5S,12R,18R-trihydroxy-6Z,8E,10E,14Z,16E-eicosapentaenoic acid</t>
  </si>
  <si>
    <t>AOPOCGPBAIARAV-OTBJXLELSA-N</t>
  </si>
  <si>
    <t>InChI=1S/C20H30O5/c1-2-17(21)11-8-5-9-14-18(22)12-6-3-4-7-13-19(23)15-10-16-20(24)25/h3-9,11-13,17-19,21-23H,2,10,14-16H2,1H3,(H,24,25)/b4-3+,9-5-,11-8+,12-6+,13-7-/t17-,18+,19-/m1/s1</t>
  </si>
  <si>
    <t>(±)5,6-dihydroxy-8Z,11Z,14Z,17Z-eicosatetraenoic acid</t>
  </si>
  <si>
    <t>VPXVODYVPILPRC-CLQAUIESSA-N</t>
  </si>
  <si>
    <t>1S/C20H32O4/c1-2-3-4-5-6-7-8-9-10-11-12-13-15-18(21)19(22)16-14-17-20(23)24/h3-4,6-7,9-10,12-13,18-19,21-22H,2,5,8,11,14-17H2,1H3,(H,23,24)/b4-3-,7-6-,10-9-,13-12-/t18-,19+/m1/s1</t>
  </si>
  <si>
    <t xml:space="preserve">13-HODE </t>
  </si>
  <si>
    <t>(±)-13-hydroxy-9Z,11E-octadecadienoic acid</t>
  </si>
  <si>
    <t>HNICUWMFWZBIFP-IRQZEAMPSA-N</t>
  </si>
  <si>
    <t>1S/C18H32O3/c1-2-3-11-14-17(19)15-12-9-7-5-4-6-8-10-13-16-18(20)21/h7,9,12,15,17,19H,2-6,8,10-11,13-14,16H2,1H3,(H,20,21)/b9-7-,15-12+/t17-/m0/s1</t>
  </si>
  <si>
    <t xml:space="preserve">9-HODE </t>
  </si>
  <si>
    <t>(±)-9-hydroxy-10E,12Z-octadecadienoic acid</t>
  </si>
  <si>
    <t>NPDSHTNEKLQQIJ-ZJHFMPGASA-N</t>
  </si>
  <si>
    <t>1S/C18H32O3/c1-2-3-4-5-6-8-11-14-17(19)15-12-9-7-10-13-16-18(20)21/h6,8,11,14,17,19H,2-5,7,9-10,12-13,15-16H2,1H3,(H,20,21)/b8-6-,14-11+</t>
  </si>
  <si>
    <t>Isoleukotoxin diol</t>
  </si>
  <si>
    <t>12,13-dihydroxy-9Z-octadecenoic acid</t>
  </si>
  <si>
    <t>CQSLTKIXAJTQGA-FLIBITNWSA-N</t>
  </si>
  <si>
    <t>1S/C18H34O4/c1-2-3-10-13-16(19)17(20)14-11-8-6-4-5-7-9-12-15-18(21)22/h8,11,16-17,19-20H,2-7,9-10,12-15H2,1H3,(H,21,22)/b11-8-</t>
  </si>
  <si>
    <t>Leukotoxin diol</t>
  </si>
  <si>
    <t>(±)9,10-dihydroxy-12Z-octadecenoic acid</t>
  </si>
  <si>
    <t>XEBKSQSGNGRGDW-YFHOEESVSA-N</t>
  </si>
  <si>
    <t>1S/C18H34O4/c1-2-3-4-5-7-10-13-16(19)17(20)14-11-8-6-9-12-15-18(21)22/h7,10,16-17,19-20H,2-6,8-9,11-15H2,1H3,(H,21,22)/b10-7-</t>
  </si>
  <si>
    <t>13-oxo-ODE</t>
  </si>
  <si>
    <t>13-kode</t>
  </si>
  <si>
    <t>13-oxo-9Z,11E-octadecadienoic acid</t>
  </si>
  <si>
    <t>JHXAZBBVQSRKJR-BSZOFBHHSA-N</t>
  </si>
  <si>
    <t>1S/C18H30O3/c1-2-3-11-14-17(19)15-12-9-7-5-4-6-8-10-13-16-18(20)21/h7,9,12,15H,2-6,8,10-11,13-14,16H2,1H3,(H,20,21)/b9-7-,15-12+</t>
  </si>
  <si>
    <t>9-oxo-ODE</t>
  </si>
  <si>
    <t>9-KODE</t>
  </si>
  <si>
    <t>9-oxo-10E,12Z-octadecadienoic acid</t>
  </si>
  <si>
    <t>LUZSWWYKKLTDHU-ZJHFMPGASA-N</t>
  </si>
  <si>
    <t>1S/C18H30O3/c1-2-3-4-5-6-8-11-14-17(19)15-12-9-7-10-13-16-18(20)21/h6,8,11,14H,2-5,7,9-10,12-13,15-16H2,1H3,(H,20,21)/b8-6-,14-11+</t>
  </si>
  <si>
    <t>9,10,13-TriHOME</t>
  </si>
  <si>
    <t>9S,10S,13S-trihydroxy-11E-octadecenoic acid</t>
  </si>
  <si>
    <t>NTVFQBIHLSPEGQ-BUHFOSPRSA-N</t>
  </si>
  <si>
    <t>1S/C18H34O5/c1-2-3-7-10-15(19)13-14-17(21)16(20)11-8-5-4-6-9-12-18(22)23/h13-17,19-21H,2-12H2,1H3,(H,22,23)/b14-13+</t>
  </si>
  <si>
    <t>9,12,13-TriHOME</t>
  </si>
  <si>
    <t>9S,12S,13S-Pinellic Acid</t>
  </si>
  <si>
    <t>9S,12S,13S-trihydroxy-10E-octadecenoic acid</t>
  </si>
  <si>
    <t>MDIUMSLCYIJBQC-MVFSOIOZSA-N</t>
  </si>
  <si>
    <t>1S/C18H34O5/c1-2-3-7-11-16(20)17(21)14-13-15(19)10-8-5-4-6-9-12-18(22)23/h13-17,19-21H,2-12H2,1H3,(H,22,23)/b14-13+/t15-,16-,17-/m0/s1</t>
  </si>
  <si>
    <t>9(S)-HOTrE</t>
  </si>
  <si>
    <t>9S-hydroxy-10E,12Z,15Z-octadecatrienoic acid</t>
  </si>
  <si>
    <t>RIGGEAZDTKMXSI-MEBVTJQTSA-N</t>
  </si>
  <si>
    <t>1S/C18H30O3/c1-2-3-4-5-6-8-11-14-17(19)15-12-9-7-10-13-16-18(20)21/h3-4,6,8,11,14,17,19H,2,5,7,9-10,12-13,15-16H2,1H3,(H,20,21)/b4-3-,8-6-,14-11+/t17-/m1/s1</t>
  </si>
  <si>
    <t>13(S)-HOTrE</t>
  </si>
  <si>
    <t>13S-hydroxy-9Z,11E,15Z-octadecatrienoic acid</t>
  </si>
  <si>
    <t>KLLGGGQNRTVBSU-FQSPHKRJSA-N</t>
  </si>
  <si>
    <t>1S/C18H30O3/c1-2-3-11-14-17(19)15-12-9-7-5-4-6-8-10-13-16-18(20)21/h3,7,9,11-12,15,17,19H,2,4-6,8,10,13-14,16H2,1H3,(H,20,21)/b9-7-,11-3-,15-12+/t17-/m0/s1</t>
  </si>
  <si>
    <t>10(S)-HODE</t>
  </si>
  <si>
    <t>10S-hydroxy-8E,12Z-octadecadienoic acid</t>
  </si>
  <si>
    <t>XUDNDTZOWNNWHA-NDTUJAEZSA-N</t>
  </si>
  <si>
    <t>InChI=1S/C18H32O3/c1-2-3-4-5-8-11-14-17(19)15-12-9-6-7-10-13-16-18(20)21/h8,11-12,15,17,19H,2-7,9-10,13-14,16H2,1H3,(H,20,21)/b11-8-,15-12+/t17-/m0/s1</t>
  </si>
  <si>
    <t>↑</t>
  </si>
  <si>
    <t>←</t>
  </si>
  <si>
    <t>PGH3</t>
  </si>
  <si>
    <t>PGG3</t>
  </si>
  <si>
    <t>COX</t>
  </si>
  <si>
    <t>Eicosapentaenoic acid (EPA)</t>
  </si>
  <si>
    <t>LOX</t>
  </si>
  <si>
    <t>5-HpEPE</t>
  </si>
  <si>
    <t>→</t>
  </si>
  <si>
    <t>LTA5</t>
  </si>
  <si>
    <t>9-OxoODE</t>
  </si>
  <si>
    <t>9-HpODE</t>
  </si>
  <si>
    <t>↖</t>
  </si>
  <si>
    <t>Linoleic acid (LA)</t>
  </si>
  <si>
    <t>CYP450</t>
  </si>
  <si>
    <t>12(13)-EpOME</t>
  </si>
  <si>
    <t>↙</t>
  </si>
  <si>
    <t>9(10)-EpOME</t>
  </si>
  <si>
    <t>18R-HpEPE</t>
  </si>
  <si>
    <t>13-OxoODE</t>
  </si>
  <si>
    <t>13-HpODE</t>
  </si>
  <si>
    <t>5(6)-EpETE</t>
  </si>
  <si>
    <t>↓</t>
  </si>
  <si>
    <t>Peroxidation</t>
  </si>
  <si>
    <t>10-HpODE</t>
  </si>
  <si>
    <t>(Non-enzymatic)</t>
  </si>
  <si>
    <r>
      <t>Dihomo-</t>
    </r>
    <r>
      <rPr>
        <b/>
        <sz val="14"/>
        <color theme="1"/>
        <rFont val="Calibri"/>
        <family val="2"/>
      </rPr>
      <t>γ-linolenic acid (DGLA)</t>
    </r>
  </si>
  <si>
    <t>PGH1</t>
  </si>
  <si>
    <t>PGE1</t>
  </si>
  <si>
    <t>8-HpETE</t>
  </si>
  <si>
    <t>Maresin1</t>
  </si>
  <si>
    <t>14S-HDHA</t>
  </si>
  <si>
    <t>14S-HpDHA</t>
  </si>
  <si>
    <t>Docohexaenoic acid (DHA)</t>
  </si>
  <si>
    <t>17S-HpDHA</t>
  </si>
  <si>
    <t>17S-HDHA</t>
  </si>
  <si>
    <t>TXA2</t>
  </si>
  <si>
    <t>Epoxidase/hydrolase</t>
  </si>
  <si>
    <t>5-HpETE</t>
  </si>
  <si>
    <t>LTA4</t>
  </si>
  <si>
    <r>
      <t>6-keto-PGE1</t>
    </r>
    <r>
      <rPr>
        <sz val="12"/>
        <color theme="1"/>
        <rFont val="Calibri"/>
        <family val="2"/>
      </rPr>
      <t>α</t>
    </r>
  </si>
  <si>
    <r>
      <t>6-keto-PGF1</t>
    </r>
    <r>
      <rPr>
        <sz val="12"/>
        <color theme="1"/>
        <rFont val="Calibri"/>
        <family val="2"/>
      </rPr>
      <t>α</t>
    </r>
  </si>
  <si>
    <t>PGI2</t>
  </si>
  <si>
    <t>PGH2</t>
  </si>
  <si>
    <t>PGG2</t>
  </si>
  <si>
    <t>Arachidonic acid (AA)</t>
  </si>
  <si>
    <t>↘</t>
  </si>
  <si>
    <t>NPD1</t>
  </si>
  <si>
    <t>PDX (NPDX)</t>
  </si>
  <si>
    <t>PGF2α</t>
  </si>
  <si>
    <t>↗</t>
  </si>
  <si>
    <t>15-HpETE</t>
  </si>
  <si>
    <t>15(S)-HETE</t>
  </si>
  <si>
    <t>15-keto-PGF2α</t>
  </si>
  <si>
    <r>
      <t>11</t>
    </r>
    <r>
      <rPr>
        <sz val="12"/>
        <color theme="1"/>
        <rFont val="Calibri"/>
        <family val="2"/>
      </rPr>
      <t>β-PGF2α</t>
    </r>
  </si>
  <si>
    <r>
      <rPr>
        <b/>
        <sz val="14"/>
        <color theme="1"/>
        <rFont val="Calibri"/>
        <family val="2"/>
      </rPr>
      <t>α-linolenic</t>
    </r>
    <r>
      <rPr>
        <b/>
        <sz val="14"/>
        <color theme="1"/>
        <rFont val="Calibri"/>
        <family val="2"/>
        <scheme val="minor"/>
      </rPr>
      <t xml:space="preserve"> acid (ALA)</t>
    </r>
  </si>
  <si>
    <t>12-HpETE</t>
  </si>
  <si>
    <t>8-iso-PGF2α</t>
  </si>
  <si>
    <t>5(6)-EpETrE</t>
  </si>
  <si>
    <t>8(9)-EpETrE</t>
  </si>
  <si>
    <t>11(12)-EpETrE</t>
  </si>
  <si>
    <t>14(15)-EpETrE</t>
  </si>
  <si>
    <t>5,6-DiHETrE</t>
  </si>
  <si>
    <t>8,9-DiHETrE</t>
  </si>
  <si>
    <t>11,12-DiHETrE</t>
  </si>
  <si>
    <t>14,15-DiHETrE</t>
  </si>
  <si>
    <t>JV-015-RAN-IC-M2</t>
  </si>
  <si>
    <t>BS-007-RAN-01-M3</t>
  </si>
  <si>
    <t>BS-007-RAN-02-M3</t>
  </si>
  <si>
    <t>KT-004-SOC-16-M1</t>
  </si>
  <si>
    <t>BS-135-RAN-IC-M3</t>
  </si>
  <si>
    <t>JV-070-DAV-07-M3</t>
  </si>
  <si>
    <t>BS-129-RAT-10-M5</t>
  </si>
  <si>
    <t>JV-036-SOC-10-M2</t>
  </si>
  <si>
    <t>BS-126-RAT-05-M2</t>
  </si>
  <si>
    <t>JV-017-RAN-10-M3</t>
  </si>
  <si>
    <t>JV-070-DAV-04-M1</t>
  </si>
  <si>
    <t>BS-356-RAN-03-M4</t>
  </si>
  <si>
    <t>JV-090-MIN-IC-M4</t>
  </si>
  <si>
    <t>BS-391-RAN-06-M2</t>
  </si>
  <si>
    <t>JV-061-MIN-03-M5</t>
  </si>
  <si>
    <t>JV-070-MIN-01-M1</t>
  </si>
  <si>
    <t>KT-004-SOC-14-M1</t>
  </si>
  <si>
    <t>JV-089-SOC-04-M1</t>
  </si>
  <si>
    <t>BS-472-RAT-01-M1</t>
  </si>
  <si>
    <t>BS-172-RAT-10-M3</t>
  </si>
  <si>
    <t>µL of plasma</t>
  </si>
  <si>
    <t>250528DMI_Oxylipins</t>
  </si>
  <si>
    <t>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</si>
</sst>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8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1"/>
      <color theme="0" tint="-0.249977111117893"/>
      <name val="Calibri"/>
      <family val="2"/>
      <scheme val="minor"/>
    </font>
    <font>
      <b/>
      <sz val="12"/>
      <color rgb="FFFF0000"/>
      <name val="Calibri Light"/>
      <family val="2"/>
      <scheme val="maj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Border="0" applyProtection="0"/>
    <xf numFmtId="0" fontId="8" fillId="0" borderId="0"/>
  </cellStyleXfs>
  <cellXfs count="147">
    <xf numFmtId="0" fontId="0" fillId="0" borderId="0" xfId="0"/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4" fontId="3" fillId="4" borderId="5" xfId="2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6" fillId="5" borderId="0" xfId="2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9" borderId="0" xfId="0" applyFill="1"/>
    <xf numFmtId="0" fontId="11" fillId="9" borderId="0" xfId="0" applyFont="1" applyFill="1"/>
    <xf numFmtId="0" fontId="14" fillId="9" borderId="0" xfId="0" applyFont="1" applyFill="1"/>
    <xf numFmtId="0" fontId="7" fillId="10" borderId="0" xfId="0" applyFont="1" applyFill="1" applyAlignment="1">
      <alignment horizontal="center" vertical="center"/>
    </xf>
    <xf numFmtId="0" fontId="0" fillId="3" borderId="0" xfId="0" applyFill="1"/>
    <xf numFmtId="0" fontId="11" fillId="3" borderId="0" xfId="0" applyFont="1" applyFill="1" applyAlignment="1">
      <alignment wrapText="1"/>
    </xf>
    <xf numFmtId="0" fontId="14" fillId="3" borderId="0" xfId="0" applyFont="1" applyFill="1"/>
    <xf numFmtId="0" fontId="7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6" fillId="12" borderId="0" xfId="2" applyFont="1" applyFill="1" applyAlignment="1">
      <alignment horizontal="center" vertical="center"/>
    </xf>
    <xf numFmtId="0" fontId="3" fillId="12" borderId="0" xfId="2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0" borderId="9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0" fillId="13" borderId="0" xfId="0" applyFont="1" applyFill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18" fillId="0" borderId="0" xfId="0" applyFont="1"/>
    <xf numFmtId="0" fontId="17" fillId="13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/>
    </xf>
    <xf numFmtId="15" fontId="10" fillId="13" borderId="0" xfId="0" quotePrefix="1" applyNumberFormat="1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5" fontId="15" fillId="0" borderId="0" xfId="2" applyNumberFormat="1" applyFont="1" applyAlignment="1">
      <alignment horizontal="center" vertical="center"/>
    </xf>
    <xf numFmtId="4" fontId="6" fillId="0" borderId="14" xfId="2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28" xfId="0" applyFont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30" fillId="0" borderId="0" xfId="0" applyFont="1" applyAlignment="1">
      <alignment horizontal="center"/>
    </xf>
    <xf numFmtId="0" fontId="28" fillId="0" borderId="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wrapText="1"/>
    </xf>
    <xf numFmtId="0" fontId="27" fillId="0" borderId="11" xfId="0" applyFont="1" applyBorder="1" applyAlignment="1">
      <alignment horizontal="center"/>
    </xf>
    <xf numFmtId="2" fontId="27" fillId="0" borderId="11" xfId="0" applyNumberFormat="1" applyFont="1" applyBorder="1" applyAlignment="1">
      <alignment horizontal="center" vertical="center"/>
    </xf>
    <xf numFmtId="0" fontId="29" fillId="0" borderId="28" xfId="0" quotePrefix="1" applyFont="1" applyBorder="1" applyAlignment="1">
      <alignment vertical="center"/>
    </xf>
    <xf numFmtId="0" fontId="3" fillId="0" borderId="14" xfId="2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4" fontId="32" fillId="0" borderId="7" xfId="0" applyNumberFormat="1" applyFont="1" applyBorder="1" applyAlignment="1">
      <alignment horizontal="center" vertical="center"/>
    </xf>
    <xf numFmtId="4" fontId="32" fillId="0" borderId="14" xfId="0" applyNumberFormat="1" applyFont="1" applyBorder="1" applyAlignment="1">
      <alignment horizontal="center" vertical="center"/>
    </xf>
    <xf numFmtId="4" fontId="32" fillId="0" borderId="15" xfId="0" applyNumberFormat="1" applyFont="1" applyBorder="1" applyAlignment="1">
      <alignment horizontal="center" vertical="center"/>
    </xf>
    <xf numFmtId="4" fontId="32" fillId="0" borderId="0" xfId="1" applyNumberFormat="1" applyFont="1" applyAlignment="1">
      <alignment horizontal="center" vertical="center"/>
    </xf>
    <xf numFmtId="4" fontId="32" fillId="0" borderId="1" xfId="1" applyNumberFormat="1" applyFont="1" applyBorder="1" applyAlignment="1">
      <alignment horizontal="center" vertical="center"/>
    </xf>
    <xf numFmtId="4" fontId="32" fillId="0" borderId="9" xfId="1" applyNumberFormat="1" applyFont="1" applyBorder="1" applyAlignment="1">
      <alignment horizontal="center" vertical="center"/>
    </xf>
    <xf numFmtId="4" fontId="32" fillId="0" borderId="14" xfId="1" applyNumberFormat="1" applyFont="1" applyBorder="1" applyAlignment="1">
      <alignment horizontal="center" vertical="center"/>
    </xf>
    <xf numFmtId="4" fontId="32" fillId="0" borderId="15" xfId="1" applyNumberFormat="1" applyFont="1" applyBorder="1" applyAlignment="1">
      <alignment horizontal="center" vertical="center"/>
    </xf>
    <xf numFmtId="4" fontId="32" fillId="0" borderId="9" xfId="0" applyNumberFormat="1" applyFont="1" applyBorder="1" applyAlignment="1">
      <alignment horizontal="center" vertical="center"/>
    </xf>
    <xf numFmtId="4" fontId="32" fillId="0" borderId="4" xfId="1" applyNumberFormat="1" applyFont="1" applyBorder="1" applyAlignment="1">
      <alignment horizontal="center" vertical="center"/>
    </xf>
    <xf numFmtId="4" fontId="32" fillId="0" borderId="16" xfId="1" applyNumberFormat="1" applyFont="1" applyBorder="1" applyAlignment="1">
      <alignment horizontal="center" vertical="center"/>
    </xf>
    <xf numFmtId="4" fontId="32" fillId="0" borderId="17" xfId="1" applyNumberFormat="1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8" xfId="0" quotePrefix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14" borderId="8" xfId="0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" fillId="9" borderId="0" xfId="0" applyFont="1" applyFill="1"/>
    <xf numFmtId="0" fontId="8" fillId="3" borderId="0" xfId="0" applyFont="1" applyFill="1" applyAlignment="1">
      <alignment wrapText="1"/>
    </xf>
    <xf numFmtId="0" fontId="35" fillId="0" borderId="0" xfId="0" applyFont="1" applyAlignment="1">
      <alignment horizontal="center" vertical="center"/>
    </xf>
    <xf numFmtId="15" fontId="0" fillId="0" borderId="0" xfId="0" quotePrefix="1" applyNumberFormat="1"/>
    <xf numFmtId="0" fontId="9" fillId="0" borderId="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</cellXfs>
  <cellStyles count="5">
    <cellStyle name="Milliers" xfId="1" builtinId="3"/>
    <cellStyle name="Normal" xfId="0" builtinId="0"/>
    <cellStyle name="Normal 2" xfId="2"/>
    <cellStyle name="Normal 3" xfId="4"/>
    <cellStyle name="Pourcentage 2" xfId="3"/>
  </cellStyles>
  <dxfs count="1">
    <dxf>
      <font>
        <b/>
        <i val="0"/>
        <color theme="1"/>
      </font>
    </dxf>
  </dxfs>
  <tableStyles count="0" defaultTableStyle="TableStyleMedium2" defaultPivotStyle="PivotStyleLight16"/>
  <colors>
    <mruColors>
      <color rgb="FFFFC1C1"/>
      <color rgb="FFFEBABA"/>
      <color rgb="FFFF8F8F"/>
      <color rgb="FF1548A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2" name="Image 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15</xdr:row>
      <xdr:rowOff>0</xdr:rowOff>
    </xdr:from>
    <xdr:to>
      <xdr:col>6</xdr:col>
      <xdr:colOff>28575</xdr:colOff>
      <xdr:row>15</xdr:row>
      <xdr:rowOff>9525</xdr:rowOff>
    </xdr:to>
    <xdr:pic>
      <xdr:nvPicPr>
        <xdr:cNvPr id="3" name="Image 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15</xdr:row>
      <xdr:rowOff>0</xdr:rowOff>
    </xdr:from>
    <xdr:to>
      <xdr:col>6</xdr:col>
      <xdr:colOff>47625</xdr:colOff>
      <xdr:row>15</xdr:row>
      <xdr:rowOff>9525</xdr:rowOff>
    </xdr:to>
    <xdr:pic>
      <xdr:nvPicPr>
        <xdr:cNvPr id="4" name="Image 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15</xdr:row>
      <xdr:rowOff>0</xdr:rowOff>
    </xdr:from>
    <xdr:to>
      <xdr:col>6</xdr:col>
      <xdr:colOff>66675</xdr:colOff>
      <xdr:row>15</xdr:row>
      <xdr:rowOff>9525</xdr:rowOff>
    </xdr:to>
    <xdr:pic>
      <xdr:nvPicPr>
        <xdr:cNvPr id="5" name="Image 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15</xdr:row>
      <xdr:rowOff>0</xdr:rowOff>
    </xdr:from>
    <xdr:to>
      <xdr:col>6</xdr:col>
      <xdr:colOff>85725</xdr:colOff>
      <xdr:row>15</xdr:row>
      <xdr:rowOff>9525</xdr:rowOff>
    </xdr:to>
    <xdr:pic>
      <xdr:nvPicPr>
        <xdr:cNvPr id="6" name="Image 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15</xdr:row>
      <xdr:rowOff>0</xdr:rowOff>
    </xdr:from>
    <xdr:to>
      <xdr:col>6</xdr:col>
      <xdr:colOff>104775</xdr:colOff>
      <xdr:row>15</xdr:row>
      <xdr:rowOff>9525</xdr:rowOff>
    </xdr:to>
    <xdr:pic>
      <xdr:nvPicPr>
        <xdr:cNvPr id="7" name="Image 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15</xdr:row>
      <xdr:rowOff>0</xdr:rowOff>
    </xdr:from>
    <xdr:to>
      <xdr:col>6</xdr:col>
      <xdr:colOff>123825</xdr:colOff>
      <xdr:row>15</xdr:row>
      <xdr:rowOff>9525</xdr:rowOff>
    </xdr:to>
    <xdr:pic>
      <xdr:nvPicPr>
        <xdr:cNvPr id="8" name="Image 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15</xdr:row>
      <xdr:rowOff>0</xdr:rowOff>
    </xdr:from>
    <xdr:to>
      <xdr:col>6</xdr:col>
      <xdr:colOff>142875</xdr:colOff>
      <xdr:row>15</xdr:row>
      <xdr:rowOff>9525</xdr:rowOff>
    </xdr:to>
    <xdr:pic>
      <xdr:nvPicPr>
        <xdr:cNvPr id="9" name="Image 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3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15</xdr:row>
      <xdr:rowOff>0</xdr:rowOff>
    </xdr:from>
    <xdr:to>
      <xdr:col>6</xdr:col>
      <xdr:colOff>161925</xdr:colOff>
      <xdr:row>15</xdr:row>
      <xdr:rowOff>9525</xdr:rowOff>
    </xdr:to>
    <xdr:pic>
      <xdr:nvPicPr>
        <xdr:cNvPr id="10" name="Image 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15</xdr:row>
      <xdr:rowOff>0</xdr:rowOff>
    </xdr:from>
    <xdr:to>
      <xdr:col>6</xdr:col>
      <xdr:colOff>180975</xdr:colOff>
      <xdr:row>15</xdr:row>
      <xdr:rowOff>9525</xdr:rowOff>
    </xdr:to>
    <xdr:pic>
      <xdr:nvPicPr>
        <xdr:cNvPr id="11" name="Image 1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15</xdr:row>
      <xdr:rowOff>0</xdr:rowOff>
    </xdr:from>
    <xdr:to>
      <xdr:col>6</xdr:col>
      <xdr:colOff>200025</xdr:colOff>
      <xdr:row>15</xdr:row>
      <xdr:rowOff>9525</xdr:rowOff>
    </xdr:to>
    <xdr:pic>
      <xdr:nvPicPr>
        <xdr:cNvPr id="12" name="Image 1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11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15</xdr:row>
      <xdr:rowOff>0</xdr:rowOff>
    </xdr:from>
    <xdr:to>
      <xdr:col>6</xdr:col>
      <xdr:colOff>219075</xdr:colOff>
      <xdr:row>15</xdr:row>
      <xdr:rowOff>9525</xdr:rowOff>
    </xdr:to>
    <xdr:pic>
      <xdr:nvPicPr>
        <xdr:cNvPr id="13" name="Image 1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01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15</xdr:row>
      <xdr:rowOff>0</xdr:rowOff>
    </xdr:from>
    <xdr:to>
      <xdr:col>6</xdr:col>
      <xdr:colOff>238125</xdr:colOff>
      <xdr:row>15</xdr:row>
      <xdr:rowOff>9525</xdr:rowOff>
    </xdr:to>
    <xdr:pic>
      <xdr:nvPicPr>
        <xdr:cNvPr id="14" name="Image 1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15</xdr:row>
      <xdr:rowOff>0</xdr:rowOff>
    </xdr:from>
    <xdr:to>
      <xdr:col>6</xdr:col>
      <xdr:colOff>257175</xdr:colOff>
      <xdr:row>15</xdr:row>
      <xdr:rowOff>9525</xdr:rowOff>
    </xdr:to>
    <xdr:pic>
      <xdr:nvPicPr>
        <xdr:cNvPr id="15" name="Image 1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15</xdr:row>
      <xdr:rowOff>0</xdr:rowOff>
    </xdr:from>
    <xdr:to>
      <xdr:col>6</xdr:col>
      <xdr:colOff>276225</xdr:colOff>
      <xdr:row>15</xdr:row>
      <xdr:rowOff>9525</xdr:rowOff>
    </xdr:to>
    <xdr:pic>
      <xdr:nvPicPr>
        <xdr:cNvPr id="16" name="Image 1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15</xdr:row>
      <xdr:rowOff>0</xdr:rowOff>
    </xdr:from>
    <xdr:to>
      <xdr:col>6</xdr:col>
      <xdr:colOff>295275</xdr:colOff>
      <xdr:row>15</xdr:row>
      <xdr:rowOff>9525</xdr:rowOff>
    </xdr:to>
    <xdr:pic>
      <xdr:nvPicPr>
        <xdr:cNvPr id="17" name="Image 1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63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15</xdr:row>
      <xdr:rowOff>0</xdr:rowOff>
    </xdr:from>
    <xdr:to>
      <xdr:col>6</xdr:col>
      <xdr:colOff>314325</xdr:colOff>
      <xdr:row>15</xdr:row>
      <xdr:rowOff>9525</xdr:rowOff>
    </xdr:to>
    <xdr:pic>
      <xdr:nvPicPr>
        <xdr:cNvPr id="18" name="Image 1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15</xdr:row>
      <xdr:rowOff>0</xdr:rowOff>
    </xdr:from>
    <xdr:to>
      <xdr:col>6</xdr:col>
      <xdr:colOff>333375</xdr:colOff>
      <xdr:row>15</xdr:row>
      <xdr:rowOff>9525</xdr:rowOff>
    </xdr:to>
    <xdr:pic>
      <xdr:nvPicPr>
        <xdr:cNvPr id="19" name="Image 1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44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15</xdr:row>
      <xdr:rowOff>0</xdr:rowOff>
    </xdr:from>
    <xdr:to>
      <xdr:col>6</xdr:col>
      <xdr:colOff>352425</xdr:colOff>
      <xdr:row>15</xdr:row>
      <xdr:rowOff>9525</xdr:rowOff>
    </xdr:to>
    <xdr:pic>
      <xdr:nvPicPr>
        <xdr:cNvPr id="20" name="Image 1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15</xdr:row>
      <xdr:rowOff>0</xdr:rowOff>
    </xdr:from>
    <xdr:to>
      <xdr:col>6</xdr:col>
      <xdr:colOff>371475</xdr:colOff>
      <xdr:row>15</xdr:row>
      <xdr:rowOff>9525</xdr:rowOff>
    </xdr:to>
    <xdr:pic>
      <xdr:nvPicPr>
        <xdr:cNvPr id="21" name="Image 2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25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15</xdr:row>
      <xdr:rowOff>0</xdr:rowOff>
    </xdr:from>
    <xdr:to>
      <xdr:col>6</xdr:col>
      <xdr:colOff>390525</xdr:colOff>
      <xdr:row>15</xdr:row>
      <xdr:rowOff>9525</xdr:rowOff>
    </xdr:to>
    <xdr:pic>
      <xdr:nvPicPr>
        <xdr:cNvPr id="22" name="Image 2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15</xdr:row>
      <xdr:rowOff>0</xdr:rowOff>
    </xdr:from>
    <xdr:to>
      <xdr:col>6</xdr:col>
      <xdr:colOff>409575</xdr:colOff>
      <xdr:row>15</xdr:row>
      <xdr:rowOff>9525</xdr:rowOff>
    </xdr:to>
    <xdr:pic>
      <xdr:nvPicPr>
        <xdr:cNvPr id="23" name="Image 2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0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15</xdr:row>
      <xdr:rowOff>0</xdr:rowOff>
    </xdr:from>
    <xdr:to>
      <xdr:col>6</xdr:col>
      <xdr:colOff>428625</xdr:colOff>
      <xdr:row>15</xdr:row>
      <xdr:rowOff>9525</xdr:rowOff>
    </xdr:to>
    <xdr:pic>
      <xdr:nvPicPr>
        <xdr:cNvPr id="24" name="Image 2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59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15</xdr:row>
      <xdr:rowOff>0</xdr:rowOff>
    </xdr:from>
    <xdr:to>
      <xdr:col>6</xdr:col>
      <xdr:colOff>447675</xdr:colOff>
      <xdr:row>15</xdr:row>
      <xdr:rowOff>9525</xdr:rowOff>
    </xdr:to>
    <xdr:pic>
      <xdr:nvPicPr>
        <xdr:cNvPr id="25" name="Image 2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15</xdr:row>
      <xdr:rowOff>0</xdr:rowOff>
    </xdr:from>
    <xdr:to>
      <xdr:col>6</xdr:col>
      <xdr:colOff>466725</xdr:colOff>
      <xdr:row>15</xdr:row>
      <xdr:rowOff>9525</xdr:rowOff>
    </xdr:to>
    <xdr:pic>
      <xdr:nvPicPr>
        <xdr:cNvPr id="26" name="Image 2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15</xdr:row>
      <xdr:rowOff>0</xdr:rowOff>
    </xdr:from>
    <xdr:to>
      <xdr:col>6</xdr:col>
      <xdr:colOff>485775</xdr:colOff>
      <xdr:row>15</xdr:row>
      <xdr:rowOff>9525</xdr:rowOff>
    </xdr:to>
    <xdr:pic>
      <xdr:nvPicPr>
        <xdr:cNvPr id="27" name="Image 2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6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495300</xdr:colOff>
      <xdr:row>15</xdr:row>
      <xdr:rowOff>0</xdr:rowOff>
    </xdr:from>
    <xdr:to>
      <xdr:col>6</xdr:col>
      <xdr:colOff>504825</xdr:colOff>
      <xdr:row>15</xdr:row>
      <xdr:rowOff>9525</xdr:rowOff>
    </xdr:to>
    <xdr:pic>
      <xdr:nvPicPr>
        <xdr:cNvPr id="28" name="Image 2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514350</xdr:colOff>
      <xdr:row>15</xdr:row>
      <xdr:rowOff>0</xdr:rowOff>
    </xdr:from>
    <xdr:to>
      <xdr:col>6</xdr:col>
      <xdr:colOff>523875</xdr:colOff>
      <xdr:row>15</xdr:row>
      <xdr:rowOff>9525</xdr:rowOff>
    </xdr:to>
    <xdr:pic>
      <xdr:nvPicPr>
        <xdr:cNvPr id="29" name="Image 2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4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15</xdr:row>
      <xdr:rowOff>0</xdr:rowOff>
    </xdr:from>
    <xdr:to>
      <xdr:col>6</xdr:col>
      <xdr:colOff>542925</xdr:colOff>
      <xdr:row>15</xdr:row>
      <xdr:rowOff>9525</xdr:rowOff>
    </xdr:to>
    <xdr:pic>
      <xdr:nvPicPr>
        <xdr:cNvPr id="30" name="Image 2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552450</xdr:colOff>
      <xdr:row>15</xdr:row>
      <xdr:rowOff>0</xdr:rowOff>
    </xdr:from>
    <xdr:to>
      <xdr:col>6</xdr:col>
      <xdr:colOff>561975</xdr:colOff>
      <xdr:row>15</xdr:row>
      <xdr:rowOff>9525</xdr:rowOff>
    </xdr:to>
    <xdr:pic>
      <xdr:nvPicPr>
        <xdr:cNvPr id="31" name="Image 3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</xdr:colOff>
      <xdr:row>48</xdr:row>
      <xdr:rowOff>9525</xdr:rowOff>
    </xdr:to>
    <xdr:pic>
      <xdr:nvPicPr>
        <xdr:cNvPr id="32" name="Image 3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48</xdr:row>
      <xdr:rowOff>0</xdr:rowOff>
    </xdr:from>
    <xdr:to>
      <xdr:col>6</xdr:col>
      <xdr:colOff>28575</xdr:colOff>
      <xdr:row>48</xdr:row>
      <xdr:rowOff>9525</xdr:rowOff>
    </xdr:to>
    <xdr:pic>
      <xdr:nvPicPr>
        <xdr:cNvPr id="33" name="Image 3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48</xdr:row>
      <xdr:rowOff>0</xdr:rowOff>
    </xdr:from>
    <xdr:to>
      <xdr:col>6</xdr:col>
      <xdr:colOff>47625</xdr:colOff>
      <xdr:row>48</xdr:row>
      <xdr:rowOff>9525</xdr:rowOff>
    </xdr:to>
    <xdr:pic>
      <xdr:nvPicPr>
        <xdr:cNvPr id="34" name="Image 3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48</xdr:row>
      <xdr:rowOff>0</xdr:rowOff>
    </xdr:from>
    <xdr:to>
      <xdr:col>6</xdr:col>
      <xdr:colOff>66675</xdr:colOff>
      <xdr:row>48</xdr:row>
      <xdr:rowOff>9525</xdr:rowOff>
    </xdr:to>
    <xdr:pic>
      <xdr:nvPicPr>
        <xdr:cNvPr id="35" name="Image 3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48</xdr:row>
      <xdr:rowOff>0</xdr:rowOff>
    </xdr:from>
    <xdr:to>
      <xdr:col>6</xdr:col>
      <xdr:colOff>85725</xdr:colOff>
      <xdr:row>48</xdr:row>
      <xdr:rowOff>9525</xdr:rowOff>
    </xdr:to>
    <xdr:pic>
      <xdr:nvPicPr>
        <xdr:cNvPr id="36" name="Image 3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48</xdr:row>
      <xdr:rowOff>0</xdr:rowOff>
    </xdr:from>
    <xdr:to>
      <xdr:col>6</xdr:col>
      <xdr:colOff>104775</xdr:colOff>
      <xdr:row>48</xdr:row>
      <xdr:rowOff>9525</xdr:rowOff>
    </xdr:to>
    <xdr:pic>
      <xdr:nvPicPr>
        <xdr:cNvPr id="37" name="Image 3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48</xdr:row>
      <xdr:rowOff>0</xdr:rowOff>
    </xdr:from>
    <xdr:to>
      <xdr:col>6</xdr:col>
      <xdr:colOff>123825</xdr:colOff>
      <xdr:row>48</xdr:row>
      <xdr:rowOff>9525</xdr:rowOff>
    </xdr:to>
    <xdr:pic>
      <xdr:nvPicPr>
        <xdr:cNvPr id="38" name="Image 3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48</xdr:row>
      <xdr:rowOff>0</xdr:rowOff>
    </xdr:from>
    <xdr:to>
      <xdr:col>6</xdr:col>
      <xdr:colOff>142875</xdr:colOff>
      <xdr:row>48</xdr:row>
      <xdr:rowOff>9525</xdr:rowOff>
    </xdr:to>
    <xdr:pic>
      <xdr:nvPicPr>
        <xdr:cNvPr id="39" name="Image 3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48</xdr:row>
      <xdr:rowOff>0</xdr:rowOff>
    </xdr:from>
    <xdr:to>
      <xdr:col>6</xdr:col>
      <xdr:colOff>161925</xdr:colOff>
      <xdr:row>48</xdr:row>
      <xdr:rowOff>9525</xdr:rowOff>
    </xdr:to>
    <xdr:pic>
      <xdr:nvPicPr>
        <xdr:cNvPr id="40" name="Image 3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48</xdr:row>
      <xdr:rowOff>0</xdr:rowOff>
    </xdr:from>
    <xdr:to>
      <xdr:col>6</xdr:col>
      <xdr:colOff>180975</xdr:colOff>
      <xdr:row>48</xdr:row>
      <xdr:rowOff>9525</xdr:rowOff>
    </xdr:to>
    <xdr:pic>
      <xdr:nvPicPr>
        <xdr:cNvPr id="41" name="Image 4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20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48</xdr:row>
      <xdr:rowOff>0</xdr:rowOff>
    </xdr:from>
    <xdr:to>
      <xdr:col>6</xdr:col>
      <xdr:colOff>200025</xdr:colOff>
      <xdr:row>48</xdr:row>
      <xdr:rowOff>9525</xdr:rowOff>
    </xdr:to>
    <xdr:pic>
      <xdr:nvPicPr>
        <xdr:cNvPr id="42" name="Image 41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48</xdr:row>
      <xdr:rowOff>0</xdr:rowOff>
    </xdr:from>
    <xdr:to>
      <xdr:col>6</xdr:col>
      <xdr:colOff>219075</xdr:colOff>
      <xdr:row>48</xdr:row>
      <xdr:rowOff>9525</xdr:rowOff>
    </xdr:to>
    <xdr:pic>
      <xdr:nvPicPr>
        <xdr:cNvPr id="43" name="Image 42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48</xdr:row>
      <xdr:rowOff>0</xdr:rowOff>
    </xdr:from>
    <xdr:to>
      <xdr:col>6</xdr:col>
      <xdr:colOff>238125</xdr:colOff>
      <xdr:row>48</xdr:row>
      <xdr:rowOff>9525</xdr:rowOff>
    </xdr:to>
    <xdr:pic>
      <xdr:nvPicPr>
        <xdr:cNvPr id="44" name="Image 43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48</xdr:row>
      <xdr:rowOff>0</xdr:rowOff>
    </xdr:from>
    <xdr:to>
      <xdr:col>6</xdr:col>
      <xdr:colOff>257175</xdr:colOff>
      <xdr:row>48</xdr:row>
      <xdr:rowOff>9525</xdr:rowOff>
    </xdr:to>
    <xdr:pic>
      <xdr:nvPicPr>
        <xdr:cNvPr id="45" name="Image 44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48</xdr:row>
      <xdr:rowOff>0</xdr:rowOff>
    </xdr:from>
    <xdr:to>
      <xdr:col>6</xdr:col>
      <xdr:colOff>276225</xdr:colOff>
      <xdr:row>48</xdr:row>
      <xdr:rowOff>9525</xdr:rowOff>
    </xdr:to>
    <xdr:pic>
      <xdr:nvPicPr>
        <xdr:cNvPr id="46" name="Image 45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48</xdr:row>
      <xdr:rowOff>0</xdr:rowOff>
    </xdr:from>
    <xdr:to>
      <xdr:col>6</xdr:col>
      <xdr:colOff>295275</xdr:colOff>
      <xdr:row>48</xdr:row>
      <xdr:rowOff>9525</xdr:rowOff>
    </xdr:to>
    <xdr:pic>
      <xdr:nvPicPr>
        <xdr:cNvPr id="47" name="Image 46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48</xdr:row>
      <xdr:rowOff>0</xdr:rowOff>
    </xdr:from>
    <xdr:to>
      <xdr:col>6</xdr:col>
      <xdr:colOff>314325</xdr:colOff>
      <xdr:row>48</xdr:row>
      <xdr:rowOff>9525</xdr:rowOff>
    </xdr:to>
    <xdr:pic>
      <xdr:nvPicPr>
        <xdr:cNvPr id="48" name="Image 47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48</xdr:row>
      <xdr:rowOff>0</xdr:rowOff>
    </xdr:from>
    <xdr:to>
      <xdr:col>6</xdr:col>
      <xdr:colOff>333375</xdr:colOff>
      <xdr:row>48</xdr:row>
      <xdr:rowOff>9525</xdr:rowOff>
    </xdr:to>
    <xdr:pic>
      <xdr:nvPicPr>
        <xdr:cNvPr id="49" name="Image 48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48</xdr:row>
      <xdr:rowOff>0</xdr:rowOff>
    </xdr:from>
    <xdr:to>
      <xdr:col>6</xdr:col>
      <xdr:colOff>352425</xdr:colOff>
      <xdr:row>48</xdr:row>
      <xdr:rowOff>9525</xdr:rowOff>
    </xdr:to>
    <xdr:pic>
      <xdr:nvPicPr>
        <xdr:cNvPr id="50" name="Image 49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48</xdr:row>
      <xdr:rowOff>0</xdr:rowOff>
    </xdr:from>
    <xdr:to>
      <xdr:col>6</xdr:col>
      <xdr:colOff>371475</xdr:colOff>
      <xdr:row>48</xdr:row>
      <xdr:rowOff>9525</xdr:rowOff>
    </xdr:to>
    <xdr:pic>
      <xdr:nvPicPr>
        <xdr:cNvPr id="51" name="Image 50" descr="https://www.ebi.ac.uk/chebi/images/invisible_space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13</xdr:col>
      <xdr:colOff>0</xdr:colOff>
      <xdr:row>6</xdr:row>
      <xdr:rowOff>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8858250" y="1200150"/>
          <a:ext cx="1009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0</xdr:rowOff>
    </xdr:from>
    <xdr:to>
      <xdr:col>15</xdr:col>
      <xdr:colOff>0</xdr:colOff>
      <xdr:row>6</xdr:row>
      <xdr:rowOff>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1572875" y="1200150"/>
          <a:ext cx="1114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830038</xdr:colOff>
      <xdr:row>7</xdr:row>
      <xdr:rowOff>17690</xdr:rowOff>
    </xdr:from>
    <xdr:to>
      <xdr:col>13</xdr:col>
      <xdr:colOff>831273</xdr:colOff>
      <xdr:row>11</xdr:row>
      <xdr:rowOff>17318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0632129" y="1472417"/>
          <a:ext cx="1235" cy="830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825954</xdr:colOff>
      <xdr:row>15</xdr:row>
      <xdr:rowOff>34636</xdr:rowOff>
    </xdr:from>
    <xdr:to>
      <xdr:col>13</xdr:col>
      <xdr:colOff>825954</xdr:colOff>
      <xdr:row>19</xdr:row>
      <xdr:rowOff>202749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H="1">
          <a:off x="10628045" y="3186545"/>
          <a:ext cx="0" cy="999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1469572</xdr:colOff>
      <xdr:row>21</xdr:row>
      <xdr:rowOff>0</xdr:rowOff>
    </xdr:from>
    <xdr:to>
      <xdr:col>13</xdr:col>
      <xdr:colOff>0</xdr:colOff>
      <xdr:row>21</xdr:row>
      <xdr:rowOff>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H="1">
          <a:off x="8155215" y="4227286"/>
          <a:ext cx="22134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19050</xdr:colOff>
      <xdr:row>13</xdr:row>
      <xdr:rowOff>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11572875" y="2600325"/>
          <a:ext cx="1133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15</xdr:col>
      <xdr:colOff>537883</xdr:colOff>
      <xdr:row>32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8429625" y="6600825"/>
          <a:ext cx="36811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550526</xdr:colOff>
      <xdr:row>32</xdr:row>
      <xdr:rowOff>9525</xdr:rowOff>
    </xdr:from>
    <xdr:to>
      <xdr:col>15</xdr:col>
      <xdr:colOff>550526</xdr:colOff>
      <xdr:row>32</xdr:row>
      <xdr:rowOff>189525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H="1">
          <a:off x="13245990" y="6540954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32</xdr:row>
      <xdr:rowOff>9525</xdr:rowOff>
    </xdr:from>
    <xdr:to>
      <xdr:col>14</xdr:col>
      <xdr:colOff>457200</xdr:colOff>
      <xdr:row>32</xdr:row>
      <xdr:rowOff>189525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 flipH="1">
          <a:off x="10325100" y="6610350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638175</xdr:colOff>
      <xdr:row>32</xdr:row>
      <xdr:rowOff>0</xdr:rowOff>
    </xdr:from>
    <xdr:to>
      <xdr:col>13</xdr:col>
      <xdr:colOff>638175</xdr:colOff>
      <xdr:row>32</xdr:row>
      <xdr:rowOff>180000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 flipH="1">
          <a:off x="94964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12</xdr:col>
      <xdr:colOff>581025</xdr:colOff>
      <xdr:row>32</xdr:row>
      <xdr:rowOff>180000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84296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789215</xdr:colOff>
      <xdr:row>15</xdr:row>
      <xdr:rowOff>85272</xdr:rowOff>
    </xdr:from>
    <xdr:to>
      <xdr:col>15</xdr:col>
      <xdr:colOff>789215</xdr:colOff>
      <xdr:row>25</xdr:row>
      <xdr:rowOff>109925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14713858" y="3115129"/>
          <a:ext cx="0" cy="20566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752475</xdr:colOff>
      <xdr:row>4</xdr:row>
      <xdr:rowOff>0</xdr:rowOff>
    </xdr:from>
    <xdr:to>
      <xdr:col>33</xdr:col>
      <xdr:colOff>1</xdr:colOff>
      <xdr:row>4</xdr:row>
      <xdr:rowOff>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 flipH="1">
          <a:off x="23898225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</xdr:row>
      <xdr:rowOff>0</xdr:rowOff>
    </xdr:from>
    <xdr:to>
      <xdr:col>37</xdr:col>
      <xdr:colOff>9526</xdr:colOff>
      <xdr:row>4</xdr:row>
      <xdr:rowOff>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>
          <a:off x="26955750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217714</xdr:colOff>
      <xdr:row>5</xdr:row>
      <xdr:rowOff>27214</xdr:rowOff>
    </xdr:from>
    <xdr:to>
      <xdr:col>36</xdr:col>
      <xdr:colOff>748393</xdr:colOff>
      <xdr:row>7</xdr:row>
      <xdr:rowOff>27214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26452285" y="1047750"/>
          <a:ext cx="1292679" cy="4082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17</xdr:row>
      <xdr:rowOff>0</xdr:rowOff>
    </xdr:from>
    <xdr:to>
      <xdr:col>37</xdr:col>
      <xdr:colOff>9525</xdr:colOff>
      <xdr:row>17</xdr:row>
      <xdr:rowOff>0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26965275" y="3400425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95252</xdr:colOff>
      <xdr:row>5</xdr:row>
      <xdr:rowOff>0</xdr:rowOff>
    </xdr:from>
    <xdr:to>
      <xdr:col>33</xdr:col>
      <xdr:colOff>0</xdr:colOff>
      <xdr:row>6</xdr:row>
      <xdr:rowOff>66675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24043823" y="1020536"/>
          <a:ext cx="666748" cy="270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14</xdr:row>
      <xdr:rowOff>100853</xdr:rowOff>
    </xdr:from>
    <xdr:to>
      <xdr:col>40</xdr:col>
      <xdr:colOff>190500</xdr:colOff>
      <xdr:row>16</xdr:row>
      <xdr:rowOff>85726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 flipV="1">
          <a:off x="29463066" y="2924735"/>
          <a:ext cx="142875" cy="38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28575</xdr:colOff>
      <xdr:row>15</xdr:row>
      <xdr:rowOff>145677</xdr:rowOff>
    </xdr:from>
    <xdr:to>
      <xdr:col>41</xdr:col>
      <xdr:colOff>78441</xdr:colOff>
      <xdr:row>16</xdr:row>
      <xdr:rowOff>95250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 flipV="1">
          <a:off x="29444016" y="3171265"/>
          <a:ext cx="251572" cy="151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76200</xdr:colOff>
      <xdr:row>16</xdr:row>
      <xdr:rowOff>104775</xdr:rowOff>
    </xdr:from>
    <xdr:to>
      <xdr:col>41</xdr:col>
      <xdr:colOff>89647</xdr:colOff>
      <xdr:row>16</xdr:row>
      <xdr:rowOff>123265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29491641" y="3332069"/>
          <a:ext cx="215153" cy="18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16</xdr:row>
      <xdr:rowOff>85725</xdr:rowOff>
    </xdr:from>
    <xdr:to>
      <xdr:col>41</xdr:col>
      <xdr:colOff>0</xdr:colOff>
      <xdr:row>17</xdr:row>
      <xdr:rowOff>145676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>
          <a:off x="29463066" y="3313019"/>
          <a:ext cx="154081" cy="2616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17</xdr:row>
      <xdr:rowOff>0</xdr:rowOff>
    </xdr:from>
    <xdr:to>
      <xdr:col>32</xdr:col>
      <xdr:colOff>742950</xdr:colOff>
      <xdr:row>17</xdr:row>
      <xdr:rowOff>0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23926800" y="3400425"/>
          <a:ext cx="723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25</xdr:row>
      <xdr:rowOff>0</xdr:rowOff>
    </xdr:from>
    <xdr:to>
      <xdr:col>37</xdr:col>
      <xdr:colOff>19050</xdr:colOff>
      <xdr:row>25</xdr:row>
      <xdr:rowOff>1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 flipV="1">
          <a:off x="26955750" y="5200650"/>
          <a:ext cx="7810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1823357</xdr:colOff>
      <xdr:row>7</xdr:row>
      <xdr:rowOff>0</xdr:rowOff>
    </xdr:from>
    <xdr:to>
      <xdr:col>15</xdr:col>
      <xdr:colOff>13607</xdr:colOff>
      <xdr:row>9</xdr:row>
      <xdr:rowOff>13607</xdr:rowOff>
    </xdr:to>
    <xdr:cxnSp macro="">
      <xdr:nvCxnSpPr>
        <xdr:cNvPr id="19" name="Connecteur en 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12192000" y="1397000"/>
          <a:ext cx="1746250" cy="412750"/>
        </a:xfrm>
        <a:prstGeom prst="bentConnector3">
          <a:avLst>
            <a:gd name="adj1" fmla="val 86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1387930</xdr:colOff>
      <xdr:row>23</xdr:row>
      <xdr:rowOff>-1</xdr:rowOff>
    </xdr:from>
    <xdr:to>
      <xdr:col>13</xdr:col>
      <xdr:colOff>27215</xdr:colOff>
      <xdr:row>29</xdr:row>
      <xdr:rowOff>108856</xdr:rowOff>
    </xdr:to>
    <xdr:cxnSp macro="">
      <xdr:nvCxnSpPr>
        <xdr:cNvPr id="37" name="Connecteur en 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rot="10800000" flipV="1">
          <a:off x="7769680" y="4735285"/>
          <a:ext cx="2136321" cy="1374321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508000</xdr:colOff>
      <xdr:row>17</xdr:row>
      <xdr:rowOff>45357</xdr:rowOff>
    </xdr:from>
    <xdr:to>
      <xdr:col>37</xdr:col>
      <xdr:colOff>508000</xdr:colOff>
      <xdr:row>19</xdr:row>
      <xdr:rowOff>163286</xdr:rowOff>
    </xdr:to>
    <xdr:cxnSp macro="">
      <xdr:nvCxnSpPr>
        <xdr:cNvPr id="34" name="Connecteur droit avec flèch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>
          <a:off x="30198786" y="3474357"/>
          <a:ext cx="0" cy="5170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417286</xdr:colOff>
      <xdr:row>17</xdr:row>
      <xdr:rowOff>36286</xdr:rowOff>
    </xdr:from>
    <xdr:to>
      <xdr:col>37</xdr:col>
      <xdr:colOff>190500</xdr:colOff>
      <xdr:row>19</xdr:row>
      <xdr:rowOff>117928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 flipH="1">
          <a:off x="29309786" y="3465286"/>
          <a:ext cx="571500" cy="480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9071</xdr:colOff>
      <xdr:row>21</xdr:row>
      <xdr:rowOff>63500</xdr:rowOff>
    </xdr:from>
    <xdr:to>
      <xdr:col>15</xdr:col>
      <xdr:colOff>789214</xdr:colOff>
      <xdr:row>21</xdr:row>
      <xdr:rowOff>63500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CxnSpPr/>
      </xdr:nvCxnSpPr>
      <xdr:spPr>
        <a:xfrm flipV="1">
          <a:off x="12763500" y="4290786"/>
          <a:ext cx="19503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786946</xdr:colOff>
      <xdr:row>15</xdr:row>
      <xdr:rowOff>72572</xdr:rowOff>
    </xdr:from>
    <xdr:to>
      <xdr:col>16</xdr:col>
      <xdr:colOff>45358</xdr:colOff>
      <xdr:row>15</xdr:row>
      <xdr:rowOff>72572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 flipV="1">
          <a:off x="14711589" y="3102429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794204</xdr:colOff>
      <xdr:row>19</xdr:row>
      <xdr:rowOff>134258</xdr:rowOff>
    </xdr:from>
    <xdr:to>
      <xdr:col>16</xdr:col>
      <xdr:colOff>52616</xdr:colOff>
      <xdr:row>19</xdr:row>
      <xdr:rowOff>134258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 flipV="1">
          <a:off x="14718847" y="3962401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792390</xdr:colOff>
      <xdr:row>23</xdr:row>
      <xdr:rowOff>141515</xdr:rowOff>
    </xdr:from>
    <xdr:to>
      <xdr:col>16</xdr:col>
      <xdr:colOff>50802</xdr:colOff>
      <xdr:row>23</xdr:row>
      <xdr:rowOff>141515</xdr:rowOff>
    </xdr:to>
    <xdr:cxnSp macro="">
      <xdr:nvCxnSpPr>
        <xdr:cNvPr id="42" name="Connecteur droit avec flèch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/>
      </xdr:nvCxnSpPr>
      <xdr:spPr>
        <a:xfrm flipV="1">
          <a:off x="14717033" y="4767944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799647</xdr:colOff>
      <xdr:row>25</xdr:row>
      <xdr:rowOff>103415</xdr:rowOff>
    </xdr:from>
    <xdr:to>
      <xdr:col>16</xdr:col>
      <xdr:colOff>58059</xdr:colOff>
      <xdr:row>25</xdr:row>
      <xdr:rowOff>103415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CxnSpPr/>
      </xdr:nvCxnSpPr>
      <xdr:spPr>
        <a:xfrm flipV="1">
          <a:off x="14724290" y="5165272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852714</xdr:colOff>
      <xdr:row>23</xdr:row>
      <xdr:rowOff>9071</xdr:rowOff>
    </xdr:from>
    <xdr:to>
      <xdr:col>13</xdr:col>
      <xdr:colOff>852714</xdr:colOff>
      <xdr:row>32</xdr:row>
      <xdr:rowOff>9072</xdr:rowOff>
    </xdr:to>
    <xdr:cxnSp macro="">
      <xdr:nvCxnSpPr>
        <xdr:cNvPr id="45" name="Connecteur droi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/>
      </xdr:nvCxnSpPr>
      <xdr:spPr>
        <a:xfrm flipH="1">
          <a:off x="10377714" y="4635500"/>
          <a:ext cx="0" cy="18324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WSF70"/>
  <sheetViews>
    <sheetView tabSelected="1" zoomScale="70" zoomScaleNormal="70" workbookViewId="0">
      <selection activeCell="Z10" sqref="Z10"/>
    </sheetView>
  </sheetViews>
  <sheetFormatPr baseColWidth="10" defaultColWidth="12.140625" defaultRowHeight="15" x14ac:dyDescent="0.25"/>
  <cols>
    <col min="1" max="1" width="28.7109375" style="7" bestFit="1" customWidth="1"/>
    <col min="2" max="2" width="40.85546875" style="7" bestFit="1" customWidth="1"/>
    <col min="3" max="3" width="24" style="7" bestFit="1" customWidth="1"/>
    <col min="4" max="4" width="25" style="7" bestFit="1" customWidth="1"/>
    <col min="5" max="5" width="25.42578125" style="7" bestFit="1" customWidth="1"/>
    <col min="6" max="6" width="24.5703125" style="7" bestFit="1" customWidth="1"/>
    <col min="7" max="7" width="24.42578125" style="7" bestFit="1" customWidth="1"/>
    <col min="8" max="8" width="25" style="7" bestFit="1" customWidth="1"/>
    <col min="9" max="9" width="24.42578125" style="7" bestFit="1" customWidth="1"/>
    <col min="10" max="11" width="24.85546875" style="7" bestFit="1" customWidth="1"/>
    <col min="12" max="12" width="24.28515625" style="7" bestFit="1" customWidth="1"/>
    <col min="13" max="13" width="24.5703125" style="7" customWidth="1"/>
    <col min="14" max="14" width="25.42578125" style="7" bestFit="1" customWidth="1"/>
    <col min="15" max="15" width="23.5703125" style="7" bestFit="1" customWidth="1"/>
    <col min="16" max="16" width="25" style="7" bestFit="1" customWidth="1"/>
    <col min="17" max="17" width="23.85546875" style="7" bestFit="1" customWidth="1"/>
    <col min="18" max="18" width="23.42578125" style="7" bestFit="1" customWidth="1"/>
    <col min="19" max="19" width="24.5703125" style="7" bestFit="1" customWidth="1"/>
    <col min="20" max="20" width="24.85546875" style="7" bestFit="1" customWidth="1"/>
    <col min="21" max="22" width="24.42578125" style="7" bestFit="1" customWidth="1"/>
    <col min="23" max="16384" width="12.140625" style="7"/>
  </cols>
  <sheetData>
    <row r="1" spans="1:22" ht="15.75" thickBot="1" x14ac:dyDescent="0.3"/>
    <row r="2" spans="1:22" ht="36" customHeight="1" thickBot="1" x14ac:dyDescent="0.3">
      <c r="A2" s="100" t="s">
        <v>0</v>
      </c>
      <c r="B2" s="103" t="s">
        <v>385</v>
      </c>
      <c r="D2" s="78" t="s">
        <v>1</v>
      </c>
      <c r="E2" s="79" t="s">
        <v>2</v>
      </c>
    </row>
    <row r="3" spans="1:22" ht="22.5" customHeight="1" thickBot="1" x14ac:dyDescent="0.3">
      <c r="A3" s="100" t="s">
        <v>3</v>
      </c>
      <c r="B3" s="103" t="s">
        <v>386</v>
      </c>
      <c r="D3" s="80" t="s">
        <v>4</v>
      </c>
      <c r="E3" s="81" t="s">
        <v>5</v>
      </c>
    </row>
    <row r="4" spans="1:22" ht="22.5" customHeight="1" thickBot="1" x14ac:dyDescent="0.3">
      <c r="A4" s="100" t="s">
        <v>6</v>
      </c>
      <c r="B4" s="103" t="s">
        <v>384</v>
      </c>
      <c r="D4" s="8"/>
      <c r="E4" s="8"/>
    </row>
    <row r="5" spans="1:22" ht="15.75" thickBot="1" x14ac:dyDescent="0.3"/>
    <row r="6" spans="1:22" ht="15.75" thickBot="1" x14ac:dyDescent="0.3">
      <c r="B6" s="100" t="str">
        <f>CONCATENATE("pg/",Results!B4)</f>
        <v>pg/µL of plasma</v>
      </c>
      <c r="C6" s="62" t="str">
        <f>'Raw Datas'!C1</f>
        <v>JV-015-RAN-IC-M2</v>
      </c>
      <c r="D6" s="62" t="str">
        <f>'Raw Datas'!D1</f>
        <v>BS-007-RAN-01-M3</v>
      </c>
      <c r="E6" s="62" t="str">
        <f>'Raw Datas'!E1</f>
        <v>BS-007-RAN-02-M3</v>
      </c>
      <c r="F6" s="62" t="str">
        <f>'Raw Datas'!F1</f>
        <v>KT-004-SOC-16-M1</v>
      </c>
      <c r="G6" s="62" t="str">
        <f>'Raw Datas'!G1</f>
        <v>BS-135-RAN-IC-M3</v>
      </c>
      <c r="H6" s="62" t="str">
        <f>'Raw Datas'!H1</f>
        <v>JV-070-DAV-07-M3</v>
      </c>
      <c r="I6" s="62" t="str">
        <f>'Raw Datas'!I1</f>
        <v>BS-129-RAT-10-M5</v>
      </c>
      <c r="J6" s="62" t="str">
        <f>'Raw Datas'!J1</f>
        <v>JV-036-SOC-10-M2</v>
      </c>
      <c r="K6" s="62" t="str">
        <f>'Raw Datas'!K1</f>
        <v>BS-126-RAT-05-M2</v>
      </c>
      <c r="L6" s="62" t="str">
        <f>'Raw Datas'!L1</f>
        <v>JV-017-RAN-10-M3</v>
      </c>
      <c r="M6" s="62" t="str">
        <f>'Raw Datas'!M1</f>
        <v>JV-070-DAV-04-M1</v>
      </c>
      <c r="N6" s="62" t="str">
        <f>'Raw Datas'!N1</f>
        <v>BS-356-RAN-03-M4</v>
      </c>
      <c r="O6" s="62" t="str">
        <f>'Raw Datas'!O1</f>
        <v>JV-090-MIN-IC-M4</v>
      </c>
      <c r="P6" s="62" t="str">
        <f>'Raw Datas'!P1</f>
        <v>BS-391-RAN-06-M2</v>
      </c>
      <c r="Q6" s="62" t="str">
        <f>'Raw Datas'!Q1</f>
        <v>JV-061-MIN-03-M5</v>
      </c>
      <c r="R6" s="62" t="str">
        <f>'Raw Datas'!R1</f>
        <v>JV-070-MIN-01-M1</v>
      </c>
      <c r="S6" s="62" t="str">
        <f>'Raw Datas'!S1</f>
        <v>KT-004-SOC-14-M1</v>
      </c>
      <c r="T6" s="62" t="str">
        <f>'Raw Datas'!T1</f>
        <v>JV-089-SOC-04-M1</v>
      </c>
      <c r="U6" s="62" t="str">
        <f>'Raw Datas'!U1</f>
        <v>BS-472-RAT-01-M1</v>
      </c>
      <c r="V6" s="62" t="str">
        <f>'Raw Datas'!V1</f>
        <v>BS-172-RAT-10-M3</v>
      </c>
    </row>
    <row r="7" spans="1:22" s="110" customFormat="1" ht="15.75" thickBot="1" x14ac:dyDescent="0.3">
      <c r="A7" s="107"/>
      <c r="B7" s="107">
        <v>2</v>
      </c>
      <c r="C7" s="107">
        <f>B7+1</f>
        <v>3</v>
      </c>
      <c r="D7" s="107">
        <f t="shared" ref="D7:J7" si="0">C7+1</f>
        <v>4</v>
      </c>
      <c r="E7" s="107">
        <f t="shared" si="0"/>
        <v>5</v>
      </c>
      <c r="F7" s="107">
        <f t="shared" si="0"/>
        <v>6</v>
      </c>
      <c r="G7" s="107">
        <f t="shared" si="0"/>
        <v>7</v>
      </c>
      <c r="H7" s="107">
        <f t="shared" si="0"/>
        <v>8</v>
      </c>
      <c r="I7" s="107">
        <f t="shared" si="0"/>
        <v>9</v>
      </c>
      <c r="J7" s="107">
        <f t="shared" si="0"/>
        <v>10</v>
      </c>
      <c r="K7" s="107">
        <f t="shared" ref="K7" si="1">J7+1</f>
        <v>11</v>
      </c>
      <c r="L7" s="107">
        <f t="shared" ref="L7" si="2">K7+1</f>
        <v>12</v>
      </c>
      <c r="M7" s="107">
        <f t="shared" ref="M7" si="3">L7+1</f>
        <v>13</v>
      </c>
      <c r="N7" s="107">
        <f t="shared" ref="N7" si="4">M7+1</f>
        <v>14</v>
      </c>
      <c r="O7" s="107">
        <f t="shared" ref="O7" si="5">N7+1</f>
        <v>15</v>
      </c>
      <c r="P7" s="107">
        <f t="shared" ref="P7" si="6">O7+1</f>
        <v>16</v>
      </c>
      <c r="Q7" s="107">
        <f t="shared" ref="Q7" si="7">P7+1</f>
        <v>17</v>
      </c>
      <c r="R7" s="107">
        <f t="shared" ref="R7" si="8">Q7+1</f>
        <v>18</v>
      </c>
      <c r="S7" s="107">
        <f t="shared" ref="S7" si="9">R7+1</f>
        <v>19</v>
      </c>
      <c r="T7" s="107">
        <f t="shared" ref="T7" si="10">S7+1</f>
        <v>20</v>
      </c>
      <c r="U7" s="107">
        <f t="shared" ref="U7" si="11">T7+1</f>
        <v>21</v>
      </c>
      <c r="V7" s="107">
        <f t="shared" ref="V7" si="12">U7+1</f>
        <v>22</v>
      </c>
    </row>
    <row r="8" spans="1:22" ht="15.75" customHeight="1" x14ac:dyDescent="0.25">
      <c r="A8" s="115" t="s">
        <v>7</v>
      </c>
      <c r="B8" s="40" t="s">
        <v>8</v>
      </c>
      <c r="C8" s="83">
        <f>VLOOKUP($B8,'Raw Datas'!$54:$101,C$7,FALSE)</f>
        <v>23.767666666666667</v>
      </c>
      <c r="D8" s="83">
        <f>VLOOKUP($B8,'Raw Datas'!$54:$101,D$7,FALSE)</f>
        <v>470.97488333333331</v>
      </c>
      <c r="E8" s="83">
        <f>VLOOKUP($B8,'Raw Datas'!$54:$101,E$7,FALSE)</f>
        <v>52.089466666666674</v>
      </c>
      <c r="F8" s="83">
        <f>VLOOKUP($B8,'Raw Datas'!$54:$101,F$7,FALSE)</f>
        <v>56.172266666666665</v>
      </c>
      <c r="G8" s="83">
        <f>VLOOKUP($B8,'Raw Datas'!$54:$101,G$7,FALSE)</f>
        <v>40.300966666666667</v>
      </c>
      <c r="H8" s="83">
        <f>VLOOKUP($B8,'Raw Datas'!$54:$101,H$7,FALSE)</f>
        <v>94.776283333333325</v>
      </c>
      <c r="I8" s="83">
        <f>VLOOKUP($B8,'Raw Datas'!$54:$101,I$7,FALSE)</f>
        <v>66.713833333333326</v>
      </c>
      <c r="J8" s="83">
        <f>VLOOKUP($B8,'Raw Datas'!$54:$101,J$7,FALSE)</f>
        <v>12.680583333333335</v>
      </c>
      <c r="K8" s="83">
        <f>VLOOKUP($B8,'Raw Datas'!$54:$101,K$7,FALSE)</f>
        <v>41.500599999999999</v>
      </c>
      <c r="L8" s="83">
        <f>VLOOKUP($B8,'Raw Datas'!$54:$101,L$7,FALSE)</f>
        <v>62.046433333333333</v>
      </c>
      <c r="M8" s="83">
        <f>VLOOKUP($B8,'Raw Datas'!$54:$101,M$7,FALSE)</f>
        <v>55.71138333333333</v>
      </c>
      <c r="N8" s="83">
        <f>VLOOKUP($B8,'Raw Datas'!$54:$101,N$7,FALSE)</f>
        <v>68.724883333333338</v>
      </c>
      <c r="O8" s="83">
        <f>VLOOKUP($B8,'Raw Datas'!$54:$101,O$7,FALSE)</f>
        <v>45.176283333333338</v>
      </c>
      <c r="P8" s="83">
        <f>VLOOKUP($B8,'Raw Datas'!$54:$101,P$7,FALSE)</f>
        <v>50.273099999999999</v>
      </c>
      <c r="Q8" s="83">
        <f>VLOOKUP($B8,'Raw Datas'!$54:$101,Q$7,FALSE)</f>
        <v>111.24073333333332</v>
      </c>
      <c r="R8" s="83">
        <f>VLOOKUP($B8,'Raw Datas'!$54:$101,R$7,FALSE)</f>
        <v>12.085816666666666</v>
      </c>
      <c r="S8" s="83">
        <f>VLOOKUP($B8,'Raw Datas'!$54:$101,S$7,FALSE)</f>
        <v>396.41798333333338</v>
      </c>
      <c r="T8" s="83">
        <f>VLOOKUP($B8,'Raw Datas'!$54:$101,T$7,FALSE)</f>
        <v>11.365100000000002</v>
      </c>
      <c r="U8" s="83">
        <f>VLOOKUP($B8,'Raw Datas'!$54:$101,U$7,FALSE)</f>
        <v>26.171700000000001</v>
      </c>
      <c r="V8" s="83">
        <f>VLOOKUP($B8,'Raw Datas'!$54:$101,V$7,FALSE)</f>
        <v>41.159599999999998</v>
      </c>
    </row>
    <row r="9" spans="1:22" ht="15.75" customHeight="1" x14ac:dyDescent="0.25">
      <c r="A9" s="116"/>
      <c r="B9" s="38" t="s">
        <v>9</v>
      </c>
      <c r="C9" s="84">
        <f>VLOOKUP($B9,'Raw Datas'!$54:$101,C$7,FALSE)</f>
        <v>0.49258333333333332</v>
      </c>
      <c r="D9" s="84">
        <f>VLOOKUP($B9,'Raw Datas'!$54:$101,D$7,FALSE)</f>
        <v>1.5065999999999999</v>
      </c>
      <c r="E9" s="84">
        <f>VLOOKUP($B9,'Raw Datas'!$54:$101,E$7,FALSE)</f>
        <v>0.64493333333333325</v>
      </c>
      <c r="F9" s="84" t="str">
        <f>VLOOKUP($B9,'Raw Datas'!$54:$101,F$7,FALSE)</f>
        <v>&lt;LLOQ</v>
      </c>
      <c r="G9" s="84">
        <f>VLOOKUP($B9,'Raw Datas'!$54:$101,G$7,FALSE)</f>
        <v>1.4099000000000002</v>
      </c>
      <c r="H9" s="84">
        <f>VLOOKUP($B9,'Raw Datas'!$54:$101,H$7,FALSE)</f>
        <v>1.3597166666666667</v>
      </c>
      <c r="I9" s="84">
        <f>VLOOKUP($B9,'Raw Datas'!$54:$101,I$7,FALSE)</f>
        <v>0.64701666666666668</v>
      </c>
      <c r="J9" s="84">
        <f>VLOOKUP($B9,'Raw Datas'!$54:$101,J$7,FALSE)</f>
        <v>0.57013333333333327</v>
      </c>
      <c r="K9" s="84" t="str">
        <f>VLOOKUP($B9,'Raw Datas'!$54:$101,K$7,FALSE)</f>
        <v>&lt;LLOQ</v>
      </c>
      <c r="L9" s="84">
        <f>VLOOKUP($B9,'Raw Datas'!$54:$101,L$7,FALSE)</f>
        <v>0.45814999999999995</v>
      </c>
      <c r="M9" s="84" t="str">
        <f>VLOOKUP($B9,'Raw Datas'!$54:$101,M$7,FALSE)</f>
        <v>&lt;LLOQ</v>
      </c>
      <c r="N9" s="84">
        <f>VLOOKUP($B9,'Raw Datas'!$54:$101,N$7,FALSE)</f>
        <v>0.45868333333333333</v>
      </c>
      <c r="O9" s="84" t="str">
        <f>VLOOKUP($B9,'Raw Datas'!$54:$101,O$7,FALSE)</f>
        <v>&lt;LLOQ</v>
      </c>
      <c r="P9" s="84">
        <f>VLOOKUP($B9,'Raw Datas'!$54:$101,P$7,FALSE)</f>
        <v>1.7364833333333334</v>
      </c>
      <c r="Q9" s="84">
        <f>VLOOKUP($B9,'Raw Datas'!$54:$101,Q$7,FALSE)</f>
        <v>0.40486666666666665</v>
      </c>
      <c r="R9" s="84">
        <f>VLOOKUP($B9,'Raw Datas'!$54:$101,R$7,FALSE)</f>
        <v>0.50048333333333328</v>
      </c>
      <c r="S9" s="84">
        <f>VLOOKUP($B9,'Raw Datas'!$54:$101,S$7,FALSE)</f>
        <v>1.5758666666666665</v>
      </c>
      <c r="T9" s="84" t="str">
        <f>VLOOKUP($B9,'Raw Datas'!$54:$101,T$7,FALSE)</f>
        <v>&lt;LLOQ</v>
      </c>
      <c r="U9" s="84" t="str">
        <f>VLOOKUP($B9,'Raw Datas'!$54:$101,U$7,FALSE)</f>
        <v>&lt;LLOQ</v>
      </c>
      <c r="V9" s="84">
        <f>VLOOKUP($B9,'Raw Datas'!$54:$101,V$7,FALSE)</f>
        <v>0.98964999999999992</v>
      </c>
    </row>
    <row r="10" spans="1:22" ht="15.75" customHeight="1" x14ac:dyDescent="0.25">
      <c r="A10" s="116"/>
      <c r="B10" s="38" t="s">
        <v>10</v>
      </c>
      <c r="C10" s="84">
        <f>VLOOKUP($B10,'Raw Datas'!$54:$101,C$7,FALSE)</f>
        <v>49.344166666666666</v>
      </c>
      <c r="D10" s="84">
        <f>VLOOKUP($B10,'Raw Datas'!$54:$101,D$7,FALSE)</f>
        <v>793.39911666666671</v>
      </c>
      <c r="E10" s="84">
        <f>VLOOKUP($B10,'Raw Datas'!$54:$101,E$7,FALSE)</f>
        <v>135.64386666666667</v>
      </c>
      <c r="F10" s="84">
        <f>VLOOKUP($B10,'Raw Datas'!$54:$101,F$7,FALSE)</f>
        <v>73.574650000000005</v>
      </c>
      <c r="G10" s="84">
        <f>VLOOKUP($B10,'Raw Datas'!$54:$101,G$7,FALSE)</f>
        <v>75.668899999999994</v>
      </c>
      <c r="H10" s="84">
        <f>VLOOKUP($B10,'Raw Datas'!$54:$101,H$7,FALSE)</f>
        <v>172.18753333333333</v>
      </c>
      <c r="I10" s="84">
        <f>VLOOKUP($B10,'Raw Datas'!$54:$101,I$7,FALSE)</f>
        <v>117.66615</v>
      </c>
      <c r="J10" s="84">
        <f>VLOOKUP($B10,'Raw Datas'!$54:$101,J$7,FALSE)</f>
        <v>55.648333333333326</v>
      </c>
      <c r="K10" s="84">
        <f>VLOOKUP($B10,'Raw Datas'!$54:$101,K$7,FALSE)</f>
        <v>72.682083333333324</v>
      </c>
      <c r="L10" s="84">
        <f>VLOOKUP($B10,'Raw Datas'!$54:$101,L$7,FALSE)</f>
        <v>187.80081666666669</v>
      </c>
      <c r="M10" s="84">
        <f>VLOOKUP($B10,'Raw Datas'!$54:$101,M$7,FALSE)</f>
        <v>71.216233333333335</v>
      </c>
      <c r="N10" s="84">
        <f>VLOOKUP($B10,'Raw Datas'!$54:$101,N$7,FALSE)</f>
        <v>93.826266666666655</v>
      </c>
      <c r="O10" s="84">
        <f>VLOOKUP($B10,'Raw Datas'!$54:$101,O$7,FALSE)</f>
        <v>80.821883333333332</v>
      </c>
      <c r="P10" s="84">
        <f>VLOOKUP($B10,'Raw Datas'!$54:$101,P$7,FALSE)</f>
        <v>88.261483333333345</v>
      </c>
      <c r="Q10" s="84">
        <f>VLOOKUP($B10,'Raw Datas'!$54:$101,Q$7,FALSE)</f>
        <v>141.89249999999998</v>
      </c>
      <c r="R10" s="84">
        <f>VLOOKUP($B10,'Raw Datas'!$54:$101,R$7,FALSE)</f>
        <v>52.836233333333332</v>
      </c>
      <c r="S10" s="84">
        <f>VLOOKUP($B10,'Raw Datas'!$54:$101,S$7,FALSE)</f>
        <v>562.88350000000003</v>
      </c>
      <c r="T10" s="84">
        <f>VLOOKUP($B10,'Raw Datas'!$54:$101,T$7,FALSE)</f>
        <v>21.436433333333333</v>
      </c>
      <c r="U10" s="84">
        <f>VLOOKUP($B10,'Raw Datas'!$54:$101,U$7,FALSE)</f>
        <v>38.053199999999997</v>
      </c>
      <c r="V10" s="84">
        <f>VLOOKUP($B10,'Raw Datas'!$54:$101,V$7,FALSE)</f>
        <v>94.703199999999995</v>
      </c>
    </row>
    <row r="11" spans="1:22" x14ac:dyDescent="0.25">
      <c r="A11" s="116"/>
      <c r="B11" s="38" t="s">
        <v>11</v>
      </c>
      <c r="C11" s="84">
        <f>VLOOKUP($B11,'Raw Datas'!$54:$101,C$7,FALSE)</f>
        <v>3.632166666666667</v>
      </c>
      <c r="D11" s="84">
        <f>VLOOKUP($B11,'Raw Datas'!$54:$101,D$7,FALSE)</f>
        <v>2.3493333333333335</v>
      </c>
      <c r="E11" s="84">
        <f>VLOOKUP($B11,'Raw Datas'!$54:$101,E$7,FALSE)</f>
        <v>6.4661</v>
      </c>
      <c r="F11" s="84">
        <f>VLOOKUP($B11,'Raw Datas'!$54:$101,F$7,FALSE)</f>
        <v>2.6449500000000001</v>
      </c>
      <c r="G11" s="84">
        <f>VLOOKUP($B11,'Raw Datas'!$54:$101,G$7,FALSE)</f>
        <v>10.495366666666666</v>
      </c>
      <c r="H11" s="84">
        <f>VLOOKUP($B11,'Raw Datas'!$54:$101,H$7,FALSE)</f>
        <v>8.5081166666666661</v>
      </c>
      <c r="I11" s="84">
        <f>VLOOKUP($B11,'Raw Datas'!$54:$101,I$7,FALSE)</f>
        <v>4.572916666666667</v>
      </c>
      <c r="J11" s="84">
        <f>VLOOKUP($B11,'Raw Datas'!$54:$101,J$7,FALSE)</f>
        <v>3.2128500000000004</v>
      </c>
      <c r="K11" s="84">
        <f>VLOOKUP($B11,'Raw Datas'!$54:$101,K$7,FALSE)</f>
        <v>3.2913000000000001</v>
      </c>
      <c r="L11" s="84">
        <f>VLOOKUP($B11,'Raw Datas'!$54:$101,L$7,FALSE)</f>
        <v>4.4681000000000006</v>
      </c>
      <c r="M11" s="84">
        <f>VLOOKUP($B11,'Raw Datas'!$54:$101,M$7,FALSE)</f>
        <v>1.7013</v>
      </c>
      <c r="N11" s="84">
        <f>VLOOKUP($B11,'Raw Datas'!$54:$101,N$7,FALSE)</f>
        <v>589.86191666666662</v>
      </c>
      <c r="O11" s="84">
        <f>VLOOKUP($B11,'Raw Datas'!$54:$101,O$7,FALSE)</f>
        <v>2.5788666666666669</v>
      </c>
      <c r="P11" s="84">
        <f>VLOOKUP($B11,'Raw Datas'!$54:$101,P$7,FALSE)</f>
        <v>5.7823499999999992</v>
      </c>
      <c r="Q11" s="84">
        <f>VLOOKUP($B11,'Raw Datas'!$54:$101,Q$7,FALSE)</f>
        <v>1.8618666666666668</v>
      </c>
      <c r="R11" s="84">
        <f>VLOOKUP($B11,'Raw Datas'!$54:$101,R$7,FALSE)</f>
        <v>0.90548333333333331</v>
      </c>
      <c r="S11" s="84">
        <f>VLOOKUP($B11,'Raw Datas'!$54:$101,S$7,FALSE)</f>
        <v>19.020733333333332</v>
      </c>
      <c r="T11" s="84">
        <f>VLOOKUP($B11,'Raw Datas'!$54:$101,T$7,FALSE)</f>
        <v>1.1230333333333333</v>
      </c>
      <c r="U11" s="84">
        <f>VLOOKUP($B11,'Raw Datas'!$54:$101,U$7,FALSE)</f>
        <v>0.98839999999999995</v>
      </c>
      <c r="V11" s="84">
        <f>VLOOKUP($B11,'Raw Datas'!$54:$101,V$7,FALSE)</f>
        <v>4.4474666666666671</v>
      </c>
    </row>
    <row r="12" spans="1:22" x14ac:dyDescent="0.25">
      <c r="A12" s="116"/>
      <c r="B12" s="38" t="s">
        <v>12</v>
      </c>
      <c r="C12" s="84">
        <f>VLOOKUP($B12,'Raw Datas'!$54:$101,C$7,FALSE)</f>
        <v>3.2542499999999999</v>
      </c>
      <c r="D12" s="84">
        <f>VLOOKUP($B12,'Raw Datas'!$54:$101,D$7,FALSE)</f>
        <v>2.225916666666667</v>
      </c>
      <c r="E12" s="84">
        <f>VLOOKUP($B12,'Raw Datas'!$54:$101,E$7,FALSE)</f>
        <v>3.6898999999999997</v>
      </c>
      <c r="F12" s="84">
        <f>VLOOKUP($B12,'Raw Datas'!$54:$101,F$7,FALSE)</f>
        <v>1.5215999999999998</v>
      </c>
      <c r="G12" s="84">
        <f>VLOOKUP($B12,'Raw Datas'!$54:$101,G$7,FALSE)</f>
        <v>5.699250000000001</v>
      </c>
      <c r="H12" s="84">
        <f>VLOOKUP($B12,'Raw Datas'!$54:$101,H$7,FALSE)</f>
        <v>14.611566666666667</v>
      </c>
      <c r="I12" s="84">
        <f>VLOOKUP($B12,'Raw Datas'!$54:$101,I$7,FALSE)</f>
        <v>5.0355166666666671</v>
      </c>
      <c r="J12" s="84">
        <f>VLOOKUP($B12,'Raw Datas'!$54:$101,J$7,FALSE)</f>
        <v>1.5339166666666666</v>
      </c>
      <c r="K12" s="84">
        <f>VLOOKUP($B12,'Raw Datas'!$54:$101,K$7,FALSE)</f>
        <v>2.5942333333333334</v>
      </c>
      <c r="L12" s="84">
        <f>VLOOKUP($B12,'Raw Datas'!$54:$101,L$7,FALSE)</f>
        <v>6.3187999999999995</v>
      </c>
      <c r="M12" s="84">
        <f>VLOOKUP($B12,'Raw Datas'!$54:$101,M$7,FALSE)</f>
        <v>1.9948833333333336</v>
      </c>
      <c r="N12" s="84">
        <f>VLOOKUP($B12,'Raw Datas'!$54:$101,N$7,FALSE)</f>
        <v>3.2670000000000003</v>
      </c>
      <c r="O12" s="84">
        <f>VLOOKUP($B12,'Raw Datas'!$54:$101,O$7,FALSE)</f>
        <v>2.5994666666666664</v>
      </c>
      <c r="P12" s="84">
        <f>VLOOKUP($B12,'Raw Datas'!$54:$101,P$7,FALSE)</f>
        <v>7.4486333333333334</v>
      </c>
      <c r="Q12" s="84">
        <f>VLOOKUP($B12,'Raw Datas'!$54:$101,Q$7,FALSE)</f>
        <v>1.0322500000000001</v>
      </c>
      <c r="R12" s="84">
        <f>VLOOKUP($B12,'Raw Datas'!$54:$101,R$7,FALSE)</f>
        <v>0.55631666666666668</v>
      </c>
      <c r="S12" s="84">
        <f>VLOOKUP($B12,'Raw Datas'!$54:$101,S$7,FALSE)</f>
        <v>12.409850000000002</v>
      </c>
      <c r="T12" s="84">
        <f>VLOOKUP($B12,'Raw Datas'!$54:$101,T$7,FALSE)</f>
        <v>0.59186666666666665</v>
      </c>
      <c r="U12" s="84">
        <f>VLOOKUP($B12,'Raw Datas'!$54:$101,U$7,FALSE)</f>
        <v>0.5044333333333334</v>
      </c>
      <c r="V12" s="84">
        <f>VLOOKUP($B12,'Raw Datas'!$54:$101,V$7,FALSE)</f>
        <v>3.7281499999999999</v>
      </c>
    </row>
    <row r="13" spans="1:22" x14ac:dyDescent="0.25">
      <c r="A13" s="116"/>
      <c r="B13" s="38" t="s">
        <v>13</v>
      </c>
      <c r="C13" s="84">
        <f>VLOOKUP($B13,'Raw Datas'!$54:$101,C$7,FALSE)</f>
        <v>2.9042000000000003</v>
      </c>
      <c r="D13" s="84">
        <f>VLOOKUP($B13,'Raw Datas'!$54:$101,D$7,FALSE)</f>
        <v>4.1485833333333337</v>
      </c>
      <c r="E13" s="84">
        <f>VLOOKUP($B13,'Raw Datas'!$54:$101,E$7,FALSE)</f>
        <v>17.857066666666665</v>
      </c>
      <c r="F13" s="84">
        <f>VLOOKUP($B13,'Raw Datas'!$54:$101,F$7,FALSE)</f>
        <v>4.4707666666666661</v>
      </c>
      <c r="G13" s="84">
        <f>VLOOKUP($B13,'Raw Datas'!$54:$101,G$7,FALSE)</f>
        <v>3.633483333333333</v>
      </c>
      <c r="H13" s="84">
        <f>VLOOKUP($B13,'Raw Datas'!$54:$101,H$7,FALSE)</f>
        <v>22.384999999999998</v>
      </c>
      <c r="I13" s="84">
        <f>VLOOKUP($B13,'Raw Datas'!$54:$101,I$7,FALSE)</f>
        <v>9.4824166666666674</v>
      </c>
      <c r="J13" s="84">
        <f>VLOOKUP($B13,'Raw Datas'!$54:$101,J$7,FALSE)</f>
        <v>1.6288333333333331</v>
      </c>
      <c r="K13" s="84">
        <f>VLOOKUP($B13,'Raw Datas'!$54:$101,K$7,FALSE)</f>
        <v>7.62615</v>
      </c>
      <c r="L13" s="84">
        <f>VLOOKUP($B13,'Raw Datas'!$54:$101,L$7,FALSE)</f>
        <v>13.084333333333332</v>
      </c>
      <c r="M13" s="84">
        <f>VLOOKUP($B13,'Raw Datas'!$54:$101,M$7,FALSE)</f>
        <v>8.1798499999999983</v>
      </c>
      <c r="N13" s="84">
        <f>VLOOKUP($B13,'Raw Datas'!$54:$101,N$7,FALSE)</f>
        <v>22.732450000000004</v>
      </c>
      <c r="O13" s="84">
        <f>VLOOKUP($B13,'Raw Datas'!$54:$101,O$7,FALSE)</f>
        <v>2.39635</v>
      </c>
      <c r="P13" s="84">
        <f>VLOOKUP($B13,'Raw Datas'!$54:$101,P$7,FALSE)</f>
        <v>4.7664500000000007</v>
      </c>
      <c r="Q13" s="84">
        <f>VLOOKUP($B13,'Raw Datas'!$54:$101,Q$7,FALSE)</f>
        <v>5.1479833333333325</v>
      </c>
      <c r="R13" s="84">
        <f>VLOOKUP($B13,'Raw Datas'!$54:$101,R$7,FALSE)</f>
        <v>3.7851333333333335</v>
      </c>
      <c r="S13" s="84">
        <f>VLOOKUP($B13,'Raw Datas'!$54:$101,S$7,FALSE)</f>
        <v>17.034916666666668</v>
      </c>
      <c r="T13" s="84">
        <f>VLOOKUP($B13,'Raw Datas'!$54:$101,T$7,FALSE)</f>
        <v>3.3542333333333332</v>
      </c>
      <c r="U13" s="84">
        <f>VLOOKUP($B13,'Raw Datas'!$54:$101,U$7,FALSE)</f>
        <v>6.4079000000000006</v>
      </c>
      <c r="V13" s="84">
        <f>VLOOKUP($B13,'Raw Datas'!$54:$101,V$7,FALSE)</f>
        <v>13.815966666666666</v>
      </c>
    </row>
    <row r="14" spans="1:22" x14ac:dyDescent="0.25">
      <c r="A14" s="116"/>
      <c r="B14" s="38" t="s">
        <v>14</v>
      </c>
      <c r="C14" s="84">
        <f>VLOOKUP($B14,'Raw Datas'!$54:$101,C$7,FALSE)</f>
        <v>4.3696333333333337</v>
      </c>
      <c r="D14" s="84">
        <f>VLOOKUP($B14,'Raw Datas'!$54:$101,D$7,FALSE)</f>
        <v>11.315083333333332</v>
      </c>
      <c r="E14" s="84">
        <f>VLOOKUP($B14,'Raw Datas'!$54:$101,E$7,FALSE)</f>
        <v>13.622233333333334</v>
      </c>
      <c r="F14" s="84">
        <f>VLOOKUP($B14,'Raw Datas'!$54:$101,F$7,FALSE)</f>
        <v>10.850933333333332</v>
      </c>
      <c r="G14" s="84">
        <f>VLOOKUP($B14,'Raw Datas'!$54:$101,G$7,FALSE)</f>
        <v>3.0517833333333333</v>
      </c>
      <c r="H14" s="84">
        <f>VLOOKUP($B14,'Raw Datas'!$54:$101,H$7,FALSE)</f>
        <v>19.474049999999998</v>
      </c>
      <c r="I14" s="84">
        <f>VLOOKUP($B14,'Raw Datas'!$54:$101,I$7,FALSE)</f>
        <v>8.6968333333333323</v>
      </c>
      <c r="J14" s="84">
        <f>VLOOKUP($B14,'Raw Datas'!$54:$101,J$7,FALSE)</f>
        <v>2.4885333333333337</v>
      </c>
      <c r="K14" s="84">
        <f>VLOOKUP($B14,'Raw Datas'!$54:$101,K$7,FALSE)</f>
        <v>9.822283333333333</v>
      </c>
      <c r="L14" s="84">
        <f>VLOOKUP($B14,'Raw Datas'!$54:$101,L$7,FALSE)</f>
        <v>10.163083333333333</v>
      </c>
      <c r="M14" s="84">
        <f>VLOOKUP($B14,'Raw Datas'!$54:$101,M$7,FALSE)</f>
        <v>7.4598666666666666</v>
      </c>
      <c r="N14" s="84">
        <f>VLOOKUP($B14,'Raw Datas'!$54:$101,N$7,FALSE)</f>
        <v>19.998066666666666</v>
      </c>
      <c r="O14" s="84">
        <f>VLOOKUP($B14,'Raw Datas'!$54:$101,O$7,FALSE)</f>
        <v>9.0704833333333337</v>
      </c>
      <c r="P14" s="84">
        <f>VLOOKUP($B14,'Raw Datas'!$54:$101,P$7,FALSE)</f>
        <v>6.6106500000000006</v>
      </c>
      <c r="Q14" s="84">
        <f>VLOOKUP($B14,'Raw Datas'!$54:$101,Q$7,FALSE)</f>
        <v>9.1753500000000017</v>
      </c>
      <c r="R14" s="84">
        <f>VLOOKUP($B14,'Raw Datas'!$54:$101,R$7,FALSE)</f>
        <v>3.2983666666666664</v>
      </c>
      <c r="S14" s="84">
        <f>VLOOKUP($B14,'Raw Datas'!$54:$101,S$7,FALSE)</f>
        <v>28.550899999999999</v>
      </c>
      <c r="T14" s="84">
        <f>VLOOKUP($B14,'Raw Datas'!$54:$101,T$7,FALSE)</f>
        <v>2.4545666666666666</v>
      </c>
      <c r="U14" s="84">
        <f>VLOOKUP($B14,'Raw Datas'!$54:$101,U$7,FALSE)</f>
        <v>6.2340666666666671</v>
      </c>
      <c r="V14" s="84">
        <f>VLOOKUP($B14,'Raw Datas'!$54:$101,V$7,FALSE)</f>
        <v>10.129150000000001</v>
      </c>
    </row>
    <row r="15" spans="1:22" x14ac:dyDescent="0.25">
      <c r="A15" s="116"/>
      <c r="B15" s="38" t="s">
        <v>15</v>
      </c>
      <c r="C15" s="84" t="str">
        <f>VLOOKUP($B15,'Raw Datas'!$54:$101,C$7,FALSE)</f>
        <v>&lt;LLOQ</v>
      </c>
      <c r="D15" s="84">
        <f>VLOOKUP($B15,'Raw Datas'!$54:$101,D$7,FALSE)</f>
        <v>1.2632833333333333</v>
      </c>
      <c r="E15" s="84">
        <f>VLOOKUP($B15,'Raw Datas'!$54:$101,E$7,FALSE)</f>
        <v>1.2545499999999998</v>
      </c>
      <c r="F15" s="84" t="str">
        <f>VLOOKUP($B15,'Raw Datas'!$54:$101,F$7,FALSE)</f>
        <v>&lt;LLOQ</v>
      </c>
      <c r="G15" s="84" t="str">
        <f>VLOOKUP($B15,'Raw Datas'!$54:$101,G$7,FALSE)</f>
        <v>&lt;LLOQ</v>
      </c>
      <c r="H15" s="84">
        <f>VLOOKUP($B15,'Raw Datas'!$54:$101,H$7,FALSE)</f>
        <v>1.8998333333333333</v>
      </c>
      <c r="I15" s="84">
        <f>VLOOKUP($B15,'Raw Datas'!$54:$101,I$7,FALSE)</f>
        <v>0.81541666666666657</v>
      </c>
      <c r="J15" s="84" t="str">
        <f>VLOOKUP($B15,'Raw Datas'!$54:$101,J$7,FALSE)</f>
        <v>&lt;LLOQ</v>
      </c>
      <c r="K15" s="84">
        <f>VLOOKUP($B15,'Raw Datas'!$54:$101,K$7,FALSE)</f>
        <v>1.3344833333333335</v>
      </c>
      <c r="L15" s="84" t="str">
        <f>VLOOKUP($B15,'Raw Datas'!$54:$101,L$7,FALSE)</f>
        <v>&lt;LLOQ</v>
      </c>
      <c r="M15" s="84">
        <f>VLOOKUP($B15,'Raw Datas'!$54:$101,M$7,FALSE)</f>
        <v>0.82629999999999992</v>
      </c>
      <c r="N15" s="84">
        <f>VLOOKUP($B15,'Raw Datas'!$54:$101,N$7,FALSE)</f>
        <v>2.1960333333333333</v>
      </c>
      <c r="O15" s="84" t="str">
        <f>VLOOKUP($B15,'Raw Datas'!$54:$101,O$7,FALSE)</f>
        <v>&lt;LLOQ</v>
      </c>
      <c r="P15" s="84" t="str">
        <f>VLOOKUP($B15,'Raw Datas'!$54:$101,P$7,FALSE)</f>
        <v>&lt;LLOQ</v>
      </c>
      <c r="Q15" s="84" t="str">
        <f>VLOOKUP($B15,'Raw Datas'!$54:$101,Q$7,FALSE)</f>
        <v>&lt;LLOQ</v>
      </c>
      <c r="R15" s="84" t="str">
        <f>VLOOKUP($B15,'Raw Datas'!$54:$101,R$7,FALSE)</f>
        <v>&lt;LLOQ</v>
      </c>
      <c r="S15" s="84">
        <f>VLOOKUP($B15,'Raw Datas'!$54:$101,S$7,FALSE)</f>
        <v>2.8330333333333333</v>
      </c>
      <c r="T15" s="84" t="str">
        <f>VLOOKUP($B15,'Raw Datas'!$54:$101,T$7,FALSE)</f>
        <v>&lt;LLOQ</v>
      </c>
      <c r="U15" s="84" t="str">
        <f>VLOOKUP($B15,'Raw Datas'!$54:$101,U$7,FALSE)</f>
        <v>&lt;LLOQ</v>
      </c>
      <c r="V15" s="84">
        <f>VLOOKUP($B15,'Raw Datas'!$54:$101,V$7,FALSE)</f>
        <v>1.4785499999999998</v>
      </c>
    </row>
    <row r="16" spans="1:22" ht="15.75" thickBot="1" x14ac:dyDescent="0.3">
      <c r="A16" s="117"/>
      <c r="B16" s="41" t="s">
        <v>16</v>
      </c>
      <c r="C16" s="85">
        <f>VLOOKUP($B16,'Raw Datas'!$54:$101,C$7,FALSE)</f>
        <v>0.90468333333333328</v>
      </c>
      <c r="D16" s="85">
        <f>VLOOKUP($B16,'Raw Datas'!$54:$101,D$7,FALSE)</f>
        <v>4.7705666666666664</v>
      </c>
      <c r="E16" s="85">
        <f>VLOOKUP($B16,'Raw Datas'!$54:$101,E$7,FALSE)</f>
        <v>3.7612666666666663</v>
      </c>
      <c r="F16" s="85">
        <f>VLOOKUP($B16,'Raw Datas'!$54:$101,F$7,FALSE)</f>
        <v>0.59415000000000007</v>
      </c>
      <c r="G16" s="85">
        <f>VLOOKUP($B16,'Raw Datas'!$54:$101,G$7,FALSE)</f>
        <v>1.6397666666666666</v>
      </c>
      <c r="H16" s="85">
        <f>VLOOKUP($B16,'Raw Datas'!$54:$101,H$7,FALSE)</f>
        <v>9.02745</v>
      </c>
      <c r="I16" s="85">
        <f>VLOOKUP($B16,'Raw Datas'!$54:$101,I$7,FALSE)</f>
        <v>2.0149666666666666</v>
      </c>
      <c r="J16" s="85">
        <f>VLOOKUP($B16,'Raw Datas'!$54:$101,J$7,FALSE)</f>
        <v>1.1283000000000001</v>
      </c>
      <c r="K16" s="85">
        <f>VLOOKUP($B16,'Raw Datas'!$54:$101,K$7,FALSE)</f>
        <v>2.4625666666666666</v>
      </c>
      <c r="L16" s="85">
        <f>VLOOKUP($B16,'Raw Datas'!$54:$101,L$7,FALSE)</f>
        <v>1.3586499999999999</v>
      </c>
      <c r="M16" s="85">
        <f>VLOOKUP($B16,'Raw Datas'!$54:$101,M$7,FALSE)</f>
        <v>3.4329333333333332</v>
      </c>
      <c r="N16" s="85">
        <f>VLOOKUP($B16,'Raw Datas'!$54:$101,N$7,FALSE)</f>
        <v>5.9598166666666659</v>
      </c>
      <c r="O16" s="85">
        <f>VLOOKUP($B16,'Raw Datas'!$54:$101,O$7,FALSE)</f>
        <v>1.0163666666666666</v>
      </c>
      <c r="P16" s="85">
        <f>VLOOKUP($B16,'Raw Datas'!$54:$101,P$7,FALSE)</f>
        <v>2.0729666666666664</v>
      </c>
      <c r="Q16" s="85">
        <f>VLOOKUP($B16,'Raw Datas'!$54:$101,Q$7,FALSE)</f>
        <v>2.8686833333333328</v>
      </c>
      <c r="R16" s="85">
        <f>VLOOKUP($B16,'Raw Datas'!$54:$101,R$7,FALSE)</f>
        <v>2.9948166666666669</v>
      </c>
      <c r="S16" s="85">
        <f>VLOOKUP($B16,'Raw Datas'!$54:$101,S$7,FALSE)</f>
        <v>8.3176000000000005</v>
      </c>
      <c r="T16" s="85">
        <f>VLOOKUP($B16,'Raw Datas'!$54:$101,T$7,FALSE)</f>
        <v>0.76318333333333344</v>
      </c>
      <c r="U16" s="85">
        <f>VLOOKUP($B16,'Raw Datas'!$54:$101,U$7,FALSE)</f>
        <v>0.90615000000000001</v>
      </c>
      <c r="V16" s="85">
        <f>VLOOKUP($B16,'Raw Datas'!$54:$101,V$7,FALSE)</f>
        <v>4.3740333333333332</v>
      </c>
    </row>
    <row r="17" spans="1:22" ht="15.75" thickBot="1" x14ac:dyDescent="0.3"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</row>
    <row r="18" spans="1:22" ht="63" customHeight="1" thickBot="1" x14ac:dyDescent="0.3">
      <c r="A18" s="10" t="s">
        <v>17</v>
      </c>
      <c r="B18" s="5" t="s">
        <v>18</v>
      </c>
      <c r="C18" s="87" t="str">
        <f>VLOOKUP($B18,'Raw Datas'!$54:$101,C$7,FALSE)</f>
        <v>ND</v>
      </c>
      <c r="D18" s="87" t="str">
        <f>VLOOKUP($B18,'Raw Datas'!$54:$101,D$7,FALSE)</f>
        <v>ND</v>
      </c>
      <c r="E18" s="87" t="str">
        <f>VLOOKUP($B18,'Raw Datas'!$54:$101,E$7,FALSE)</f>
        <v>ND</v>
      </c>
      <c r="F18" s="87" t="str">
        <f>VLOOKUP($B18,'Raw Datas'!$54:$101,F$7,FALSE)</f>
        <v>ND</v>
      </c>
      <c r="G18" s="87" t="str">
        <f>VLOOKUP($B18,'Raw Datas'!$54:$101,G$7,FALSE)</f>
        <v>ND</v>
      </c>
      <c r="H18" s="87" t="str">
        <f>VLOOKUP($B18,'Raw Datas'!$54:$101,H$7,FALSE)</f>
        <v>ND</v>
      </c>
      <c r="I18" s="87" t="str">
        <f>VLOOKUP($B18,'Raw Datas'!$54:$101,I$7,FALSE)</f>
        <v>ND</v>
      </c>
      <c r="J18" s="87" t="str">
        <f>VLOOKUP($B18,'Raw Datas'!$54:$101,J$7,FALSE)</f>
        <v>ND</v>
      </c>
      <c r="K18" s="87" t="str">
        <f>VLOOKUP($B18,'Raw Datas'!$54:$101,K$7,FALSE)</f>
        <v>ND</v>
      </c>
      <c r="L18" s="87" t="str">
        <f>VLOOKUP($B18,'Raw Datas'!$54:$101,L$7,FALSE)</f>
        <v>ND</v>
      </c>
      <c r="M18" s="87" t="str">
        <f>VLOOKUP($B18,'Raw Datas'!$54:$101,M$7,FALSE)</f>
        <v>ND</v>
      </c>
      <c r="N18" s="87" t="str">
        <f>VLOOKUP($B18,'Raw Datas'!$54:$101,N$7,FALSE)</f>
        <v>ND</v>
      </c>
      <c r="O18" s="87" t="str">
        <f>VLOOKUP($B18,'Raw Datas'!$54:$101,O$7,FALSE)</f>
        <v>ND</v>
      </c>
      <c r="P18" s="87" t="str">
        <f>VLOOKUP($B18,'Raw Datas'!$54:$101,P$7,FALSE)</f>
        <v>ND</v>
      </c>
      <c r="Q18" s="87" t="str">
        <f>VLOOKUP($B18,'Raw Datas'!$54:$101,Q$7,FALSE)</f>
        <v>ND</v>
      </c>
      <c r="R18" s="87" t="str">
        <f>VLOOKUP($B18,'Raw Datas'!$54:$101,R$7,FALSE)</f>
        <v>ND</v>
      </c>
      <c r="S18" s="87" t="str">
        <f>VLOOKUP($B18,'Raw Datas'!$54:$101,S$7,FALSE)</f>
        <v>ND</v>
      </c>
      <c r="T18" s="87" t="str">
        <f>VLOOKUP($B18,'Raw Datas'!$54:$101,T$7,FALSE)</f>
        <v>ND</v>
      </c>
      <c r="U18" s="87" t="str">
        <f>VLOOKUP($B18,'Raw Datas'!$54:$101,U$7,FALSE)</f>
        <v>ND</v>
      </c>
      <c r="V18" s="87" t="str">
        <f>VLOOKUP($B18,'Raw Datas'!$54:$101,V$7,FALSE)</f>
        <v>ND</v>
      </c>
    </row>
    <row r="19" spans="1:22" ht="15.75" thickBot="1" x14ac:dyDescent="0.3"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 spans="1:22" ht="15.75" customHeight="1" x14ac:dyDescent="0.25">
      <c r="A20" s="115" t="s">
        <v>19</v>
      </c>
      <c r="B20" s="37" t="s">
        <v>20</v>
      </c>
      <c r="C20" s="88" t="str">
        <f>VLOOKUP($B20,'Raw Datas'!$54:$101,C$7,FALSE)</f>
        <v>ND</v>
      </c>
      <c r="D20" s="88" t="str">
        <f>VLOOKUP($B20,'Raw Datas'!$54:$101,D$7,FALSE)</f>
        <v>ND</v>
      </c>
      <c r="E20" s="88" t="str">
        <f>VLOOKUP($B20,'Raw Datas'!$54:$101,E$7,FALSE)</f>
        <v>ND</v>
      </c>
      <c r="F20" s="88" t="str">
        <f>VLOOKUP($B20,'Raw Datas'!$54:$101,F$7,FALSE)</f>
        <v>ND</v>
      </c>
      <c r="G20" s="88" t="str">
        <f>VLOOKUP($B20,'Raw Datas'!$54:$101,G$7,FALSE)</f>
        <v>ND</v>
      </c>
      <c r="H20" s="88" t="str">
        <f>VLOOKUP($B20,'Raw Datas'!$54:$101,H$7,FALSE)</f>
        <v>ND</v>
      </c>
      <c r="I20" s="88" t="str">
        <f>VLOOKUP($B20,'Raw Datas'!$54:$101,I$7,FALSE)</f>
        <v>ND</v>
      </c>
      <c r="J20" s="88" t="str">
        <f>VLOOKUP($B20,'Raw Datas'!$54:$101,J$7,FALSE)</f>
        <v>ND</v>
      </c>
      <c r="K20" s="88" t="str">
        <f>VLOOKUP($B20,'Raw Datas'!$54:$101,K$7,FALSE)</f>
        <v>ND</v>
      </c>
      <c r="L20" s="88" t="str">
        <f>VLOOKUP($B20,'Raw Datas'!$54:$101,L$7,FALSE)</f>
        <v>ND</v>
      </c>
      <c r="M20" s="88" t="str">
        <f>VLOOKUP($B20,'Raw Datas'!$54:$101,M$7,FALSE)</f>
        <v>ND</v>
      </c>
      <c r="N20" s="88" t="str">
        <f>VLOOKUP($B20,'Raw Datas'!$54:$101,N$7,FALSE)</f>
        <v>ND</v>
      </c>
      <c r="O20" s="88" t="str">
        <f>VLOOKUP($B20,'Raw Datas'!$54:$101,O$7,FALSE)</f>
        <v>ND</v>
      </c>
      <c r="P20" s="88" t="str">
        <f>VLOOKUP($B20,'Raw Datas'!$54:$101,P$7,FALSE)</f>
        <v>ND</v>
      </c>
      <c r="Q20" s="88" t="str">
        <f>VLOOKUP($B20,'Raw Datas'!$54:$101,Q$7,FALSE)</f>
        <v>ND</v>
      </c>
      <c r="R20" s="88" t="str">
        <f>VLOOKUP($B20,'Raw Datas'!$54:$101,R$7,FALSE)</f>
        <v>ND</v>
      </c>
      <c r="S20" s="88" t="str">
        <f>VLOOKUP($B20,'Raw Datas'!$54:$101,S$7,FALSE)</f>
        <v>ND</v>
      </c>
      <c r="T20" s="88" t="str">
        <f>VLOOKUP($B20,'Raw Datas'!$54:$101,T$7,FALSE)</f>
        <v>ND</v>
      </c>
      <c r="U20" s="88" t="str">
        <f>VLOOKUP($B20,'Raw Datas'!$54:$101,U$7,FALSE)</f>
        <v>ND</v>
      </c>
      <c r="V20" s="88" t="str">
        <f>VLOOKUP($B20,'Raw Datas'!$54:$101,V$7,FALSE)</f>
        <v>ND</v>
      </c>
    </row>
    <row r="21" spans="1:22" ht="15.75" customHeight="1" x14ac:dyDescent="0.25">
      <c r="A21" s="116"/>
      <c r="B21" s="38" t="s">
        <v>21</v>
      </c>
      <c r="C21" s="89" t="str">
        <f>VLOOKUP($B21,'Raw Datas'!$54:$101,C$7,FALSE)</f>
        <v>ND</v>
      </c>
      <c r="D21" s="89" t="str">
        <f>VLOOKUP($B21,'Raw Datas'!$54:$101,D$7,FALSE)</f>
        <v>ND</v>
      </c>
      <c r="E21" s="89" t="str">
        <f>VLOOKUP($B21,'Raw Datas'!$54:$101,E$7,FALSE)</f>
        <v>ND</v>
      </c>
      <c r="F21" s="89" t="str">
        <f>VLOOKUP($B21,'Raw Datas'!$54:$101,F$7,FALSE)</f>
        <v>ND</v>
      </c>
      <c r="G21" s="89" t="str">
        <f>VLOOKUP($B21,'Raw Datas'!$54:$101,G$7,FALSE)</f>
        <v>ND</v>
      </c>
      <c r="H21" s="89" t="str">
        <f>VLOOKUP($B21,'Raw Datas'!$54:$101,H$7,FALSE)</f>
        <v>ND</v>
      </c>
      <c r="I21" s="89" t="str">
        <f>VLOOKUP($B21,'Raw Datas'!$54:$101,I$7,FALSE)</f>
        <v>ND</v>
      </c>
      <c r="J21" s="89" t="str">
        <f>VLOOKUP($B21,'Raw Datas'!$54:$101,J$7,FALSE)</f>
        <v>ND</v>
      </c>
      <c r="K21" s="89" t="str">
        <f>VLOOKUP($B21,'Raw Datas'!$54:$101,K$7,FALSE)</f>
        <v>ND</v>
      </c>
      <c r="L21" s="89" t="str">
        <f>VLOOKUP($B21,'Raw Datas'!$54:$101,L$7,FALSE)</f>
        <v>ND</v>
      </c>
      <c r="M21" s="89" t="str">
        <f>VLOOKUP($B21,'Raw Datas'!$54:$101,M$7,FALSE)</f>
        <v>ND</v>
      </c>
      <c r="N21" s="89" t="str">
        <f>VLOOKUP($B21,'Raw Datas'!$54:$101,N$7,FALSE)</f>
        <v>ND</v>
      </c>
      <c r="O21" s="89" t="str">
        <f>VLOOKUP($B21,'Raw Datas'!$54:$101,O$7,FALSE)</f>
        <v>ND</v>
      </c>
      <c r="P21" s="89" t="str">
        <f>VLOOKUP($B21,'Raw Datas'!$54:$101,P$7,FALSE)</f>
        <v>ND</v>
      </c>
      <c r="Q21" s="89" t="str">
        <f>VLOOKUP($B21,'Raw Datas'!$54:$101,Q$7,FALSE)</f>
        <v>ND</v>
      </c>
      <c r="R21" s="89" t="str">
        <f>VLOOKUP($B21,'Raw Datas'!$54:$101,R$7,FALSE)</f>
        <v>ND</v>
      </c>
      <c r="S21" s="89" t="str">
        <f>VLOOKUP($B21,'Raw Datas'!$54:$101,S$7,FALSE)</f>
        <v>ND</v>
      </c>
      <c r="T21" s="89" t="str">
        <f>VLOOKUP($B21,'Raw Datas'!$54:$101,T$7,FALSE)</f>
        <v>ND</v>
      </c>
      <c r="U21" s="89" t="str">
        <f>VLOOKUP($B21,'Raw Datas'!$54:$101,U$7,FALSE)</f>
        <v>ND</v>
      </c>
      <c r="V21" s="89" t="str">
        <f>VLOOKUP($B21,'Raw Datas'!$54:$101,V$7,FALSE)</f>
        <v>ND</v>
      </c>
    </row>
    <row r="22" spans="1:22" ht="15.75" customHeight="1" x14ac:dyDescent="0.25">
      <c r="A22" s="116"/>
      <c r="B22" s="38" t="s">
        <v>22</v>
      </c>
      <c r="C22" s="89" t="str">
        <f>VLOOKUP($B22,'Raw Datas'!$54:$101,C$7,FALSE)</f>
        <v>ND</v>
      </c>
      <c r="D22" s="89" t="str">
        <f>VLOOKUP($B22,'Raw Datas'!$54:$101,D$7,FALSE)</f>
        <v>ND</v>
      </c>
      <c r="E22" s="89" t="str">
        <f>VLOOKUP($B22,'Raw Datas'!$54:$101,E$7,FALSE)</f>
        <v>ND</v>
      </c>
      <c r="F22" s="89" t="str">
        <f>VLOOKUP($B22,'Raw Datas'!$54:$101,F$7,FALSE)</f>
        <v>ND</v>
      </c>
      <c r="G22" s="89" t="str">
        <f>VLOOKUP($B22,'Raw Datas'!$54:$101,G$7,FALSE)</f>
        <v>ND</v>
      </c>
      <c r="H22" s="89" t="str">
        <f>VLOOKUP($B22,'Raw Datas'!$54:$101,H$7,FALSE)</f>
        <v>ND</v>
      </c>
      <c r="I22" s="89" t="str">
        <f>VLOOKUP($B22,'Raw Datas'!$54:$101,I$7,FALSE)</f>
        <v>ND</v>
      </c>
      <c r="J22" s="89" t="str">
        <f>VLOOKUP($B22,'Raw Datas'!$54:$101,J$7,FALSE)</f>
        <v>ND</v>
      </c>
      <c r="K22" s="89" t="str">
        <f>VLOOKUP($B22,'Raw Datas'!$54:$101,K$7,FALSE)</f>
        <v>ND</v>
      </c>
      <c r="L22" s="89" t="str">
        <f>VLOOKUP($B22,'Raw Datas'!$54:$101,L$7,FALSE)</f>
        <v>ND</v>
      </c>
      <c r="M22" s="89" t="str">
        <f>VLOOKUP($B22,'Raw Datas'!$54:$101,M$7,FALSE)</f>
        <v>ND</v>
      </c>
      <c r="N22" s="89" t="str">
        <f>VLOOKUP($B22,'Raw Datas'!$54:$101,N$7,FALSE)</f>
        <v>ND</v>
      </c>
      <c r="O22" s="89" t="str">
        <f>VLOOKUP($B22,'Raw Datas'!$54:$101,O$7,FALSE)</f>
        <v>ND</v>
      </c>
      <c r="P22" s="89" t="str">
        <f>VLOOKUP($B22,'Raw Datas'!$54:$101,P$7,FALSE)</f>
        <v>ND</v>
      </c>
      <c r="Q22" s="89" t="str">
        <f>VLOOKUP($B22,'Raw Datas'!$54:$101,Q$7,FALSE)</f>
        <v>ND</v>
      </c>
      <c r="R22" s="89" t="str">
        <f>VLOOKUP($B22,'Raw Datas'!$54:$101,R$7,FALSE)</f>
        <v>ND</v>
      </c>
      <c r="S22" s="89" t="str">
        <f>VLOOKUP($B22,'Raw Datas'!$54:$101,S$7,FALSE)</f>
        <v>ND</v>
      </c>
      <c r="T22" s="89" t="str">
        <f>VLOOKUP($B22,'Raw Datas'!$54:$101,T$7,FALSE)</f>
        <v>ND</v>
      </c>
      <c r="U22" s="89" t="str">
        <f>VLOOKUP($B22,'Raw Datas'!$54:$101,U$7,FALSE)</f>
        <v>ND</v>
      </c>
      <c r="V22" s="89" t="str">
        <f>VLOOKUP($B22,'Raw Datas'!$54:$101,V$7,FALSE)</f>
        <v>ND</v>
      </c>
    </row>
    <row r="23" spans="1:22" ht="15.75" customHeight="1" x14ac:dyDescent="0.25">
      <c r="A23" s="116"/>
      <c r="B23" s="38" t="s">
        <v>23</v>
      </c>
      <c r="C23" s="89" t="str">
        <f>VLOOKUP($B23,'Raw Datas'!$54:$101,C$7,FALSE)</f>
        <v>ND</v>
      </c>
      <c r="D23" s="89" t="str">
        <f>VLOOKUP($B23,'Raw Datas'!$54:$101,D$7,FALSE)</f>
        <v>ND</v>
      </c>
      <c r="E23" s="89" t="str">
        <f>VLOOKUP($B23,'Raw Datas'!$54:$101,E$7,FALSE)</f>
        <v>ND</v>
      </c>
      <c r="F23" s="89" t="str">
        <f>VLOOKUP($B23,'Raw Datas'!$54:$101,F$7,FALSE)</f>
        <v>ND</v>
      </c>
      <c r="G23" s="89" t="str">
        <f>VLOOKUP($B23,'Raw Datas'!$54:$101,G$7,FALSE)</f>
        <v>ND</v>
      </c>
      <c r="H23" s="89" t="str">
        <f>VLOOKUP($B23,'Raw Datas'!$54:$101,H$7,FALSE)</f>
        <v>ND</v>
      </c>
      <c r="I23" s="89" t="str">
        <f>VLOOKUP($B23,'Raw Datas'!$54:$101,I$7,FALSE)</f>
        <v>ND</v>
      </c>
      <c r="J23" s="89" t="str">
        <f>VLOOKUP($B23,'Raw Datas'!$54:$101,J$7,FALSE)</f>
        <v>ND</v>
      </c>
      <c r="K23" s="89" t="str">
        <f>VLOOKUP($B23,'Raw Datas'!$54:$101,K$7,FALSE)</f>
        <v>ND</v>
      </c>
      <c r="L23" s="89" t="str">
        <f>VLOOKUP($B23,'Raw Datas'!$54:$101,L$7,FALSE)</f>
        <v>ND</v>
      </c>
      <c r="M23" s="89" t="str">
        <f>VLOOKUP($B23,'Raw Datas'!$54:$101,M$7,FALSE)</f>
        <v>ND</v>
      </c>
      <c r="N23" s="89" t="str">
        <f>VLOOKUP($B23,'Raw Datas'!$54:$101,N$7,FALSE)</f>
        <v>ND</v>
      </c>
      <c r="O23" s="89" t="str">
        <f>VLOOKUP($B23,'Raw Datas'!$54:$101,O$7,FALSE)</f>
        <v>ND</v>
      </c>
      <c r="P23" s="89" t="str">
        <f>VLOOKUP($B23,'Raw Datas'!$54:$101,P$7,FALSE)</f>
        <v>ND</v>
      </c>
      <c r="Q23" s="89" t="str">
        <f>VLOOKUP($B23,'Raw Datas'!$54:$101,Q$7,FALSE)</f>
        <v>ND</v>
      </c>
      <c r="R23" s="89" t="str">
        <f>VLOOKUP($B23,'Raw Datas'!$54:$101,R$7,FALSE)</f>
        <v>ND</v>
      </c>
      <c r="S23" s="89" t="str">
        <f>VLOOKUP($B23,'Raw Datas'!$54:$101,S$7,FALSE)</f>
        <v>ND</v>
      </c>
      <c r="T23" s="89" t="str">
        <f>VLOOKUP($B23,'Raw Datas'!$54:$101,T$7,FALSE)</f>
        <v>ND</v>
      </c>
      <c r="U23" s="89" t="str">
        <f>VLOOKUP($B23,'Raw Datas'!$54:$101,U$7,FALSE)</f>
        <v>ND</v>
      </c>
      <c r="V23" s="89" t="str">
        <f>VLOOKUP($B23,'Raw Datas'!$54:$101,V$7,FALSE)</f>
        <v>ND</v>
      </c>
    </row>
    <row r="24" spans="1:22" ht="15.75" customHeight="1" x14ac:dyDescent="0.25">
      <c r="A24" s="116"/>
      <c r="B24" s="38" t="s">
        <v>24</v>
      </c>
      <c r="C24" s="89">
        <f>VLOOKUP($B24,'Raw Datas'!$54:$101,C$7,FALSE)</f>
        <v>152.71015</v>
      </c>
      <c r="D24" s="89">
        <f>VLOOKUP($B24,'Raw Datas'!$54:$101,D$7,FALSE)</f>
        <v>1797.920816666667</v>
      </c>
      <c r="E24" s="89">
        <f>VLOOKUP($B24,'Raw Datas'!$54:$101,E$7,FALSE)</f>
        <v>101.77235</v>
      </c>
      <c r="F24" s="89">
        <f>VLOOKUP($B24,'Raw Datas'!$54:$101,F$7,FALSE)</f>
        <v>418.5385</v>
      </c>
      <c r="G24" s="89">
        <f>VLOOKUP($B24,'Raw Datas'!$54:$101,G$7,FALSE)</f>
        <v>97.386783333333341</v>
      </c>
      <c r="H24" s="89">
        <f>VLOOKUP($B24,'Raw Datas'!$54:$101,H$7,FALSE)</f>
        <v>17.393116666666668</v>
      </c>
      <c r="I24" s="89">
        <f>VLOOKUP($B24,'Raw Datas'!$54:$101,I$7,FALSE)</f>
        <v>245.20773333333332</v>
      </c>
      <c r="J24" s="89">
        <f>VLOOKUP($B24,'Raw Datas'!$54:$101,J$7,FALSE)</f>
        <v>66.736066666666673</v>
      </c>
      <c r="K24" s="89">
        <f>VLOOKUP($B24,'Raw Datas'!$54:$101,K$7,FALSE)</f>
        <v>248.76853333333335</v>
      </c>
      <c r="L24" s="89">
        <f>VLOOKUP($B24,'Raw Datas'!$54:$101,L$7,FALSE)</f>
        <v>62.15858333333334</v>
      </c>
      <c r="M24" s="89">
        <f>VLOOKUP($B24,'Raw Datas'!$54:$101,M$7,FALSE)</f>
        <v>123.36668333333334</v>
      </c>
      <c r="N24" s="89">
        <f>VLOOKUP($B24,'Raw Datas'!$54:$101,N$7,FALSE)</f>
        <v>465.9314333333333</v>
      </c>
      <c r="O24" s="89">
        <f>VLOOKUP($B24,'Raw Datas'!$54:$101,O$7,FALSE)</f>
        <v>224.07256666666669</v>
      </c>
      <c r="P24" s="89">
        <f>VLOOKUP($B24,'Raw Datas'!$54:$101,P$7,FALSE)</f>
        <v>73.611983333333328</v>
      </c>
      <c r="Q24" s="89">
        <f>VLOOKUP($B24,'Raw Datas'!$54:$101,Q$7,FALSE)</f>
        <v>388.29865000000001</v>
      </c>
      <c r="R24" s="89">
        <f>VLOOKUP($B24,'Raw Datas'!$54:$101,R$7,FALSE)</f>
        <v>17.750266666666668</v>
      </c>
      <c r="S24" s="89">
        <f>VLOOKUP($B24,'Raw Datas'!$54:$101,S$7,FALSE)</f>
        <v>1592.8050499999999</v>
      </c>
      <c r="T24" s="89">
        <f>VLOOKUP($B24,'Raw Datas'!$54:$101,T$7,FALSE)</f>
        <v>39.87265</v>
      </c>
      <c r="U24" s="89">
        <f>VLOOKUP($B24,'Raw Datas'!$54:$101,U$7,FALSE)</f>
        <v>201.97471666666667</v>
      </c>
      <c r="V24" s="89">
        <f>VLOOKUP($B24,'Raw Datas'!$54:$101,V$7,FALSE)</f>
        <v>93.991516666666669</v>
      </c>
    </row>
    <row r="25" spans="1:22" ht="15.75" customHeight="1" x14ac:dyDescent="0.25">
      <c r="A25" s="116"/>
      <c r="B25" s="38" t="s">
        <v>25</v>
      </c>
      <c r="C25" s="89">
        <f>VLOOKUP($B25,'Raw Datas'!$54:$101,C$7,FALSE)</f>
        <v>4.2649999999999997</v>
      </c>
      <c r="D25" s="89">
        <f>VLOOKUP($B25,'Raw Datas'!$54:$101,D$7,FALSE)</f>
        <v>157.49808333333334</v>
      </c>
      <c r="E25" s="89">
        <f>VLOOKUP($B25,'Raw Datas'!$54:$101,E$7,FALSE)</f>
        <v>5.9803333333333333</v>
      </c>
      <c r="F25" s="89">
        <f>VLOOKUP($B25,'Raw Datas'!$54:$101,F$7,FALSE)</f>
        <v>18.417766666666669</v>
      </c>
      <c r="G25" s="89">
        <f>VLOOKUP($B25,'Raw Datas'!$54:$101,G$7,FALSE)</f>
        <v>7.5383666666666667</v>
      </c>
      <c r="H25" s="89">
        <f>VLOOKUP($B25,'Raw Datas'!$54:$101,H$7,FALSE)</f>
        <v>4.9613333333333332</v>
      </c>
      <c r="I25" s="89">
        <f>VLOOKUP($B25,'Raw Datas'!$54:$101,I$7,FALSE)</f>
        <v>8.6435666666666666</v>
      </c>
      <c r="J25" s="89">
        <f>VLOOKUP($B25,'Raw Datas'!$54:$101,J$7,FALSE)</f>
        <v>3.6496833333333334</v>
      </c>
      <c r="K25" s="89">
        <f>VLOOKUP($B25,'Raw Datas'!$54:$101,K$7,FALSE)</f>
        <v>6.8679000000000006</v>
      </c>
      <c r="L25" s="89">
        <f>VLOOKUP($B25,'Raw Datas'!$54:$101,L$7,FALSE)</f>
        <v>5.6441499999999998</v>
      </c>
      <c r="M25" s="89">
        <f>VLOOKUP($B25,'Raw Datas'!$54:$101,M$7,FALSE)</f>
        <v>10.47845</v>
      </c>
      <c r="N25" s="89">
        <f>VLOOKUP($B25,'Raw Datas'!$54:$101,N$7,FALSE)</f>
        <v>9.6425833333333326</v>
      </c>
      <c r="O25" s="89">
        <f>VLOOKUP($B25,'Raw Datas'!$54:$101,O$7,FALSE)</f>
        <v>7.8624499999999999</v>
      </c>
      <c r="P25" s="89">
        <f>VLOOKUP($B25,'Raw Datas'!$54:$101,P$7,FALSE)</f>
        <v>6.5059666666666667</v>
      </c>
      <c r="Q25" s="89">
        <f>VLOOKUP($B25,'Raw Datas'!$54:$101,Q$7,FALSE)</f>
        <v>15.267249999999999</v>
      </c>
      <c r="R25" s="89">
        <f>VLOOKUP($B25,'Raw Datas'!$54:$101,R$7,FALSE)</f>
        <v>3.8628333333333331</v>
      </c>
      <c r="S25" s="89">
        <f>VLOOKUP($B25,'Raw Datas'!$54:$101,S$7,FALSE)</f>
        <v>88.024950000000004</v>
      </c>
      <c r="T25" s="89">
        <f>VLOOKUP($B25,'Raw Datas'!$54:$101,T$7,FALSE)</f>
        <v>2.863633333333333</v>
      </c>
      <c r="U25" s="89">
        <f>VLOOKUP($B25,'Raw Datas'!$54:$101,U$7,FALSE)</f>
        <v>6.1688500000000008</v>
      </c>
      <c r="V25" s="89">
        <f>VLOOKUP($B25,'Raw Datas'!$54:$101,V$7,FALSE)</f>
        <v>7.3323333333333336</v>
      </c>
    </row>
    <row r="26" spans="1:22" ht="15.75" customHeight="1" x14ac:dyDescent="0.25">
      <c r="A26" s="116"/>
      <c r="B26" s="38" t="s">
        <v>26</v>
      </c>
      <c r="C26" s="89">
        <f>VLOOKUP($B26,'Raw Datas'!$54:$101,C$7,FALSE)</f>
        <v>90.227316666666653</v>
      </c>
      <c r="D26" s="89">
        <f>VLOOKUP($B26,'Raw Datas'!$54:$101,D$7,FALSE)</f>
        <v>827.11071666666669</v>
      </c>
      <c r="E26" s="89">
        <f>VLOOKUP($B26,'Raw Datas'!$54:$101,E$7,FALSE)</f>
        <v>441.80364999999995</v>
      </c>
      <c r="F26" s="89">
        <f>VLOOKUP($B26,'Raw Datas'!$54:$101,F$7,FALSE)</f>
        <v>127.32324999999999</v>
      </c>
      <c r="G26" s="89">
        <f>VLOOKUP($B26,'Raw Datas'!$54:$101,G$7,FALSE)</f>
        <v>398.59199999999998</v>
      </c>
      <c r="H26" s="89">
        <f>VLOOKUP($B26,'Raw Datas'!$54:$101,H$7,FALSE)</f>
        <v>434.73559999999998</v>
      </c>
      <c r="I26" s="89">
        <f>VLOOKUP($B26,'Raw Datas'!$54:$101,I$7,FALSE)</f>
        <v>268.21134999999998</v>
      </c>
      <c r="J26" s="89">
        <f>VLOOKUP($B26,'Raw Datas'!$54:$101,J$7,FALSE)</f>
        <v>199.73114999999999</v>
      </c>
      <c r="K26" s="89">
        <f>VLOOKUP($B26,'Raw Datas'!$54:$101,K$7,FALSE)</f>
        <v>150.71729999999999</v>
      </c>
      <c r="L26" s="89">
        <f>VLOOKUP($B26,'Raw Datas'!$54:$101,L$7,FALSE)</f>
        <v>574.15388333333328</v>
      </c>
      <c r="M26" s="89">
        <f>VLOOKUP($B26,'Raw Datas'!$54:$101,M$7,FALSE)</f>
        <v>20.315066666666667</v>
      </c>
      <c r="N26" s="89">
        <f>VLOOKUP($B26,'Raw Datas'!$54:$101,N$7,FALSE)</f>
        <v>138.85016666666667</v>
      </c>
      <c r="O26" s="89">
        <f>VLOOKUP($B26,'Raw Datas'!$54:$101,O$7,FALSE)</f>
        <v>92.875200000000007</v>
      </c>
      <c r="P26" s="89">
        <f>VLOOKUP($B26,'Raw Datas'!$54:$101,P$7,FALSE)</f>
        <v>23.536600000000004</v>
      </c>
      <c r="Q26" s="89">
        <f>VLOOKUP($B26,'Raw Datas'!$54:$101,Q$7,FALSE)</f>
        <v>44.769166666666671</v>
      </c>
      <c r="R26" s="89">
        <f>VLOOKUP($B26,'Raw Datas'!$54:$101,R$7,FALSE)</f>
        <v>270.39328333333333</v>
      </c>
      <c r="S26" s="89">
        <f>VLOOKUP($B26,'Raw Datas'!$54:$101,S$7,FALSE)</f>
        <v>213.93918333333332</v>
      </c>
      <c r="T26" s="89">
        <f>VLOOKUP($B26,'Raw Datas'!$54:$101,T$7,FALSE)</f>
        <v>119.46905</v>
      </c>
      <c r="U26" s="89">
        <f>VLOOKUP($B26,'Raw Datas'!$54:$101,U$7,FALSE)</f>
        <v>83.42895</v>
      </c>
      <c r="V26" s="89">
        <f>VLOOKUP($B26,'Raw Datas'!$54:$101,V$7,FALSE)</f>
        <v>541.46735000000001</v>
      </c>
    </row>
    <row r="27" spans="1:22" ht="15.75" customHeight="1" x14ac:dyDescent="0.25">
      <c r="A27" s="116"/>
      <c r="B27" s="38" t="s">
        <v>27</v>
      </c>
      <c r="C27" s="89">
        <f>VLOOKUP($B27,'Raw Datas'!$54:$101,C$7,FALSE)</f>
        <v>6.7071000000000005</v>
      </c>
      <c r="D27" s="89">
        <f>VLOOKUP($B27,'Raw Datas'!$54:$101,D$7,FALSE)</f>
        <v>311.41931666666665</v>
      </c>
      <c r="E27" s="89">
        <f>VLOOKUP($B27,'Raw Datas'!$54:$101,E$7,FALSE)</f>
        <v>10.191233333333333</v>
      </c>
      <c r="F27" s="89">
        <f>VLOOKUP($B27,'Raw Datas'!$54:$101,F$7,FALSE)</f>
        <v>20.330716666666667</v>
      </c>
      <c r="G27" s="89">
        <f>VLOOKUP($B27,'Raw Datas'!$54:$101,G$7,FALSE)</f>
        <v>17.451000000000001</v>
      </c>
      <c r="H27" s="89">
        <f>VLOOKUP($B27,'Raw Datas'!$54:$101,H$7,FALSE)</f>
        <v>10.967466666666667</v>
      </c>
      <c r="I27" s="89">
        <f>VLOOKUP($B27,'Raw Datas'!$54:$101,I$7,FALSE)</f>
        <v>14.669933333333331</v>
      </c>
      <c r="J27" s="89">
        <f>VLOOKUP($B27,'Raw Datas'!$54:$101,J$7,FALSE)</f>
        <v>8.548233333333334</v>
      </c>
      <c r="K27" s="89">
        <f>VLOOKUP($B27,'Raw Datas'!$54:$101,K$7,FALSE)</f>
        <v>9.7523833333333343</v>
      </c>
      <c r="L27" s="89">
        <f>VLOOKUP($B27,'Raw Datas'!$54:$101,L$7,FALSE)</f>
        <v>9.362683333333333</v>
      </c>
      <c r="M27" s="89">
        <f>VLOOKUP($B27,'Raw Datas'!$54:$101,M$7,FALSE)</f>
        <v>13.739066666666666</v>
      </c>
      <c r="N27" s="89">
        <f>VLOOKUP($B27,'Raw Datas'!$54:$101,N$7,FALSE)</f>
        <v>13.478883333333332</v>
      </c>
      <c r="O27" s="89">
        <f>VLOOKUP($B27,'Raw Datas'!$54:$101,O$7,FALSE)</f>
        <v>11.043983333333335</v>
      </c>
      <c r="P27" s="89">
        <f>VLOOKUP($B27,'Raw Datas'!$54:$101,P$7,FALSE)</f>
        <v>8.3930166666666661</v>
      </c>
      <c r="Q27" s="89">
        <f>VLOOKUP($B27,'Raw Datas'!$54:$101,Q$7,FALSE)</f>
        <v>21.023083333333332</v>
      </c>
      <c r="R27" s="89">
        <f>VLOOKUP($B27,'Raw Datas'!$54:$101,R$7,FALSE)</f>
        <v>15.681116666666666</v>
      </c>
      <c r="S27" s="89">
        <f>VLOOKUP($B27,'Raw Datas'!$54:$101,S$7,FALSE)</f>
        <v>130.93550000000002</v>
      </c>
      <c r="T27" s="89">
        <f>VLOOKUP($B27,'Raw Datas'!$54:$101,T$7,FALSE)</f>
        <v>4.6589666666666671</v>
      </c>
      <c r="U27" s="89">
        <f>VLOOKUP($B27,'Raw Datas'!$54:$101,U$7,FALSE)</f>
        <v>6.7656833333333326</v>
      </c>
      <c r="V27" s="89">
        <f>VLOOKUP($B27,'Raw Datas'!$54:$101,V$7,FALSE)</f>
        <v>14.750683333333333</v>
      </c>
    </row>
    <row r="28" spans="1:22" ht="15.75" customHeight="1" x14ac:dyDescent="0.25">
      <c r="A28" s="116"/>
      <c r="B28" s="38" t="s">
        <v>28</v>
      </c>
      <c r="C28" s="89" t="str">
        <f>VLOOKUP($B28,'Raw Datas'!$54:$101,C$7,FALSE)</f>
        <v>ND</v>
      </c>
      <c r="D28" s="89" t="str">
        <f>VLOOKUP($B28,'Raw Datas'!$54:$101,D$7,FALSE)</f>
        <v>ND</v>
      </c>
      <c r="E28" s="89" t="str">
        <f>VLOOKUP($B28,'Raw Datas'!$54:$101,E$7,FALSE)</f>
        <v>ND</v>
      </c>
      <c r="F28" s="89" t="str">
        <f>VLOOKUP($B28,'Raw Datas'!$54:$101,F$7,FALSE)</f>
        <v>ND</v>
      </c>
      <c r="G28" s="89" t="str">
        <f>VLOOKUP($B28,'Raw Datas'!$54:$101,G$7,FALSE)</f>
        <v>ND</v>
      </c>
      <c r="H28" s="89" t="str">
        <f>VLOOKUP($B28,'Raw Datas'!$54:$101,H$7,FALSE)</f>
        <v>ND</v>
      </c>
      <c r="I28" s="89" t="str">
        <f>VLOOKUP($B28,'Raw Datas'!$54:$101,I$7,FALSE)</f>
        <v>ND</v>
      </c>
      <c r="J28" s="89" t="str">
        <f>VLOOKUP($B28,'Raw Datas'!$54:$101,J$7,FALSE)</f>
        <v>ND</v>
      </c>
      <c r="K28" s="89" t="str">
        <f>VLOOKUP($B28,'Raw Datas'!$54:$101,K$7,FALSE)</f>
        <v>ND</v>
      </c>
      <c r="L28" s="89" t="str">
        <f>VLOOKUP($B28,'Raw Datas'!$54:$101,L$7,FALSE)</f>
        <v>ND</v>
      </c>
      <c r="M28" s="89" t="str">
        <f>VLOOKUP($B28,'Raw Datas'!$54:$101,M$7,FALSE)</f>
        <v>ND</v>
      </c>
      <c r="N28" s="89" t="str">
        <f>VLOOKUP($B28,'Raw Datas'!$54:$101,N$7,FALSE)</f>
        <v>ND</v>
      </c>
      <c r="O28" s="89" t="str">
        <f>VLOOKUP($B28,'Raw Datas'!$54:$101,O$7,FALSE)</f>
        <v>ND</v>
      </c>
      <c r="P28" s="89" t="str">
        <f>VLOOKUP($B28,'Raw Datas'!$54:$101,P$7,FALSE)</f>
        <v>ND</v>
      </c>
      <c r="Q28" s="89" t="str">
        <f>VLOOKUP($B28,'Raw Datas'!$54:$101,Q$7,FALSE)</f>
        <v>ND</v>
      </c>
      <c r="R28" s="89" t="str">
        <f>VLOOKUP($B28,'Raw Datas'!$54:$101,R$7,FALSE)</f>
        <v>ND</v>
      </c>
      <c r="S28" s="89" t="str">
        <f>VLOOKUP($B28,'Raw Datas'!$54:$101,S$7,FALSE)</f>
        <v>ND</v>
      </c>
      <c r="T28" s="89" t="str">
        <f>VLOOKUP($B28,'Raw Datas'!$54:$101,T$7,FALSE)</f>
        <v>ND</v>
      </c>
      <c r="U28" s="89" t="str">
        <f>VLOOKUP($B28,'Raw Datas'!$54:$101,U$7,FALSE)</f>
        <v>ND</v>
      </c>
      <c r="V28" s="89" t="str">
        <f>VLOOKUP($B28,'Raw Datas'!$54:$101,V$7,FALSE)</f>
        <v>ND</v>
      </c>
    </row>
    <row r="29" spans="1:22" ht="15.75" customHeight="1" x14ac:dyDescent="0.25">
      <c r="A29" s="116"/>
      <c r="B29" s="38" t="s">
        <v>29</v>
      </c>
      <c r="C29" s="89">
        <f>VLOOKUP($B29,'Raw Datas'!$54:$101,C$7,FALSE)</f>
        <v>2.796133333333334</v>
      </c>
      <c r="D29" s="89">
        <f>VLOOKUP($B29,'Raw Datas'!$54:$101,D$7,FALSE)</f>
        <v>88.758683333333323</v>
      </c>
      <c r="E29" s="89">
        <f>VLOOKUP($B29,'Raw Datas'!$54:$101,E$7,FALSE)</f>
        <v>1.2720499999999999</v>
      </c>
      <c r="F29" s="89">
        <f>VLOOKUP($B29,'Raw Datas'!$54:$101,F$7,FALSE)</f>
        <v>12.331933333333334</v>
      </c>
      <c r="G29" s="89">
        <f>VLOOKUP($B29,'Raw Datas'!$54:$101,G$7,FALSE)</f>
        <v>0.78040000000000009</v>
      </c>
      <c r="H29" s="89">
        <f>VLOOKUP($B29,'Raw Datas'!$54:$101,H$7,FALSE)</f>
        <v>0.50224999999999997</v>
      </c>
      <c r="I29" s="89">
        <f>VLOOKUP($B29,'Raw Datas'!$54:$101,I$7,FALSE)</f>
        <v>3.6323166666666671</v>
      </c>
      <c r="J29" s="89">
        <f>VLOOKUP($B29,'Raw Datas'!$54:$101,J$7,FALSE)</f>
        <v>1.0370000000000001</v>
      </c>
      <c r="K29" s="89">
        <f>VLOOKUP($B29,'Raw Datas'!$54:$101,K$7,FALSE)</f>
        <v>7.7436333333333325</v>
      </c>
      <c r="L29" s="89" t="str">
        <f>VLOOKUP($B29,'Raw Datas'!$54:$101,L$7,FALSE)</f>
        <v>&lt;LLOQ</v>
      </c>
      <c r="M29" s="89">
        <f>VLOOKUP($B29,'Raw Datas'!$54:$101,M$7,FALSE)</f>
        <v>2.2846833333333332</v>
      </c>
      <c r="N29" s="89">
        <f>VLOOKUP($B29,'Raw Datas'!$54:$101,N$7,FALSE)</f>
        <v>15.127566666666667</v>
      </c>
      <c r="O29" s="89">
        <f>VLOOKUP($B29,'Raw Datas'!$54:$101,O$7,FALSE)</f>
        <v>5.2080333333333337</v>
      </c>
      <c r="P29" s="89">
        <f>VLOOKUP($B29,'Raw Datas'!$54:$101,P$7,FALSE)</f>
        <v>1.9497333333333333</v>
      </c>
      <c r="Q29" s="89">
        <f>VLOOKUP($B29,'Raw Datas'!$54:$101,Q$7,FALSE)</f>
        <v>9.5573999999999995</v>
      </c>
      <c r="R29" s="89">
        <f>VLOOKUP($B29,'Raw Datas'!$54:$101,R$7,FALSE)</f>
        <v>0.41616666666666663</v>
      </c>
      <c r="S29" s="89">
        <f>VLOOKUP($B29,'Raw Datas'!$54:$101,S$7,FALSE)</f>
        <v>52.039666666666669</v>
      </c>
      <c r="T29" s="89" t="str">
        <f>VLOOKUP($B29,'Raw Datas'!$54:$101,T$7,FALSE)</f>
        <v>ND</v>
      </c>
      <c r="U29" s="89">
        <f>VLOOKUP($B29,'Raw Datas'!$54:$101,U$7,FALSE)</f>
        <v>2.7179000000000002</v>
      </c>
      <c r="V29" s="89">
        <f>VLOOKUP($B29,'Raw Datas'!$54:$101,V$7,FALSE)</f>
        <v>2.0367166666666665</v>
      </c>
    </row>
    <row r="30" spans="1:22" ht="15.75" customHeight="1" x14ac:dyDescent="0.25">
      <c r="A30" s="116"/>
      <c r="B30" s="38" t="s">
        <v>30</v>
      </c>
      <c r="C30" s="89">
        <f>VLOOKUP($B30,'Raw Datas'!$54:$101,C$7,FALSE)</f>
        <v>1.9784499999999998</v>
      </c>
      <c r="D30" s="89">
        <f>VLOOKUP($B30,'Raw Datas'!$54:$101,D$7,FALSE)</f>
        <v>27.089933333333338</v>
      </c>
      <c r="E30" s="89">
        <f>VLOOKUP($B30,'Raw Datas'!$54:$101,E$7,FALSE)</f>
        <v>1.2014500000000001</v>
      </c>
      <c r="F30" s="89">
        <f>VLOOKUP($B30,'Raw Datas'!$54:$101,F$7,FALSE)</f>
        <v>5.101866666666667</v>
      </c>
      <c r="G30" s="89">
        <f>VLOOKUP($B30,'Raw Datas'!$54:$101,G$7,FALSE)</f>
        <v>0.70056666666666678</v>
      </c>
      <c r="H30" s="89" t="str">
        <f>VLOOKUP($B30,'Raw Datas'!$54:$101,H$7,FALSE)</f>
        <v>&lt;LLOQ</v>
      </c>
      <c r="I30" s="89">
        <f>VLOOKUP($B30,'Raw Datas'!$54:$101,I$7,FALSE)</f>
        <v>2.1104666666666669</v>
      </c>
      <c r="J30" s="89">
        <f>VLOOKUP($B30,'Raw Datas'!$54:$101,J$7,FALSE)</f>
        <v>0.54208333333333336</v>
      </c>
      <c r="K30" s="89">
        <f>VLOOKUP($B30,'Raw Datas'!$54:$101,K$7,FALSE)</f>
        <v>4.9924333333333335</v>
      </c>
      <c r="L30" s="89" t="str">
        <f>VLOOKUP($B30,'Raw Datas'!$54:$101,L$7,FALSE)</f>
        <v>&lt;LLOQ</v>
      </c>
      <c r="M30" s="89">
        <f>VLOOKUP($B30,'Raw Datas'!$54:$101,M$7,FALSE)</f>
        <v>3.8667666666666674</v>
      </c>
      <c r="N30" s="89">
        <f>VLOOKUP($B30,'Raw Datas'!$54:$101,N$7,FALSE)</f>
        <v>13.747549999999999</v>
      </c>
      <c r="O30" s="89">
        <f>VLOOKUP($B30,'Raw Datas'!$54:$101,O$7,FALSE)</f>
        <v>2.8618999999999999</v>
      </c>
      <c r="P30" s="89" t="str">
        <f>VLOOKUP($B30,'Raw Datas'!$54:$101,P$7,FALSE)</f>
        <v>&lt;LLOQ</v>
      </c>
      <c r="Q30" s="89">
        <f>VLOOKUP($B30,'Raw Datas'!$54:$101,Q$7,FALSE)</f>
        <v>7.2707666666666659</v>
      </c>
      <c r="R30" s="89" t="str">
        <f>VLOOKUP($B30,'Raw Datas'!$54:$101,R$7,FALSE)</f>
        <v>&lt;LLOQ</v>
      </c>
      <c r="S30" s="89">
        <f>VLOOKUP($B30,'Raw Datas'!$54:$101,S$7,FALSE)</f>
        <v>19.362883333333336</v>
      </c>
      <c r="T30" s="89" t="str">
        <f>VLOOKUP($B30,'Raw Datas'!$54:$101,T$7,FALSE)</f>
        <v>&lt;LLOQ</v>
      </c>
      <c r="U30" s="89">
        <f>VLOOKUP($B30,'Raw Datas'!$54:$101,U$7,FALSE)</f>
        <v>3.2923499999999999</v>
      </c>
      <c r="V30" s="89">
        <f>VLOOKUP($B30,'Raw Datas'!$54:$101,V$7,FALSE)</f>
        <v>1.6565666666666665</v>
      </c>
    </row>
    <row r="31" spans="1:22" ht="15.75" customHeight="1" x14ac:dyDescent="0.25">
      <c r="A31" s="116"/>
      <c r="B31" s="38" t="s">
        <v>31</v>
      </c>
      <c r="C31" s="89" t="str">
        <f>VLOOKUP($B31,'Raw Datas'!$54:$101,C$7,FALSE)</f>
        <v>ND</v>
      </c>
      <c r="D31" s="89" t="str">
        <f>VLOOKUP($B31,'Raw Datas'!$54:$101,D$7,FALSE)</f>
        <v>ND</v>
      </c>
      <c r="E31" s="89" t="str">
        <f>VLOOKUP($B31,'Raw Datas'!$54:$101,E$7,FALSE)</f>
        <v>ND</v>
      </c>
      <c r="F31" s="89" t="str">
        <f>VLOOKUP($B31,'Raw Datas'!$54:$101,F$7,FALSE)</f>
        <v>ND</v>
      </c>
      <c r="G31" s="89" t="str">
        <f>VLOOKUP($B31,'Raw Datas'!$54:$101,G$7,FALSE)</f>
        <v>ND</v>
      </c>
      <c r="H31" s="89" t="str">
        <f>VLOOKUP($B31,'Raw Datas'!$54:$101,H$7,FALSE)</f>
        <v>ND</v>
      </c>
      <c r="I31" s="89" t="str">
        <f>VLOOKUP($B31,'Raw Datas'!$54:$101,I$7,FALSE)</f>
        <v>ND</v>
      </c>
      <c r="J31" s="89" t="str">
        <f>VLOOKUP($B31,'Raw Datas'!$54:$101,J$7,FALSE)</f>
        <v>ND</v>
      </c>
      <c r="K31" s="89" t="str">
        <f>VLOOKUP($B31,'Raw Datas'!$54:$101,K$7,FALSE)</f>
        <v>ND</v>
      </c>
      <c r="L31" s="89" t="str">
        <f>VLOOKUP($B31,'Raw Datas'!$54:$101,L$7,FALSE)</f>
        <v>ND</v>
      </c>
      <c r="M31" s="89" t="str">
        <f>VLOOKUP($B31,'Raw Datas'!$54:$101,M$7,FALSE)</f>
        <v>ND</v>
      </c>
      <c r="N31" s="89" t="str">
        <f>VLOOKUP($B31,'Raw Datas'!$54:$101,N$7,FALSE)</f>
        <v>ND</v>
      </c>
      <c r="O31" s="89" t="str">
        <f>VLOOKUP($B31,'Raw Datas'!$54:$101,O$7,FALSE)</f>
        <v>ND</v>
      </c>
      <c r="P31" s="89" t="str">
        <f>VLOOKUP($B31,'Raw Datas'!$54:$101,P$7,FALSE)</f>
        <v>ND</v>
      </c>
      <c r="Q31" s="89" t="str">
        <f>VLOOKUP($B31,'Raw Datas'!$54:$101,Q$7,FALSE)</f>
        <v>ND</v>
      </c>
      <c r="R31" s="89" t="str">
        <f>VLOOKUP($B31,'Raw Datas'!$54:$101,R$7,FALSE)</f>
        <v>ND</v>
      </c>
      <c r="S31" s="89" t="str">
        <f>VLOOKUP($B31,'Raw Datas'!$54:$101,S$7,FALSE)</f>
        <v>ND</v>
      </c>
      <c r="T31" s="89" t="str">
        <f>VLOOKUP($B31,'Raw Datas'!$54:$101,T$7,FALSE)</f>
        <v>ND</v>
      </c>
      <c r="U31" s="89" t="str">
        <f>VLOOKUP($B31,'Raw Datas'!$54:$101,U$7,FALSE)</f>
        <v>ND</v>
      </c>
      <c r="V31" s="89" t="str">
        <f>VLOOKUP($B31,'Raw Datas'!$54:$101,V$7,FALSE)</f>
        <v>ND</v>
      </c>
    </row>
    <row r="32" spans="1:22" ht="15.75" customHeight="1" x14ac:dyDescent="0.25">
      <c r="A32" s="116"/>
      <c r="B32" s="38" t="s">
        <v>32</v>
      </c>
      <c r="C32" s="89" t="str">
        <f>VLOOKUP($B32,'Raw Datas'!$54:$101,C$7,FALSE)</f>
        <v>ND</v>
      </c>
      <c r="D32" s="89" t="str">
        <f>VLOOKUP($B32,'Raw Datas'!$54:$101,D$7,FALSE)</f>
        <v>ND</v>
      </c>
      <c r="E32" s="89" t="str">
        <f>VLOOKUP($B32,'Raw Datas'!$54:$101,E$7,FALSE)</f>
        <v>ND</v>
      </c>
      <c r="F32" s="89" t="str">
        <f>VLOOKUP($B32,'Raw Datas'!$54:$101,F$7,FALSE)</f>
        <v>ND</v>
      </c>
      <c r="G32" s="89" t="str">
        <f>VLOOKUP($B32,'Raw Datas'!$54:$101,G$7,FALSE)</f>
        <v>ND</v>
      </c>
      <c r="H32" s="89" t="str">
        <f>VLOOKUP($B32,'Raw Datas'!$54:$101,H$7,FALSE)</f>
        <v>ND</v>
      </c>
      <c r="I32" s="89" t="str">
        <f>VLOOKUP($B32,'Raw Datas'!$54:$101,I$7,FALSE)</f>
        <v>ND</v>
      </c>
      <c r="J32" s="89" t="str">
        <f>VLOOKUP($B32,'Raw Datas'!$54:$101,J$7,FALSE)</f>
        <v>ND</v>
      </c>
      <c r="K32" s="89" t="str">
        <f>VLOOKUP($B32,'Raw Datas'!$54:$101,K$7,FALSE)</f>
        <v>ND</v>
      </c>
      <c r="L32" s="89" t="str">
        <f>VLOOKUP($B32,'Raw Datas'!$54:$101,L$7,FALSE)</f>
        <v>ND</v>
      </c>
      <c r="M32" s="89" t="str">
        <f>VLOOKUP($B32,'Raw Datas'!$54:$101,M$7,FALSE)</f>
        <v>ND</v>
      </c>
      <c r="N32" s="89" t="str">
        <f>VLOOKUP($B32,'Raw Datas'!$54:$101,N$7,FALSE)</f>
        <v>ND</v>
      </c>
      <c r="O32" s="89" t="str">
        <f>VLOOKUP($B32,'Raw Datas'!$54:$101,O$7,FALSE)</f>
        <v>ND</v>
      </c>
      <c r="P32" s="89" t="str">
        <f>VLOOKUP($B32,'Raw Datas'!$54:$101,P$7,FALSE)</f>
        <v>ND</v>
      </c>
      <c r="Q32" s="89" t="str">
        <f>VLOOKUP($B32,'Raw Datas'!$54:$101,Q$7,FALSE)</f>
        <v>ND</v>
      </c>
      <c r="R32" s="89" t="str">
        <f>VLOOKUP($B32,'Raw Datas'!$54:$101,R$7,FALSE)</f>
        <v>ND</v>
      </c>
      <c r="S32" s="89" t="str">
        <f>VLOOKUP($B32,'Raw Datas'!$54:$101,S$7,FALSE)</f>
        <v>ND</v>
      </c>
      <c r="T32" s="89" t="str">
        <f>VLOOKUP($B32,'Raw Datas'!$54:$101,T$7,FALSE)</f>
        <v>ND</v>
      </c>
      <c r="U32" s="89" t="str">
        <f>VLOOKUP($B32,'Raw Datas'!$54:$101,U$7,FALSE)</f>
        <v>ND</v>
      </c>
      <c r="V32" s="89" t="str">
        <f>VLOOKUP($B32,'Raw Datas'!$54:$101,V$7,FALSE)</f>
        <v>ND</v>
      </c>
    </row>
    <row r="33" spans="1:16048" ht="15.75" customHeight="1" x14ac:dyDescent="0.25">
      <c r="A33" s="116"/>
      <c r="B33" s="38" t="s">
        <v>33</v>
      </c>
      <c r="C33" s="89" t="str">
        <f>VLOOKUP($B33,'Raw Datas'!$54:$101,C$7,FALSE)</f>
        <v>ND</v>
      </c>
      <c r="D33" s="89" t="str">
        <f>VLOOKUP($B33,'Raw Datas'!$54:$101,D$7,FALSE)</f>
        <v>ND</v>
      </c>
      <c r="E33" s="89" t="str">
        <f>VLOOKUP($B33,'Raw Datas'!$54:$101,E$7,FALSE)</f>
        <v>ND</v>
      </c>
      <c r="F33" s="89" t="str">
        <f>VLOOKUP($B33,'Raw Datas'!$54:$101,F$7,FALSE)</f>
        <v>ND</v>
      </c>
      <c r="G33" s="89" t="str">
        <f>VLOOKUP($B33,'Raw Datas'!$54:$101,G$7,FALSE)</f>
        <v>ND</v>
      </c>
      <c r="H33" s="89" t="str">
        <f>VLOOKUP($B33,'Raw Datas'!$54:$101,H$7,FALSE)</f>
        <v>ND</v>
      </c>
      <c r="I33" s="89" t="str">
        <f>VLOOKUP($B33,'Raw Datas'!$54:$101,I$7,FALSE)</f>
        <v>ND</v>
      </c>
      <c r="J33" s="89" t="str">
        <f>VLOOKUP($B33,'Raw Datas'!$54:$101,J$7,FALSE)</f>
        <v>ND</v>
      </c>
      <c r="K33" s="89" t="str">
        <f>VLOOKUP($B33,'Raw Datas'!$54:$101,K$7,FALSE)</f>
        <v>ND</v>
      </c>
      <c r="L33" s="89" t="str">
        <f>VLOOKUP($B33,'Raw Datas'!$54:$101,L$7,FALSE)</f>
        <v>ND</v>
      </c>
      <c r="M33" s="89" t="str">
        <f>VLOOKUP($B33,'Raw Datas'!$54:$101,M$7,FALSE)</f>
        <v>ND</v>
      </c>
      <c r="N33" s="89" t="str">
        <f>VLOOKUP($B33,'Raw Datas'!$54:$101,N$7,FALSE)</f>
        <v>ND</v>
      </c>
      <c r="O33" s="89" t="str">
        <f>VLOOKUP($B33,'Raw Datas'!$54:$101,O$7,FALSE)</f>
        <v>ND</v>
      </c>
      <c r="P33" s="89" t="str">
        <f>VLOOKUP($B33,'Raw Datas'!$54:$101,P$7,FALSE)</f>
        <v>ND</v>
      </c>
      <c r="Q33" s="89" t="str">
        <f>VLOOKUP($B33,'Raw Datas'!$54:$101,Q$7,FALSE)</f>
        <v>ND</v>
      </c>
      <c r="R33" s="89" t="str">
        <f>VLOOKUP($B33,'Raw Datas'!$54:$101,R$7,FALSE)</f>
        <v>ND</v>
      </c>
      <c r="S33" s="89" t="str">
        <f>VLOOKUP($B33,'Raw Datas'!$54:$101,S$7,FALSE)</f>
        <v>ND</v>
      </c>
      <c r="T33" s="89" t="str">
        <f>VLOOKUP($B33,'Raw Datas'!$54:$101,T$7,FALSE)</f>
        <v>ND</v>
      </c>
      <c r="U33" s="89" t="str">
        <f>VLOOKUP($B33,'Raw Datas'!$54:$101,U$7,FALSE)</f>
        <v>ND</v>
      </c>
      <c r="V33" s="89" t="str">
        <f>VLOOKUP($B33,'Raw Datas'!$54:$101,V$7,FALSE)</f>
        <v>ND</v>
      </c>
    </row>
    <row r="34" spans="1:16048" ht="15.75" customHeight="1" x14ac:dyDescent="0.25">
      <c r="A34" s="116"/>
      <c r="B34" s="38" t="s">
        <v>34</v>
      </c>
      <c r="C34" s="89" t="str">
        <f>VLOOKUP($B34,'Raw Datas'!$54:$101,C$7,FALSE)</f>
        <v>ND</v>
      </c>
      <c r="D34" s="89" t="str">
        <f>VLOOKUP($B34,'Raw Datas'!$54:$101,D$7,FALSE)</f>
        <v>ND</v>
      </c>
      <c r="E34" s="89" t="str">
        <f>VLOOKUP($B34,'Raw Datas'!$54:$101,E$7,FALSE)</f>
        <v>ND</v>
      </c>
      <c r="F34" s="89" t="str">
        <f>VLOOKUP($B34,'Raw Datas'!$54:$101,F$7,FALSE)</f>
        <v>ND</v>
      </c>
      <c r="G34" s="89" t="str">
        <f>VLOOKUP($B34,'Raw Datas'!$54:$101,G$7,FALSE)</f>
        <v>ND</v>
      </c>
      <c r="H34" s="89" t="str">
        <f>VLOOKUP($B34,'Raw Datas'!$54:$101,H$7,FALSE)</f>
        <v>ND</v>
      </c>
      <c r="I34" s="89" t="str">
        <f>VLOOKUP($B34,'Raw Datas'!$54:$101,I$7,FALSE)</f>
        <v>ND</v>
      </c>
      <c r="J34" s="89" t="str">
        <f>VLOOKUP($B34,'Raw Datas'!$54:$101,J$7,FALSE)</f>
        <v>ND</v>
      </c>
      <c r="K34" s="89" t="str">
        <f>VLOOKUP($B34,'Raw Datas'!$54:$101,K$7,FALSE)</f>
        <v>ND</v>
      </c>
      <c r="L34" s="89" t="str">
        <f>VLOOKUP($B34,'Raw Datas'!$54:$101,L$7,FALSE)</f>
        <v>ND</v>
      </c>
      <c r="M34" s="89" t="str">
        <f>VLOOKUP($B34,'Raw Datas'!$54:$101,M$7,FALSE)</f>
        <v>ND</v>
      </c>
      <c r="N34" s="89" t="str">
        <f>VLOOKUP($B34,'Raw Datas'!$54:$101,N$7,FALSE)</f>
        <v>ND</v>
      </c>
      <c r="O34" s="89" t="str">
        <f>VLOOKUP($B34,'Raw Datas'!$54:$101,O$7,FALSE)</f>
        <v>ND</v>
      </c>
      <c r="P34" s="89" t="str">
        <f>VLOOKUP($B34,'Raw Datas'!$54:$101,P$7,FALSE)</f>
        <v>ND</v>
      </c>
      <c r="Q34" s="89" t="str">
        <f>VLOOKUP($B34,'Raw Datas'!$54:$101,Q$7,FALSE)</f>
        <v>ND</v>
      </c>
      <c r="R34" s="89" t="str">
        <f>VLOOKUP($B34,'Raw Datas'!$54:$101,R$7,FALSE)</f>
        <v>ND</v>
      </c>
      <c r="S34" s="89" t="str">
        <f>VLOOKUP($B34,'Raw Datas'!$54:$101,S$7,FALSE)</f>
        <v>ND</v>
      </c>
      <c r="T34" s="89" t="str">
        <f>VLOOKUP($B34,'Raw Datas'!$54:$101,T$7,FALSE)</f>
        <v>ND</v>
      </c>
      <c r="U34" s="89" t="str">
        <f>VLOOKUP($B34,'Raw Datas'!$54:$101,U$7,FALSE)</f>
        <v>ND</v>
      </c>
      <c r="V34" s="89" t="str">
        <f>VLOOKUP($B34,'Raw Datas'!$54:$101,V$7,FALSE)</f>
        <v>ND</v>
      </c>
    </row>
    <row r="35" spans="1:16048" ht="15.75" customHeight="1" x14ac:dyDescent="0.25">
      <c r="A35" s="116"/>
      <c r="B35" s="38" t="s">
        <v>35</v>
      </c>
      <c r="C35" s="89" t="str">
        <f>VLOOKUP($B35,'Raw Datas'!$54:$101,C$7,FALSE)</f>
        <v>ND</v>
      </c>
      <c r="D35" s="89" t="str">
        <f>VLOOKUP($B35,'Raw Datas'!$54:$101,D$7,FALSE)</f>
        <v>ND</v>
      </c>
      <c r="E35" s="89">
        <f>VLOOKUP($B35,'Raw Datas'!$54:$101,E$7,FALSE)</f>
        <v>4.9090833333333332</v>
      </c>
      <c r="F35" s="89" t="str">
        <f>VLOOKUP($B35,'Raw Datas'!$54:$101,F$7,FALSE)</f>
        <v>ND</v>
      </c>
      <c r="G35" s="89">
        <f>VLOOKUP($B35,'Raw Datas'!$54:$101,G$7,FALSE)</f>
        <v>9.4434500000000003</v>
      </c>
      <c r="H35" s="89">
        <f>VLOOKUP($B35,'Raw Datas'!$54:$101,H$7,FALSE)</f>
        <v>1.5201166666666666</v>
      </c>
      <c r="I35" s="89">
        <f>VLOOKUP($B35,'Raw Datas'!$54:$101,I$7,FALSE)</f>
        <v>4.2133500000000002</v>
      </c>
      <c r="J35" s="89" t="str">
        <f>VLOOKUP($B35,'Raw Datas'!$54:$101,J$7,FALSE)</f>
        <v>ND</v>
      </c>
      <c r="K35" s="89" t="str">
        <f>VLOOKUP($B35,'Raw Datas'!$54:$101,K$7,FALSE)</f>
        <v>ND</v>
      </c>
      <c r="L35" s="89">
        <f>VLOOKUP($B35,'Raw Datas'!$54:$101,L$7,FALSE)</f>
        <v>1.9153333333333336</v>
      </c>
      <c r="M35" s="89" t="str">
        <f>VLOOKUP($B35,'Raw Datas'!$54:$101,M$7,FALSE)</f>
        <v>ND</v>
      </c>
      <c r="N35" s="89" t="str">
        <f>VLOOKUP($B35,'Raw Datas'!$54:$101,N$7,FALSE)</f>
        <v>ND</v>
      </c>
      <c r="O35" s="89" t="str">
        <f>VLOOKUP($B35,'Raw Datas'!$54:$101,O$7,FALSE)</f>
        <v>ND</v>
      </c>
      <c r="P35" s="89" t="str">
        <f>VLOOKUP($B35,'Raw Datas'!$54:$101,P$7,FALSE)</f>
        <v>ND</v>
      </c>
      <c r="Q35" s="89" t="str">
        <f>VLOOKUP($B35,'Raw Datas'!$54:$101,Q$7,FALSE)</f>
        <v>ND</v>
      </c>
      <c r="R35" s="89">
        <f>VLOOKUP($B35,'Raw Datas'!$54:$101,R$7,FALSE)</f>
        <v>5.7411166666666666</v>
      </c>
      <c r="S35" s="89" t="str">
        <f>VLOOKUP($B35,'Raw Datas'!$54:$101,S$7,FALSE)</f>
        <v>ND</v>
      </c>
      <c r="T35" s="89">
        <f>VLOOKUP($B35,'Raw Datas'!$54:$101,T$7,FALSE)</f>
        <v>2.6660166666666667</v>
      </c>
      <c r="U35" s="89" t="str">
        <f>VLOOKUP($B35,'Raw Datas'!$54:$101,U$7,FALSE)</f>
        <v>ND</v>
      </c>
      <c r="V35" s="89">
        <f>VLOOKUP($B35,'Raw Datas'!$54:$101,V$7,FALSE)</f>
        <v>15.30955</v>
      </c>
    </row>
    <row r="36" spans="1:16048" ht="15.75" customHeight="1" x14ac:dyDescent="0.25">
      <c r="A36" s="116"/>
      <c r="B36" s="38" t="s">
        <v>36</v>
      </c>
      <c r="C36" s="89" t="str">
        <f>VLOOKUP($B36,'Raw Datas'!$54:$101,C$7,FALSE)</f>
        <v>ND</v>
      </c>
      <c r="D36" s="89" t="str">
        <f>VLOOKUP($B36,'Raw Datas'!$54:$101,D$7,FALSE)</f>
        <v>ND</v>
      </c>
      <c r="E36" s="89" t="str">
        <f>VLOOKUP($B36,'Raw Datas'!$54:$101,E$7,FALSE)</f>
        <v>ND</v>
      </c>
      <c r="F36" s="89" t="str">
        <f>VLOOKUP($B36,'Raw Datas'!$54:$101,F$7,FALSE)</f>
        <v>ND</v>
      </c>
      <c r="G36" s="89" t="str">
        <f>VLOOKUP($B36,'Raw Datas'!$54:$101,G$7,FALSE)</f>
        <v>ND</v>
      </c>
      <c r="H36" s="89" t="str">
        <f>VLOOKUP($B36,'Raw Datas'!$54:$101,H$7,FALSE)</f>
        <v>ND</v>
      </c>
      <c r="I36" s="89" t="str">
        <f>VLOOKUP($B36,'Raw Datas'!$54:$101,I$7,FALSE)</f>
        <v>ND</v>
      </c>
      <c r="J36" s="89" t="str">
        <f>VLOOKUP($B36,'Raw Datas'!$54:$101,J$7,FALSE)</f>
        <v>ND</v>
      </c>
      <c r="K36" s="89" t="str">
        <f>VLOOKUP($B36,'Raw Datas'!$54:$101,K$7,FALSE)</f>
        <v>ND</v>
      </c>
      <c r="L36" s="89" t="str">
        <f>VLOOKUP($B36,'Raw Datas'!$54:$101,L$7,FALSE)</f>
        <v>ND</v>
      </c>
      <c r="M36" s="89" t="str">
        <f>VLOOKUP($B36,'Raw Datas'!$54:$101,M$7,FALSE)</f>
        <v>ND</v>
      </c>
      <c r="N36" s="89" t="str">
        <f>VLOOKUP($B36,'Raw Datas'!$54:$101,N$7,FALSE)</f>
        <v>ND</v>
      </c>
      <c r="O36" s="89" t="str">
        <f>VLOOKUP($B36,'Raw Datas'!$54:$101,O$7,FALSE)</f>
        <v>ND</v>
      </c>
      <c r="P36" s="89" t="str">
        <f>VLOOKUP($B36,'Raw Datas'!$54:$101,P$7,FALSE)</f>
        <v>ND</v>
      </c>
      <c r="Q36" s="89" t="str">
        <f>VLOOKUP($B36,'Raw Datas'!$54:$101,Q$7,FALSE)</f>
        <v>ND</v>
      </c>
      <c r="R36" s="89" t="str">
        <f>VLOOKUP($B36,'Raw Datas'!$54:$101,R$7,FALSE)</f>
        <v>ND</v>
      </c>
      <c r="S36" s="89" t="str">
        <f>VLOOKUP($B36,'Raw Datas'!$54:$101,S$7,FALSE)</f>
        <v>ND</v>
      </c>
      <c r="T36" s="89" t="str">
        <f>VLOOKUP($B36,'Raw Datas'!$54:$101,T$7,FALSE)</f>
        <v>ND</v>
      </c>
      <c r="U36" s="89" t="str">
        <f>VLOOKUP($B36,'Raw Datas'!$54:$101,U$7,FALSE)</f>
        <v>ND</v>
      </c>
      <c r="V36" s="89" t="str">
        <f>VLOOKUP($B36,'Raw Datas'!$54:$101,V$7,FALSE)</f>
        <v>ND</v>
      </c>
    </row>
    <row r="37" spans="1:16048" ht="15.75" customHeight="1" x14ac:dyDescent="0.25">
      <c r="A37" s="116"/>
      <c r="B37" s="38" t="s">
        <v>37</v>
      </c>
      <c r="C37" s="89" t="str">
        <f>VLOOKUP($B37,'Raw Datas'!$54:$101,C$7,FALSE)</f>
        <v>&lt;LLOQ</v>
      </c>
      <c r="D37" s="89" t="str">
        <f>VLOOKUP($B37,'Raw Datas'!$54:$101,D$7,FALSE)</f>
        <v>ND</v>
      </c>
      <c r="E37" s="89" t="str">
        <f>VLOOKUP($B37,'Raw Datas'!$54:$101,E$7,FALSE)</f>
        <v>&lt;LLOQ</v>
      </c>
      <c r="F37" s="89" t="str">
        <f>VLOOKUP($B37,'Raw Datas'!$54:$101,F$7,FALSE)</f>
        <v>&lt;LLOQ</v>
      </c>
      <c r="G37" s="89" t="str">
        <f>VLOOKUP($B37,'Raw Datas'!$54:$101,G$7,FALSE)</f>
        <v>&lt;LLOQ</v>
      </c>
      <c r="H37" s="89" t="str">
        <f>VLOOKUP($B37,'Raw Datas'!$54:$101,H$7,FALSE)</f>
        <v>&lt;LLOQ</v>
      </c>
      <c r="I37" s="89" t="str">
        <f>VLOOKUP($B37,'Raw Datas'!$54:$101,I$7,FALSE)</f>
        <v>&lt;LLOQ</v>
      </c>
      <c r="J37" s="89" t="str">
        <f>VLOOKUP($B37,'Raw Datas'!$54:$101,J$7,FALSE)</f>
        <v>&lt;LLOQ</v>
      </c>
      <c r="K37" s="89" t="str">
        <f>VLOOKUP($B37,'Raw Datas'!$54:$101,K$7,FALSE)</f>
        <v>&lt;LLOQ</v>
      </c>
      <c r="L37" s="89" t="str">
        <f>VLOOKUP($B37,'Raw Datas'!$54:$101,L$7,FALSE)</f>
        <v>&lt;LLOQ</v>
      </c>
      <c r="M37" s="89" t="str">
        <f>VLOOKUP($B37,'Raw Datas'!$54:$101,M$7,FALSE)</f>
        <v>&lt;LLOQ</v>
      </c>
      <c r="N37" s="89" t="str">
        <f>VLOOKUP($B37,'Raw Datas'!$54:$101,N$7,FALSE)</f>
        <v>ND</v>
      </c>
      <c r="O37" s="89" t="str">
        <f>VLOOKUP($B37,'Raw Datas'!$54:$101,O$7,FALSE)</f>
        <v>&lt;LLOQ</v>
      </c>
      <c r="P37" s="89" t="str">
        <f>VLOOKUP($B37,'Raw Datas'!$54:$101,P$7,FALSE)</f>
        <v>&lt;LLOQ</v>
      </c>
      <c r="Q37" s="89" t="str">
        <f>VLOOKUP($B37,'Raw Datas'!$54:$101,Q$7,FALSE)</f>
        <v>ND</v>
      </c>
      <c r="R37" s="89">
        <f>VLOOKUP($B37,'Raw Datas'!$54:$101,R$7,FALSE)</f>
        <v>0.57555000000000001</v>
      </c>
      <c r="S37" s="89" t="str">
        <f>VLOOKUP($B37,'Raw Datas'!$54:$101,S$7,FALSE)</f>
        <v>ND</v>
      </c>
      <c r="T37" s="89" t="str">
        <f>VLOOKUP($B37,'Raw Datas'!$54:$101,T$7,FALSE)</f>
        <v>ND</v>
      </c>
      <c r="U37" s="89" t="str">
        <f>VLOOKUP($B37,'Raw Datas'!$54:$101,U$7,FALSE)</f>
        <v>ND</v>
      </c>
      <c r="V37" s="89">
        <f>VLOOKUP($B37,'Raw Datas'!$54:$101,V$7,FALSE)</f>
        <v>0.55121666666666669</v>
      </c>
    </row>
    <row r="38" spans="1:16048" ht="15.75" customHeight="1" x14ac:dyDescent="0.25">
      <c r="A38" s="116"/>
      <c r="B38" s="38" t="s">
        <v>38</v>
      </c>
      <c r="C38" s="89" t="str">
        <f>VLOOKUP($B38,'Raw Datas'!$54:$101,C$7,FALSE)</f>
        <v>ND</v>
      </c>
      <c r="D38" s="89" t="str">
        <f>VLOOKUP($B38,'Raw Datas'!$54:$101,D$7,FALSE)</f>
        <v>ND</v>
      </c>
      <c r="E38" s="89" t="str">
        <f>VLOOKUP($B38,'Raw Datas'!$54:$101,E$7,FALSE)</f>
        <v>ND</v>
      </c>
      <c r="F38" s="89" t="str">
        <f>VLOOKUP($B38,'Raw Datas'!$54:$101,F$7,FALSE)</f>
        <v>ND</v>
      </c>
      <c r="G38" s="89" t="str">
        <f>VLOOKUP($B38,'Raw Datas'!$54:$101,G$7,FALSE)</f>
        <v>ND</v>
      </c>
      <c r="H38" s="89" t="str">
        <f>VLOOKUP($B38,'Raw Datas'!$54:$101,H$7,FALSE)</f>
        <v>ND</v>
      </c>
      <c r="I38" s="89" t="str">
        <f>VLOOKUP($B38,'Raw Datas'!$54:$101,I$7,FALSE)</f>
        <v>ND</v>
      </c>
      <c r="J38" s="89" t="str">
        <f>VLOOKUP($B38,'Raw Datas'!$54:$101,J$7,FALSE)</f>
        <v>ND</v>
      </c>
      <c r="K38" s="89" t="str">
        <f>VLOOKUP($B38,'Raw Datas'!$54:$101,K$7,FALSE)</f>
        <v>ND</v>
      </c>
      <c r="L38" s="89" t="str">
        <f>VLOOKUP($B38,'Raw Datas'!$54:$101,L$7,FALSE)</f>
        <v>ND</v>
      </c>
      <c r="M38" s="89" t="str">
        <f>VLOOKUP($B38,'Raw Datas'!$54:$101,M$7,FALSE)</f>
        <v>ND</v>
      </c>
      <c r="N38" s="89" t="str">
        <f>VLOOKUP($B38,'Raw Datas'!$54:$101,N$7,FALSE)</f>
        <v>ND</v>
      </c>
      <c r="O38" s="89" t="str">
        <f>VLOOKUP($B38,'Raw Datas'!$54:$101,O$7,FALSE)</f>
        <v>ND</v>
      </c>
      <c r="P38" s="89" t="str">
        <f>VLOOKUP($B38,'Raw Datas'!$54:$101,P$7,FALSE)</f>
        <v>ND</v>
      </c>
      <c r="Q38" s="89" t="str">
        <f>VLOOKUP($B38,'Raw Datas'!$54:$101,Q$7,FALSE)</f>
        <v>ND</v>
      </c>
      <c r="R38" s="89" t="str">
        <f>VLOOKUP($B38,'Raw Datas'!$54:$101,R$7,FALSE)</f>
        <v>ND</v>
      </c>
      <c r="S38" s="89" t="str">
        <f>VLOOKUP($B38,'Raw Datas'!$54:$101,S$7,FALSE)</f>
        <v>ND</v>
      </c>
      <c r="T38" s="89" t="str">
        <f>VLOOKUP($B38,'Raw Datas'!$54:$101,T$7,FALSE)</f>
        <v>ND</v>
      </c>
      <c r="U38" s="89" t="str">
        <f>VLOOKUP($B38,'Raw Datas'!$54:$101,U$7,FALSE)</f>
        <v>ND</v>
      </c>
      <c r="V38" s="89" t="str">
        <f>VLOOKUP($B38,'Raw Datas'!$54:$101,V$7,FALSE)</f>
        <v>ND</v>
      </c>
    </row>
    <row r="39" spans="1:16048" ht="15.75" customHeight="1" x14ac:dyDescent="0.25">
      <c r="A39" s="116"/>
      <c r="B39" s="38" t="s">
        <v>39</v>
      </c>
      <c r="C39" s="89" t="str">
        <f>VLOOKUP($B39,'Raw Datas'!$54:$101,C$7,FALSE)</f>
        <v>ND</v>
      </c>
      <c r="D39" s="89" t="str">
        <f>VLOOKUP($B39,'Raw Datas'!$54:$101,D$7,FALSE)</f>
        <v>ND</v>
      </c>
      <c r="E39" s="89" t="str">
        <f>VLOOKUP($B39,'Raw Datas'!$54:$101,E$7,FALSE)</f>
        <v>ND</v>
      </c>
      <c r="F39" s="89" t="str">
        <f>VLOOKUP($B39,'Raw Datas'!$54:$101,F$7,FALSE)</f>
        <v>ND</v>
      </c>
      <c r="G39" s="89" t="str">
        <f>VLOOKUP($B39,'Raw Datas'!$54:$101,G$7,FALSE)</f>
        <v>ND</v>
      </c>
      <c r="H39" s="89" t="str">
        <f>VLOOKUP($B39,'Raw Datas'!$54:$101,H$7,FALSE)</f>
        <v>ND</v>
      </c>
      <c r="I39" s="89" t="str">
        <f>VLOOKUP($B39,'Raw Datas'!$54:$101,I$7,FALSE)</f>
        <v>ND</v>
      </c>
      <c r="J39" s="89" t="str">
        <f>VLOOKUP($B39,'Raw Datas'!$54:$101,J$7,FALSE)</f>
        <v>ND</v>
      </c>
      <c r="K39" s="89" t="str">
        <f>VLOOKUP($B39,'Raw Datas'!$54:$101,K$7,FALSE)</f>
        <v>ND</v>
      </c>
      <c r="L39" s="89" t="str">
        <f>VLOOKUP($B39,'Raw Datas'!$54:$101,L$7,FALSE)</f>
        <v>ND</v>
      </c>
      <c r="M39" s="89" t="str">
        <f>VLOOKUP($B39,'Raw Datas'!$54:$101,M$7,FALSE)</f>
        <v>ND</v>
      </c>
      <c r="N39" s="89" t="str">
        <f>VLOOKUP($B39,'Raw Datas'!$54:$101,N$7,FALSE)</f>
        <v>ND</v>
      </c>
      <c r="O39" s="89" t="str">
        <f>VLOOKUP($B39,'Raw Datas'!$54:$101,O$7,FALSE)</f>
        <v>ND</v>
      </c>
      <c r="P39" s="89" t="str">
        <f>VLOOKUP($B39,'Raw Datas'!$54:$101,P$7,FALSE)</f>
        <v>ND</v>
      </c>
      <c r="Q39" s="89" t="str">
        <f>VLOOKUP($B39,'Raw Datas'!$54:$101,Q$7,FALSE)</f>
        <v>ND</v>
      </c>
      <c r="R39" s="89" t="str">
        <f>VLOOKUP($B39,'Raw Datas'!$54:$101,R$7,FALSE)</f>
        <v>ND</v>
      </c>
      <c r="S39" s="89" t="str">
        <f>VLOOKUP($B39,'Raw Datas'!$54:$101,S$7,FALSE)</f>
        <v>ND</v>
      </c>
      <c r="T39" s="89" t="str">
        <f>VLOOKUP($B39,'Raw Datas'!$54:$101,T$7,FALSE)</f>
        <v>ND</v>
      </c>
      <c r="U39" s="89" t="str">
        <f>VLOOKUP($B39,'Raw Datas'!$54:$101,U$7,FALSE)</f>
        <v>ND</v>
      </c>
      <c r="V39" s="89" t="str">
        <f>VLOOKUP($B39,'Raw Datas'!$54:$101,V$7,FALSE)</f>
        <v>ND</v>
      </c>
    </row>
    <row r="40" spans="1:16048" ht="15.75" customHeight="1" thickBot="1" x14ac:dyDescent="0.3">
      <c r="A40" s="117"/>
      <c r="B40" s="39" t="s">
        <v>40</v>
      </c>
      <c r="C40" s="90">
        <f>VLOOKUP($B40,'Raw Datas'!$54:$101,C$7,FALSE)</f>
        <v>1.4546833333333331</v>
      </c>
      <c r="D40" s="90">
        <f>VLOOKUP($B40,'Raw Datas'!$54:$101,D$7,FALSE)</f>
        <v>4.754083333333333</v>
      </c>
      <c r="E40" s="90">
        <f>VLOOKUP($B40,'Raw Datas'!$54:$101,E$7,FALSE)</f>
        <v>7.1268666666666673</v>
      </c>
      <c r="F40" s="90">
        <f>VLOOKUP($B40,'Raw Datas'!$54:$101,F$7,FALSE)</f>
        <v>5.8720500000000007</v>
      </c>
      <c r="G40" s="90">
        <f>VLOOKUP($B40,'Raw Datas'!$54:$101,G$7,FALSE)</f>
        <v>7.316183333333333</v>
      </c>
      <c r="H40" s="90">
        <f>VLOOKUP($B40,'Raw Datas'!$54:$101,H$7,FALSE)</f>
        <v>2.6085333333333334</v>
      </c>
      <c r="I40" s="90">
        <f>VLOOKUP($B40,'Raw Datas'!$54:$101,I$7,FALSE)</f>
        <v>9.5049666666666663</v>
      </c>
      <c r="J40" s="90">
        <f>VLOOKUP($B40,'Raw Datas'!$54:$101,J$7,FALSE)</f>
        <v>6.9988000000000001</v>
      </c>
      <c r="K40" s="90">
        <f>VLOOKUP($B40,'Raw Datas'!$54:$101,K$7,FALSE)</f>
        <v>3.3536333333333337</v>
      </c>
      <c r="L40" s="90">
        <f>VLOOKUP($B40,'Raw Datas'!$54:$101,L$7,FALSE)</f>
        <v>3.7062499999999998</v>
      </c>
      <c r="M40" s="90">
        <f>VLOOKUP($B40,'Raw Datas'!$54:$101,M$7,FALSE)</f>
        <v>0.3122166666666667</v>
      </c>
      <c r="N40" s="90">
        <f>VLOOKUP($B40,'Raw Datas'!$54:$101,N$7,FALSE)</f>
        <v>5.9308999999999994</v>
      </c>
      <c r="O40" s="90">
        <f>VLOOKUP($B40,'Raw Datas'!$54:$101,O$7,FALSE)</f>
        <v>3.2937500000000002</v>
      </c>
      <c r="P40" s="90">
        <f>VLOOKUP($B40,'Raw Datas'!$54:$101,P$7,FALSE)</f>
        <v>0.8659</v>
      </c>
      <c r="Q40" s="90">
        <f>VLOOKUP($B40,'Raw Datas'!$54:$101,Q$7,FALSE)</f>
        <v>1.4680166666666665</v>
      </c>
      <c r="R40" s="90">
        <f>VLOOKUP($B40,'Raw Datas'!$54:$101,R$7,FALSE)</f>
        <v>2.5698500000000002</v>
      </c>
      <c r="S40" s="90">
        <f>VLOOKUP($B40,'Raw Datas'!$54:$101,S$7,FALSE)</f>
        <v>1.2476666666666667</v>
      </c>
      <c r="T40" s="90">
        <f>VLOOKUP($B40,'Raw Datas'!$54:$101,T$7,FALSE)</f>
        <v>5.6015499999999996</v>
      </c>
      <c r="U40" s="90">
        <f>VLOOKUP($B40,'Raw Datas'!$54:$101,U$7,FALSE)</f>
        <v>2.1373166666666665</v>
      </c>
      <c r="V40" s="90">
        <f>VLOOKUP($B40,'Raw Datas'!$54:$101,V$7,FALSE)</f>
        <v>26.279250000000001</v>
      </c>
    </row>
    <row r="41" spans="1:16048" ht="15.75" thickBot="1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  <c r="CDD41" s="6"/>
      <c r="CDE41" s="6"/>
      <c r="CDF41" s="6"/>
      <c r="CDG41" s="6"/>
      <c r="CDH41" s="6"/>
      <c r="CDI41" s="6"/>
      <c r="CDJ41" s="6"/>
      <c r="CDK41" s="6"/>
      <c r="CDL41" s="6"/>
      <c r="CDM41" s="6"/>
      <c r="CDN41" s="6"/>
      <c r="CDO41" s="6"/>
      <c r="CDP41" s="6"/>
      <c r="CDQ41" s="6"/>
      <c r="CDR41" s="6"/>
      <c r="CDS41" s="6"/>
      <c r="CDT41" s="6"/>
      <c r="CDU41" s="6"/>
      <c r="CDV41" s="6"/>
      <c r="CDW41" s="6"/>
      <c r="CDX41" s="6"/>
      <c r="CDY41" s="6"/>
      <c r="CDZ41" s="6"/>
      <c r="CEA41" s="6"/>
      <c r="CEB41" s="6"/>
      <c r="CEC41" s="6"/>
      <c r="CED41" s="6"/>
      <c r="CEE41" s="6"/>
      <c r="CEF41" s="6"/>
      <c r="CEG41" s="6"/>
      <c r="CEH41" s="6"/>
      <c r="CEI41" s="6"/>
      <c r="CEJ41" s="6"/>
      <c r="CEK41" s="6"/>
      <c r="CEL41" s="6"/>
      <c r="CEM41" s="6"/>
      <c r="CEN41" s="6"/>
      <c r="CEO41" s="6"/>
      <c r="CEP41" s="6"/>
      <c r="CEQ41" s="6"/>
      <c r="CER41" s="6"/>
      <c r="CES41" s="6"/>
      <c r="CET41" s="6"/>
      <c r="CEU41" s="6"/>
      <c r="CEV41" s="6"/>
      <c r="CEW41" s="6"/>
      <c r="CEX41" s="6"/>
      <c r="CEY41" s="6"/>
      <c r="CEZ41" s="6"/>
      <c r="CFA41" s="6"/>
      <c r="CFB41" s="6"/>
      <c r="CFC41" s="6"/>
      <c r="CFD41" s="6"/>
      <c r="CFE41" s="6"/>
      <c r="CFF41" s="6"/>
      <c r="CFG41" s="6"/>
      <c r="CFH41" s="6"/>
      <c r="CFI41" s="6"/>
      <c r="CFJ41" s="6"/>
      <c r="CFK41" s="6"/>
      <c r="CFL41" s="6"/>
      <c r="CFM41" s="6"/>
      <c r="CFN41" s="6"/>
      <c r="CFO41" s="6"/>
      <c r="CFP41" s="6"/>
      <c r="CFQ41" s="6"/>
      <c r="CFR41" s="6"/>
      <c r="CFS41" s="6"/>
      <c r="CFT41" s="6"/>
      <c r="CFU41" s="6"/>
      <c r="CFV41" s="6"/>
      <c r="CFW41" s="6"/>
      <c r="CFX41" s="6"/>
      <c r="CFY41" s="6"/>
      <c r="CFZ41" s="6"/>
      <c r="CGA41" s="6"/>
      <c r="CGB41" s="6"/>
      <c r="CGC41" s="6"/>
      <c r="CGD41" s="6"/>
      <c r="CGE41" s="6"/>
      <c r="CGF41" s="6"/>
      <c r="CGG41" s="6"/>
      <c r="CGH41" s="6"/>
      <c r="CGI41" s="6"/>
      <c r="CGJ41" s="6"/>
      <c r="CGK41" s="6"/>
      <c r="CGL41" s="6"/>
      <c r="CGM41" s="6"/>
      <c r="CGN41" s="6"/>
      <c r="CGO41" s="6"/>
      <c r="CGP41" s="6"/>
      <c r="CGQ41" s="6"/>
      <c r="CGR41" s="6"/>
      <c r="CGS41" s="6"/>
      <c r="CGT41" s="6"/>
      <c r="CGU41" s="6"/>
      <c r="CGV41" s="6"/>
      <c r="CGW41" s="6"/>
      <c r="CGX41" s="6"/>
      <c r="CGY41" s="6"/>
      <c r="CGZ41" s="6"/>
      <c r="CHA41" s="6"/>
      <c r="CHB41" s="6"/>
      <c r="CHC41" s="6"/>
      <c r="CHD41" s="6"/>
      <c r="CHE41" s="6"/>
      <c r="CHF41" s="6"/>
      <c r="CHG41" s="6"/>
      <c r="CHH41" s="6"/>
      <c r="CHI41" s="6"/>
      <c r="CHJ41" s="6"/>
      <c r="CHK41" s="6"/>
      <c r="CHL41" s="6"/>
      <c r="CHM41" s="6"/>
      <c r="CHN41" s="6"/>
      <c r="CHO41" s="6"/>
      <c r="CHP41" s="6"/>
      <c r="CHQ41" s="6"/>
      <c r="CHR41" s="6"/>
      <c r="CHS41" s="6"/>
      <c r="CHT41" s="6"/>
      <c r="CHU41" s="6"/>
      <c r="CHV41" s="6"/>
      <c r="CHW41" s="6"/>
      <c r="CHX41" s="6"/>
      <c r="CHY41" s="6"/>
      <c r="CHZ41" s="6"/>
      <c r="CIA41" s="6"/>
      <c r="CIB41" s="6"/>
      <c r="CIC41" s="6"/>
      <c r="CID41" s="6"/>
      <c r="CIE41" s="6"/>
      <c r="CIF41" s="6"/>
      <c r="CIG41" s="6"/>
      <c r="CIH41" s="6"/>
      <c r="CII41" s="6"/>
      <c r="CIJ41" s="6"/>
      <c r="CIK41" s="6"/>
      <c r="CIL41" s="6"/>
      <c r="CIM41" s="6"/>
      <c r="CIN41" s="6"/>
      <c r="CIO41" s="6"/>
      <c r="CIP41" s="6"/>
      <c r="CIQ41" s="6"/>
      <c r="CIR41" s="6"/>
      <c r="CIS41" s="6"/>
      <c r="CIT41" s="6"/>
      <c r="CIU41" s="6"/>
      <c r="CIV41" s="6"/>
      <c r="CIW41" s="6"/>
      <c r="CIX41" s="6"/>
      <c r="CIY41" s="6"/>
      <c r="CIZ41" s="6"/>
      <c r="CJA41" s="6"/>
      <c r="CJB41" s="6"/>
      <c r="CJC41" s="6"/>
      <c r="CJD41" s="6"/>
      <c r="CJE41" s="6"/>
      <c r="CJF41" s="6"/>
      <c r="CJG41" s="6"/>
      <c r="CJH41" s="6"/>
      <c r="CJI41" s="6"/>
      <c r="CJJ41" s="6"/>
      <c r="CJK41" s="6"/>
      <c r="CJL41" s="6"/>
      <c r="CJM41" s="6"/>
      <c r="CJN41" s="6"/>
      <c r="CJO41" s="6"/>
      <c r="CJP41" s="6"/>
      <c r="CJQ41" s="6"/>
      <c r="CJR41" s="6"/>
      <c r="CJS41" s="6"/>
      <c r="CJT41" s="6"/>
      <c r="CJU41" s="6"/>
      <c r="CJV41" s="6"/>
      <c r="CJW41" s="6"/>
      <c r="CJX41" s="6"/>
      <c r="CJY41" s="6"/>
      <c r="CJZ41" s="6"/>
      <c r="CKA41" s="6"/>
      <c r="CKB41" s="6"/>
      <c r="CKC41" s="6"/>
      <c r="CKD41" s="6"/>
      <c r="CKE41" s="6"/>
      <c r="CKF41" s="6"/>
      <c r="CKG41" s="6"/>
      <c r="CKH41" s="6"/>
      <c r="CKI41" s="6"/>
      <c r="CKJ41" s="6"/>
      <c r="CKK41" s="6"/>
      <c r="CKL41" s="6"/>
      <c r="CKM41" s="6"/>
      <c r="CKN41" s="6"/>
      <c r="CKO41" s="6"/>
      <c r="CKP41" s="6"/>
      <c r="CKQ41" s="6"/>
      <c r="CKR41" s="6"/>
      <c r="CKS41" s="6"/>
      <c r="CKT41" s="6"/>
      <c r="CKU41" s="6"/>
      <c r="CKV41" s="6"/>
      <c r="CKW41" s="6"/>
      <c r="CKX41" s="6"/>
      <c r="CKY41" s="6"/>
      <c r="CKZ41" s="6"/>
      <c r="CLA41" s="6"/>
      <c r="CLB41" s="6"/>
      <c r="CLC41" s="6"/>
      <c r="CLD41" s="6"/>
      <c r="CLE41" s="6"/>
      <c r="CLF41" s="6"/>
      <c r="CLG41" s="6"/>
      <c r="CLH41" s="6"/>
      <c r="CLI41" s="6"/>
      <c r="CLJ41" s="6"/>
      <c r="CLK41" s="6"/>
      <c r="CLL41" s="6"/>
      <c r="CLM41" s="6"/>
      <c r="CLN41" s="6"/>
      <c r="CLO41" s="6"/>
      <c r="CLP41" s="6"/>
      <c r="CLQ41" s="6"/>
      <c r="CLR41" s="6"/>
      <c r="CLS41" s="6"/>
      <c r="CLT41" s="6"/>
      <c r="CLU41" s="6"/>
      <c r="CLV41" s="6"/>
      <c r="CLW41" s="6"/>
      <c r="CLX41" s="6"/>
      <c r="CLY41" s="6"/>
      <c r="CLZ41" s="6"/>
      <c r="CMA41" s="6"/>
      <c r="CMB41" s="6"/>
      <c r="CMC41" s="6"/>
      <c r="CMD41" s="6"/>
      <c r="CME41" s="6"/>
      <c r="CMF41" s="6"/>
      <c r="CMG41" s="6"/>
      <c r="CMH41" s="6"/>
      <c r="CMI41" s="6"/>
      <c r="CMJ41" s="6"/>
      <c r="CMK41" s="6"/>
      <c r="CML41" s="6"/>
      <c r="CMM41" s="6"/>
      <c r="CMN41" s="6"/>
      <c r="CMO41" s="6"/>
      <c r="CMP41" s="6"/>
      <c r="CMQ41" s="6"/>
      <c r="CMR41" s="6"/>
      <c r="CMS41" s="6"/>
      <c r="CMT41" s="6"/>
      <c r="CMU41" s="6"/>
      <c r="CMV41" s="6"/>
      <c r="CMW41" s="6"/>
      <c r="CMX41" s="6"/>
      <c r="CMY41" s="6"/>
      <c r="CMZ41" s="6"/>
      <c r="CNA41" s="6"/>
      <c r="CNB41" s="6"/>
      <c r="CNC41" s="6"/>
      <c r="CND41" s="6"/>
      <c r="CNE41" s="6"/>
      <c r="CNF41" s="6"/>
      <c r="CNG41" s="6"/>
      <c r="CNH41" s="6"/>
      <c r="CNI41" s="6"/>
      <c r="CNJ41" s="6"/>
      <c r="CNK41" s="6"/>
      <c r="CNL41" s="6"/>
      <c r="CNM41" s="6"/>
      <c r="CNN41" s="6"/>
      <c r="CNO41" s="6"/>
      <c r="CNP41" s="6"/>
      <c r="CNQ41" s="6"/>
      <c r="CNR41" s="6"/>
      <c r="CNS41" s="6"/>
      <c r="CNT41" s="6"/>
      <c r="CNU41" s="6"/>
      <c r="CNV41" s="6"/>
      <c r="CNW41" s="6"/>
      <c r="CNX41" s="6"/>
      <c r="CNY41" s="6"/>
      <c r="CNZ41" s="6"/>
      <c r="COA41" s="6"/>
      <c r="COB41" s="6"/>
      <c r="COC41" s="6"/>
      <c r="COD41" s="6"/>
      <c r="COE41" s="6"/>
      <c r="COF41" s="6"/>
      <c r="COG41" s="6"/>
      <c r="COH41" s="6"/>
      <c r="COI41" s="6"/>
      <c r="COJ41" s="6"/>
      <c r="COK41" s="6"/>
      <c r="COL41" s="6"/>
      <c r="COM41" s="6"/>
      <c r="CON41" s="6"/>
      <c r="COO41" s="6"/>
      <c r="COP41" s="6"/>
      <c r="COQ41" s="6"/>
      <c r="COR41" s="6"/>
      <c r="COS41" s="6"/>
      <c r="COT41" s="6"/>
      <c r="COU41" s="6"/>
      <c r="COV41" s="6"/>
      <c r="COW41" s="6"/>
      <c r="COX41" s="6"/>
      <c r="COY41" s="6"/>
      <c r="COZ41" s="6"/>
      <c r="CPA41" s="6"/>
      <c r="CPB41" s="6"/>
      <c r="CPC41" s="6"/>
      <c r="CPD41" s="6"/>
      <c r="CPE41" s="6"/>
      <c r="CPF41" s="6"/>
      <c r="CPG41" s="6"/>
      <c r="CPH41" s="6"/>
      <c r="CPI41" s="6"/>
      <c r="CPJ41" s="6"/>
      <c r="CPK41" s="6"/>
      <c r="CPL41" s="6"/>
      <c r="CPM41" s="6"/>
      <c r="CPN41" s="6"/>
      <c r="CPO41" s="6"/>
      <c r="CPP41" s="6"/>
      <c r="CPQ41" s="6"/>
      <c r="CPR41" s="6"/>
      <c r="CPS41" s="6"/>
      <c r="CPT41" s="6"/>
      <c r="CPU41" s="6"/>
      <c r="CPV41" s="6"/>
      <c r="CPW41" s="6"/>
      <c r="CPX41" s="6"/>
      <c r="CPY41" s="6"/>
      <c r="CPZ41" s="6"/>
      <c r="CQA41" s="6"/>
      <c r="CQB41" s="6"/>
      <c r="CQC41" s="6"/>
      <c r="CQD41" s="6"/>
      <c r="CQE41" s="6"/>
      <c r="CQF41" s="6"/>
      <c r="CQG41" s="6"/>
      <c r="CQH41" s="6"/>
      <c r="CQI41" s="6"/>
      <c r="CQJ41" s="6"/>
      <c r="CQK41" s="6"/>
      <c r="CQL41" s="6"/>
      <c r="CQM41" s="6"/>
      <c r="CQN41" s="6"/>
      <c r="CQO41" s="6"/>
      <c r="CQP41" s="6"/>
      <c r="CQQ41" s="6"/>
      <c r="CQR41" s="6"/>
      <c r="CQS41" s="6"/>
      <c r="CQT41" s="6"/>
      <c r="CQU41" s="6"/>
      <c r="CQV41" s="6"/>
      <c r="CQW41" s="6"/>
      <c r="CQX41" s="6"/>
      <c r="CQY41" s="6"/>
      <c r="CQZ41" s="6"/>
      <c r="CRA41" s="6"/>
      <c r="CRB41" s="6"/>
      <c r="CRC41" s="6"/>
      <c r="CRD41" s="6"/>
      <c r="CRE41" s="6"/>
      <c r="CRF41" s="6"/>
      <c r="CRG41" s="6"/>
      <c r="CRH41" s="6"/>
      <c r="CRI41" s="6"/>
      <c r="CRJ41" s="6"/>
      <c r="CRK41" s="6"/>
      <c r="CRL41" s="6"/>
      <c r="CRM41" s="6"/>
      <c r="CRN41" s="6"/>
      <c r="CRO41" s="6"/>
      <c r="CRP41" s="6"/>
      <c r="CRQ41" s="6"/>
      <c r="CRR41" s="6"/>
      <c r="CRS41" s="6"/>
      <c r="CRT41" s="6"/>
      <c r="CRU41" s="6"/>
      <c r="CRV41" s="6"/>
      <c r="CRW41" s="6"/>
      <c r="CRX41" s="6"/>
      <c r="CRY41" s="6"/>
      <c r="CRZ41" s="6"/>
      <c r="CSA41" s="6"/>
      <c r="CSB41" s="6"/>
      <c r="CSC41" s="6"/>
      <c r="CSD41" s="6"/>
      <c r="CSE41" s="6"/>
      <c r="CSF41" s="6"/>
      <c r="CSG41" s="6"/>
      <c r="CSH41" s="6"/>
      <c r="CSI41" s="6"/>
      <c r="CSJ41" s="6"/>
      <c r="CSK41" s="6"/>
      <c r="CSL41" s="6"/>
      <c r="CSM41" s="6"/>
      <c r="CSN41" s="6"/>
      <c r="CSO41" s="6"/>
      <c r="CSP41" s="6"/>
      <c r="CSQ41" s="6"/>
      <c r="CSR41" s="6"/>
      <c r="CSS41" s="6"/>
      <c r="CST41" s="6"/>
      <c r="CSU41" s="6"/>
      <c r="CSV41" s="6"/>
      <c r="CSW41" s="6"/>
      <c r="CSX41" s="6"/>
      <c r="CSY41" s="6"/>
      <c r="CSZ41" s="6"/>
      <c r="CTA41" s="6"/>
      <c r="CTB41" s="6"/>
      <c r="CTC41" s="6"/>
      <c r="CTD41" s="6"/>
      <c r="CTE41" s="6"/>
      <c r="CTF41" s="6"/>
      <c r="CTG41" s="6"/>
      <c r="CTH41" s="6"/>
      <c r="CTI41" s="6"/>
      <c r="CTJ41" s="6"/>
      <c r="CTK41" s="6"/>
      <c r="CTL41" s="6"/>
      <c r="CTM41" s="6"/>
      <c r="CTN41" s="6"/>
      <c r="CTO41" s="6"/>
      <c r="CTP41" s="6"/>
      <c r="CTQ41" s="6"/>
      <c r="CTR41" s="6"/>
      <c r="CTS41" s="6"/>
      <c r="CTT41" s="6"/>
      <c r="CTU41" s="6"/>
      <c r="CTV41" s="6"/>
      <c r="CTW41" s="6"/>
      <c r="CTX41" s="6"/>
      <c r="CTY41" s="6"/>
      <c r="CTZ41" s="6"/>
      <c r="CUA41" s="6"/>
      <c r="CUB41" s="6"/>
      <c r="CUC41" s="6"/>
      <c r="CUD41" s="6"/>
      <c r="CUE41" s="6"/>
      <c r="CUF41" s="6"/>
      <c r="CUG41" s="6"/>
      <c r="CUH41" s="6"/>
      <c r="CUI41" s="6"/>
      <c r="CUJ41" s="6"/>
      <c r="CUK41" s="6"/>
      <c r="CUL41" s="6"/>
      <c r="CUM41" s="6"/>
      <c r="CUN41" s="6"/>
      <c r="CUO41" s="6"/>
      <c r="CUP41" s="6"/>
      <c r="CUQ41" s="6"/>
      <c r="CUR41" s="6"/>
      <c r="CUS41" s="6"/>
      <c r="CUT41" s="6"/>
      <c r="CUU41" s="6"/>
      <c r="CUV41" s="6"/>
      <c r="CUW41" s="6"/>
      <c r="CUX41" s="6"/>
      <c r="CUY41" s="6"/>
      <c r="CUZ41" s="6"/>
      <c r="CVA41" s="6"/>
      <c r="CVB41" s="6"/>
      <c r="CVC41" s="6"/>
      <c r="CVD41" s="6"/>
      <c r="CVE41" s="6"/>
      <c r="CVF41" s="6"/>
      <c r="CVG41" s="6"/>
      <c r="CVH41" s="6"/>
      <c r="CVI41" s="6"/>
      <c r="CVJ41" s="6"/>
      <c r="CVK41" s="6"/>
      <c r="CVL41" s="6"/>
      <c r="CVM41" s="6"/>
      <c r="CVN41" s="6"/>
      <c r="CVO41" s="6"/>
      <c r="CVP41" s="6"/>
      <c r="CVQ41" s="6"/>
      <c r="CVR41" s="6"/>
      <c r="CVS41" s="6"/>
      <c r="CVT41" s="6"/>
      <c r="CVU41" s="6"/>
      <c r="CVV41" s="6"/>
      <c r="CVW41" s="6"/>
      <c r="CVX41" s="6"/>
      <c r="CVY41" s="6"/>
      <c r="CVZ41" s="6"/>
      <c r="CWA41" s="6"/>
      <c r="CWB41" s="6"/>
      <c r="CWC41" s="6"/>
      <c r="CWD41" s="6"/>
      <c r="CWE41" s="6"/>
      <c r="CWF41" s="6"/>
      <c r="CWG41" s="6"/>
      <c r="CWH41" s="6"/>
      <c r="CWI41" s="6"/>
      <c r="CWJ41" s="6"/>
      <c r="CWK41" s="6"/>
      <c r="CWL41" s="6"/>
      <c r="CWM41" s="6"/>
      <c r="CWN41" s="6"/>
      <c r="CWO41" s="6"/>
      <c r="CWP41" s="6"/>
      <c r="CWQ41" s="6"/>
      <c r="CWR41" s="6"/>
      <c r="CWS41" s="6"/>
      <c r="CWT41" s="6"/>
      <c r="CWU41" s="6"/>
      <c r="CWV41" s="6"/>
      <c r="CWW41" s="6"/>
      <c r="CWX41" s="6"/>
      <c r="CWY41" s="6"/>
      <c r="CWZ41" s="6"/>
      <c r="CXA41" s="6"/>
      <c r="CXB41" s="6"/>
      <c r="CXC41" s="6"/>
      <c r="CXD41" s="6"/>
      <c r="CXE41" s="6"/>
      <c r="CXF41" s="6"/>
      <c r="CXG41" s="6"/>
      <c r="CXH41" s="6"/>
      <c r="CXI41" s="6"/>
      <c r="CXJ41" s="6"/>
      <c r="CXK41" s="6"/>
      <c r="CXL41" s="6"/>
      <c r="CXM41" s="6"/>
      <c r="CXN41" s="6"/>
      <c r="CXO41" s="6"/>
      <c r="CXP41" s="6"/>
      <c r="CXQ41" s="6"/>
      <c r="CXR41" s="6"/>
      <c r="CXS41" s="6"/>
      <c r="CXT41" s="6"/>
      <c r="CXU41" s="6"/>
      <c r="CXV41" s="6"/>
      <c r="CXW41" s="6"/>
      <c r="CXX41" s="6"/>
      <c r="CXY41" s="6"/>
      <c r="CXZ41" s="6"/>
      <c r="CYA41" s="6"/>
      <c r="CYB41" s="6"/>
      <c r="CYC41" s="6"/>
      <c r="CYD41" s="6"/>
      <c r="CYE41" s="6"/>
      <c r="CYF41" s="6"/>
      <c r="CYG41" s="6"/>
      <c r="CYH41" s="6"/>
      <c r="CYI41" s="6"/>
      <c r="CYJ41" s="6"/>
      <c r="CYK41" s="6"/>
      <c r="CYL41" s="6"/>
      <c r="CYM41" s="6"/>
      <c r="CYN41" s="6"/>
      <c r="CYO41" s="6"/>
      <c r="CYP41" s="6"/>
      <c r="CYQ41" s="6"/>
      <c r="CYR41" s="6"/>
      <c r="CYS41" s="6"/>
      <c r="CYT41" s="6"/>
      <c r="CYU41" s="6"/>
      <c r="CYV41" s="6"/>
      <c r="CYW41" s="6"/>
      <c r="CYX41" s="6"/>
      <c r="CYY41" s="6"/>
      <c r="CYZ41" s="6"/>
      <c r="CZA41" s="6"/>
      <c r="CZB41" s="6"/>
      <c r="CZC41" s="6"/>
      <c r="CZD41" s="6"/>
      <c r="CZE41" s="6"/>
      <c r="CZF41" s="6"/>
      <c r="CZG41" s="6"/>
      <c r="CZH41" s="6"/>
      <c r="CZI41" s="6"/>
      <c r="CZJ41" s="6"/>
      <c r="CZK41" s="6"/>
      <c r="CZL41" s="6"/>
      <c r="CZM41" s="6"/>
      <c r="CZN41" s="6"/>
      <c r="CZO41" s="6"/>
      <c r="CZP41" s="6"/>
      <c r="CZQ41" s="6"/>
      <c r="CZR41" s="6"/>
      <c r="CZS41" s="6"/>
      <c r="CZT41" s="6"/>
      <c r="CZU41" s="6"/>
      <c r="CZV41" s="6"/>
      <c r="CZW41" s="6"/>
      <c r="CZX41" s="6"/>
      <c r="CZY41" s="6"/>
      <c r="CZZ41" s="6"/>
      <c r="DAA41" s="6"/>
      <c r="DAB41" s="6"/>
      <c r="DAC41" s="6"/>
      <c r="DAD41" s="6"/>
      <c r="DAE41" s="6"/>
      <c r="DAF41" s="6"/>
      <c r="DAG41" s="6"/>
      <c r="DAH41" s="6"/>
      <c r="DAI41" s="6"/>
      <c r="DAJ41" s="6"/>
      <c r="DAK41" s="6"/>
      <c r="DAL41" s="6"/>
      <c r="DAM41" s="6"/>
      <c r="DAN41" s="6"/>
      <c r="DAO41" s="6"/>
      <c r="DAP41" s="6"/>
      <c r="DAQ41" s="6"/>
      <c r="DAR41" s="6"/>
      <c r="DAS41" s="6"/>
      <c r="DAT41" s="6"/>
      <c r="DAU41" s="6"/>
      <c r="DAV41" s="6"/>
      <c r="DAW41" s="6"/>
      <c r="DAX41" s="6"/>
      <c r="DAY41" s="6"/>
      <c r="DAZ41" s="6"/>
      <c r="DBA41" s="6"/>
      <c r="DBB41" s="6"/>
      <c r="DBC41" s="6"/>
      <c r="DBD41" s="6"/>
      <c r="DBE41" s="6"/>
      <c r="DBF41" s="6"/>
      <c r="DBG41" s="6"/>
      <c r="DBH41" s="6"/>
      <c r="DBI41" s="6"/>
      <c r="DBJ41" s="6"/>
      <c r="DBK41" s="6"/>
      <c r="DBL41" s="6"/>
      <c r="DBM41" s="6"/>
      <c r="DBN41" s="6"/>
      <c r="DBO41" s="6"/>
      <c r="DBP41" s="6"/>
      <c r="DBQ41" s="6"/>
      <c r="DBR41" s="6"/>
      <c r="DBS41" s="6"/>
      <c r="DBT41" s="6"/>
      <c r="DBU41" s="6"/>
      <c r="DBV41" s="6"/>
      <c r="DBW41" s="6"/>
      <c r="DBX41" s="6"/>
      <c r="DBY41" s="6"/>
      <c r="DBZ41" s="6"/>
      <c r="DCA41" s="6"/>
      <c r="DCB41" s="6"/>
      <c r="DCC41" s="6"/>
      <c r="DCD41" s="6"/>
      <c r="DCE41" s="6"/>
      <c r="DCF41" s="6"/>
      <c r="DCG41" s="6"/>
      <c r="DCH41" s="6"/>
      <c r="DCI41" s="6"/>
      <c r="DCJ41" s="6"/>
      <c r="DCK41" s="6"/>
      <c r="DCL41" s="6"/>
      <c r="DCM41" s="6"/>
      <c r="DCN41" s="6"/>
      <c r="DCO41" s="6"/>
      <c r="DCP41" s="6"/>
      <c r="DCQ41" s="6"/>
      <c r="DCR41" s="6"/>
      <c r="DCS41" s="6"/>
      <c r="DCT41" s="6"/>
      <c r="DCU41" s="6"/>
      <c r="DCV41" s="6"/>
      <c r="DCW41" s="6"/>
      <c r="DCX41" s="6"/>
      <c r="DCY41" s="6"/>
      <c r="DCZ41" s="6"/>
      <c r="DDA41" s="6"/>
      <c r="DDB41" s="6"/>
      <c r="DDC41" s="6"/>
      <c r="DDD41" s="6"/>
      <c r="DDE41" s="6"/>
      <c r="DDF41" s="6"/>
      <c r="DDG41" s="6"/>
      <c r="DDH41" s="6"/>
      <c r="DDI41" s="6"/>
      <c r="DDJ41" s="6"/>
      <c r="DDK41" s="6"/>
      <c r="DDL41" s="6"/>
      <c r="DDM41" s="6"/>
      <c r="DDN41" s="6"/>
      <c r="DDO41" s="6"/>
      <c r="DDP41" s="6"/>
      <c r="DDQ41" s="6"/>
      <c r="DDR41" s="6"/>
      <c r="DDS41" s="6"/>
      <c r="DDT41" s="6"/>
      <c r="DDU41" s="6"/>
      <c r="DDV41" s="6"/>
      <c r="DDW41" s="6"/>
      <c r="DDX41" s="6"/>
      <c r="DDY41" s="6"/>
      <c r="DDZ41" s="6"/>
      <c r="DEA41" s="6"/>
      <c r="DEB41" s="6"/>
      <c r="DEC41" s="6"/>
      <c r="DED41" s="6"/>
      <c r="DEE41" s="6"/>
      <c r="DEF41" s="6"/>
      <c r="DEG41" s="6"/>
      <c r="DEH41" s="6"/>
      <c r="DEI41" s="6"/>
      <c r="DEJ41" s="6"/>
      <c r="DEK41" s="6"/>
      <c r="DEL41" s="6"/>
      <c r="DEM41" s="6"/>
      <c r="DEN41" s="6"/>
      <c r="DEO41" s="6"/>
      <c r="DEP41" s="6"/>
      <c r="DEQ41" s="6"/>
      <c r="DER41" s="6"/>
      <c r="DES41" s="6"/>
      <c r="DET41" s="6"/>
      <c r="DEU41" s="6"/>
      <c r="DEV41" s="6"/>
      <c r="DEW41" s="6"/>
      <c r="DEX41" s="6"/>
      <c r="DEY41" s="6"/>
      <c r="DEZ41" s="6"/>
      <c r="DFA41" s="6"/>
      <c r="DFB41" s="6"/>
      <c r="DFC41" s="6"/>
      <c r="DFD41" s="6"/>
      <c r="DFE41" s="6"/>
      <c r="DFF41" s="6"/>
      <c r="DFG41" s="6"/>
      <c r="DFH41" s="6"/>
      <c r="DFI41" s="6"/>
      <c r="DFJ41" s="6"/>
      <c r="DFK41" s="6"/>
      <c r="DFL41" s="6"/>
      <c r="DFM41" s="6"/>
      <c r="DFN41" s="6"/>
      <c r="DFO41" s="6"/>
      <c r="DFP41" s="6"/>
      <c r="DFQ41" s="6"/>
      <c r="DFR41" s="6"/>
      <c r="DFS41" s="6"/>
      <c r="DFT41" s="6"/>
      <c r="DFU41" s="6"/>
      <c r="DFV41" s="6"/>
      <c r="DFW41" s="6"/>
      <c r="DFX41" s="6"/>
      <c r="DFY41" s="6"/>
      <c r="DFZ41" s="6"/>
      <c r="DGA41" s="6"/>
      <c r="DGB41" s="6"/>
      <c r="DGC41" s="6"/>
      <c r="DGD41" s="6"/>
      <c r="DGE41" s="6"/>
      <c r="DGF41" s="6"/>
      <c r="DGG41" s="6"/>
      <c r="DGH41" s="6"/>
      <c r="DGI41" s="6"/>
      <c r="DGJ41" s="6"/>
      <c r="DGK41" s="6"/>
      <c r="DGL41" s="6"/>
      <c r="DGM41" s="6"/>
      <c r="DGN41" s="6"/>
      <c r="DGO41" s="6"/>
      <c r="DGP41" s="6"/>
      <c r="DGQ41" s="6"/>
      <c r="DGR41" s="6"/>
      <c r="DGS41" s="6"/>
      <c r="DGT41" s="6"/>
      <c r="DGU41" s="6"/>
      <c r="DGV41" s="6"/>
      <c r="DGW41" s="6"/>
      <c r="DGX41" s="6"/>
      <c r="DGY41" s="6"/>
      <c r="DGZ41" s="6"/>
      <c r="DHA41" s="6"/>
      <c r="DHB41" s="6"/>
      <c r="DHC41" s="6"/>
      <c r="DHD41" s="6"/>
      <c r="DHE41" s="6"/>
      <c r="DHF41" s="6"/>
      <c r="DHG41" s="6"/>
      <c r="DHH41" s="6"/>
      <c r="DHI41" s="6"/>
      <c r="DHJ41" s="6"/>
      <c r="DHK41" s="6"/>
      <c r="DHL41" s="6"/>
      <c r="DHM41" s="6"/>
      <c r="DHN41" s="6"/>
      <c r="DHO41" s="6"/>
      <c r="DHP41" s="6"/>
      <c r="DHQ41" s="6"/>
      <c r="DHR41" s="6"/>
      <c r="DHS41" s="6"/>
      <c r="DHT41" s="6"/>
      <c r="DHU41" s="6"/>
      <c r="DHV41" s="6"/>
      <c r="DHW41" s="6"/>
      <c r="DHX41" s="6"/>
      <c r="DHY41" s="6"/>
      <c r="DHZ41" s="6"/>
      <c r="DIA41" s="6"/>
      <c r="DIB41" s="6"/>
      <c r="DIC41" s="6"/>
      <c r="DID41" s="6"/>
      <c r="DIE41" s="6"/>
      <c r="DIF41" s="6"/>
      <c r="DIG41" s="6"/>
      <c r="DIH41" s="6"/>
      <c r="DII41" s="6"/>
      <c r="DIJ41" s="6"/>
      <c r="DIK41" s="6"/>
      <c r="DIL41" s="6"/>
      <c r="DIM41" s="6"/>
      <c r="DIN41" s="6"/>
      <c r="DIO41" s="6"/>
      <c r="DIP41" s="6"/>
      <c r="DIQ41" s="6"/>
      <c r="DIR41" s="6"/>
      <c r="DIS41" s="6"/>
      <c r="DIT41" s="6"/>
      <c r="DIU41" s="6"/>
      <c r="DIV41" s="6"/>
      <c r="DIW41" s="6"/>
      <c r="DIX41" s="6"/>
      <c r="DIY41" s="6"/>
      <c r="DIZ41" s="6"/>
      <c r="DJA41" s="6"/>
      <c r="DJB41" s="6"/>
      <c r="DJC41" s="6"/>
      <c r="DJD41" s="6"/>
      <c r="DJE41" s="6"/>
      <c r="DJF41" s="6"/>
      <c r="DJG41" s="6"/>
      <c r="DJH41" s="6"/>
      <c r="DJI41" s="6"/>
      <c r="DJJ41" s="6"/>
      <c r="DJK41" s="6"/>
      <c r="DJL41" s="6"/>
      <c r="DJM41" s="6"/>
      <c r="DJN41" s="6"/>
      <c r="DJO41" s="6"/>
      <c r="DJP41" s="6"/>
      <c r="DJQ41" s="6"/>
      <c r="DJR41" s="6"/>
      <c r="DJS41" s="6"/>
      <c r="DJT41" s="6"/>
      <c r="DJU41" s="6"/>
      <c r="DJV41" s="6"/>
      <c r="DJW41" s="6"/>
      <c r="DJX41" s="6"/>
      <c r="DJY41" s="6"/>
      <c r="DJZ41" s="6"/>
      <c r="DKA41" s="6"/>
      <c r="DKB41" s="6"/>
      <c r="DKC41" s="6"/>
      <c r="DKD41" s="6"/>
      <c r="DKE41" s="6"/>
      <c r="DKF41" s="6"/>
      <c r="DKG41" s="6"/>
      <c r="DKH41" s="6"/>
      <c r="DKI41" s="6"/>
      <c r="DKJ41" s="6"/>
      <c r="DKK41" s="6"/>
      <c r="DKL41" s="6"/>
      <c r="DKM41" s="6"/>
      <c r="DKN41" s="6"/>
      <c r="DKO41" s="6"/>
      <c r="DKP41" s="6"/>
      <c r="DKQ41" s="6"/>
      <c r="DKR41" s="6"/>
      <c r="DKS41" s="6"/>
      <c r="DKT41" s="6"/>
      <c r="DKU41" s="6"/>
      <c r="DKV41" s="6"/>
      <c r="DKW41" s="6"/>
      <c r="DKX41" s="6"/>
      <c r="DKY41" s="6"/>
      <c r="DKZ41" s="6"/>
      <c r="DLA41" s="6"/>
      <c r="DLB41" s="6"/>
      <c r="DLC41" s="6"/>
      <c r="DLD41" s="6"/>
      <c r="DLE41" s="6"/>
      <c r="DLF41" s="6"/>
      <c r="DLG41" s="6"/>
      <c r="DLH41" s="6"/>
      <c r="DLI41" s="6"/>
      <c r="DLJ41" s="6"/>
      <c r="DLK41" s="6"/>
      <c r="DLL41" s="6"/>
      <c r="DLM41" s="6"/>
      <c r="DLN41" s="6"/>
      <c r="DLO41" s="6"/>
      <c r="DLP41" s="6"/>
      <c r="DLQ41" s="6"/>
      <c r="DLR41" s="6"/>
      <c r="DLS41" s="6"/>
      <c r="DLT41" s="6"/>
      <c r="DLU41" s="6"/>
      <c r="DLV41" s="6"/>
      <c r="DLW41" s="6"/>
      <c r="DLX41" s="6"/>
      <c r="DLY41" s="6"/>
      <c r="DLZ41" s="6"/>
      <c r="DMA41" s="6"/>
      <c r="DMB41" s="6"/>
      <c r="DMC41" s="6"/>
      <c r="DMD41" s="6"/>
      <c r="DME41" s="6"/>
      <c r="DMF41" s="6"/>
      <c r="DMG41" s="6"/>
      <c r="DMH41" s="6"/>
      <c r="DMI41" s="6"/>
      <c r="DMJ41" s="6"/>
      <c r="DMK41" s="6"/>
      <c r="DML41" s="6"/>
      <c r="DMM41" s="6"/>
      <c r="DMN41" s="6"/>
      <c r="DMO41" s="6"/>
      <c r="DMP41" s="6"/>
      <c r="DMQ41" s="6"/>
      <c r="DMR41" s="6"/>
      <c r="DMS41" s="6"/>
      <c r="DMT41" s="6"/>
      <c r="DMU41" s="6"/>
      <c r="DMV41" s="6"/>
      <c r="DMW41" s="6"/>
      <c r="DMX41" s="6"/>
      <c r="DMY41" s="6"/>
      <c r="DMZ41" s="6"/>
      <c r="DNA41" s="6"/>
      <c r="DNB41" s="6"/>
      <c r="DNC41" s="6"/>
      <c r="DND41" s="6"/>
      <c r="DNE41" s="6"/>
      <c r="DNF41" s="6"/>
      <c r="DNG41" s="6"/>
      <c r="DNH41" s="6"/>
      <c r="DNI41" s="6"/>
      <c r="DNJ41" s="6"/>
      <c r="DNK41" s="6"/>
      <c r="DNL41" s="6"/>
      <c r="DNM41" s="6"/>
      <c r="DNN41" s="6"/>
      <c r="DNO41" s="6"/>
      <c r="DNP41" s="6"/>
      <c r="DNQ41" s="6"/>
      <c r="DNR41" s="6"/>
      <c r="DNS41" s="6"/>
      <c r="DNT41" s="6"/>
      <c r="DNU41" s="6"/>
      <c r="DNV41" s="6"/>
      <c r="DNW41" s="6"/>
      <c r="DNX41" s="6"/>
      <c r="DNY41" s="6"/>
      <c r="DNZ41" s="6"/>
      <c r="DOA41" s="6"/>
      <c r="DOB41" s="6"/>
      <c r="DOC41" s="6"/>
      <c r="DOD41" s="6"/>
      <c r="DOE41" s="6"/>
      <c r="DOF41" s="6"/>
      <c r="DOG41" s="6"/>
      <c r="DOH41" s="6"/>
      <c r="DOI41" s="6"/>
      <c r="DOJ41" s="6"/>
      <c r="DOK41" s="6"/>
      <c r="DOL41" s="6"/>
      <c r="DOM41" s="6"/>
      <c r="DON41" s="6"/>
      <c r="DOO41" s="6"/>
      <c r="DOP41" s="6"/>
      <c r="DOQ41" s="6"/>
      <c r="DOR41" s="6"/>
      <c r="DOS41" s="6"/>
      <c r="DOT41" s="6"/>
      <c r="DOU41" s="6"/>
      <c r="DOV41" s="6"/>
      <c r="DOW41" s="6"/>
      <c r="DOX41" s="6"/>
      <c r="DOY41" s="6"/>
      <c r="DOZ41" s="6"/>
      <c r="DPA41" s="6"/>
      <c r="DPB41" s="6"/>
      <c r="DPC41" s="6"/>
      <c r="DPD41" s="6"/>
      <c r="DPE41" s="6"/>
      <c r="DPF41" s="6"/>
      <c r="DPG41" s="6"/>
      <c r="DPH41" s="6"/>
      <c r="DPI41" s="6"/>
      <c r="DPJ41" s="6"/>
      <c r="DPK41" s="6"/>
      <c r="DPL41" s="6"/>
      <c r="DPM41" s="6"/>
      <c r="DPN41" s="6"/>
      <c r="DPO41" s="6"/>
      <c r="DPP41" s="6"/>
      <c r="DPQ41" s="6"/>
      <c r="DPR41" s="6"/>
      <c r="DPS41" s="6"/>
      <c r="DPT41" s="6"/>
      <c r="DPU41" s="6"/>
      <c r="DPV41" s="6"/>
      <c r="DPW41" s="6"/>
      <c r="DPX41" s="6"/>
      <c r="DPY41" s="6"/>
      <c r="DPZ41" s="6"/>
      <c r="DQA41" s="6"/>
      <c r="DQB41" s="6"/>
      <c r="DQC41" s="6"/>
      <c r="DQD41" s="6"/>
      <c r="DQE41" s="6"/>
      <c r="DQF41" s="6"/>
      <c r="DQG41" s="6"/>
      <c r="DQH41" s="6"/>
      <c r="DQI41" s="6"/>
      <c r="DQJ41" s="6"/>
      <c r="DQK41" s="6"/>
      <c r="DQL41" s="6"/>
      <c r="DQM41" s="6"/>
      <c r="DQN41" s="6"/>
      <c r="DQO41" s="6"/>
      <c r="DQP41" s="6"/>
      <c r="DQQ41" s="6"/>
      <c r="DQR41" s="6"/>
      <c r="DQS41" s="6"/>
      <c r="DQT41" s="6"/>
      <c r="DQU41" s="6"/>
      <c r="DQV41" s="6"/>
      <c r="DQW41" s="6"/>
      <c r="DQX41" s="6"/>
      <c r="DQY41" s="6"/>
      <c r="DQZ41" s="6"/>
      <c r="DRA41" s="6"/>
      <c r="DRB41" s="6"/>
      <c r="DRC41" s="6"/>
      <c r="DRD41" s="6"/>
      <c r="DRE41" s="6"/>
      <c r="DRF41" s="6"/>
      <c r="DRG41" s="6"/>
      <c r="DRH41" s="6"/>
      <c r="DRI41" s="6"/>
      <c r="DRJ41" s="6"/>
      <c r="DRK41" s="6"/>
      <c r="DRL41" s="6"/>
      <c r="DRM41" s="6"/>
      <c r="DRN41" s="6"/>
      <c r="DRO41" s="6"/>
      <c r="DRP41" s="6"/>
      <c r="DRQ41" s="6"/>
      <c r="DRR41" s="6"/>
      <c r="DRS41" s="6"/>
      <c r="DRT41" s="6"/>
      <c r="DRU41" s="6"/>
      <c r="DRV41" s="6"/>
      <c r="DRW41" s="6"/>
      <c r="DRX41" s="6"/>
      <c r="DRY41" s="6"/>
      <c r="DRZ41" s="6"/>
      <c r="DSA41" s="6"/>
      <c r="DSB41" s="6"/>
      <c r="DSC41" s="6"/>
      <c r="DSD41" s="6"/>
      <c r="DSE41" s="6"/>
      <c r="DSF41" s="6"/>
      <c r="DSG41" s="6"/>
      <c r="DSH41" s="6"/>
      <c r="DSI41" s="6"/>
      <c r="DSJ41" s="6"/>
      <c r="DSK41" s="6"/>
      <c r="DSL41" s="6"/>
      <c r="DSM41" s="6"/>
      <c r="DSN41" s="6"/>
      <c r="DSO41" s="6"/>
      <c r="DSP41" s="6"/>
      <c r="DSQ41" s="6"/>
      <c r="DSR41" s="6"/>
      <c r="DSS41" s="6"/>
      <c r="DST41" s="6"/>
      <c r="DSU41" s="6"/>
      <c r="DSV41" s="6"/>
      <c r="DSW41" s="6"/>
      <c r="DSX41" s="6"/>
      <c r="DSY41" s="6"/>
      <c r="DSZ41" s="6"/>
      <c r="DTA41" s="6"/>
      <c r="DTB41" s="6"/>
      <c r="DTC41" s="6"/>
      <c r="DTD41" s="6"/>
      <c r="DTE41" s="6"/>
      <c r="DTF41" s="6"/>
      <c r="DTG41" s="6"/>
      <c r="DTH41" s="6"/>
      <c r="DTI41" s="6"/>
      <c r="DTJ41" s="6"/>
      <c r="DTK41" s="6"/>
      <c r="DTL41" s="6"/>
      <c r="DTM41" s="6"/>
      <c r="DTN41" s="6"/>
      <c r="DTO41" s="6"/>
      <c r="DTP41" s="6"/>
      <c r="DTQ41" s="6"/>
      <c r="DTR41" s="6"/>
      <c r="DTS41" s="6"/>
      <c r="DTT41" s="6"/>
      <c r="DTU41" s="6"/>
      <c r="DTV41" s="6"/>
      <c r="DTW41" s="6"/>
      <c r="DTX41" s="6"/>
      <c r="DTY41" s="6"/>
      <c r="DTZ41" s="6"/>
      <c r="DUA41" s="6"/>
      <c r="DUB41" s="6"/>
      <c r="DUC41" s="6"/>
      <c r="DUD41" s="6"/>
      <c r="DUE41" s="6"/>
      <c r="DUF41" s="6"/>
      <c r="DUG41" s="6"/>
      <c r="DUH41" s="6"/>
      <c r="DUI41" s="6"/>
      <c r="DUJ41" s="6"/>
      <c r="DUK41" s="6"/>
      <c r="DUL41" s="6"/>
      <c r="DUM41" s="6"/>
      <c r="DUN41" s="6"/>
      <c r="DUO41" s="6"/>
      <c r="DUP41" s="6"/>
      <c r="DUQ41" s="6"/>
      <c r="DUR41" s="6"/>
      <c r="DUS41" s="6"/>
      <c r="DUT41" s="6"/>
      <c r="DUU41" s="6"/>
      <c r="DUV41" s="6"/>
      <c r="DUW41" s="6"/>
      <c r="DUX41" s="6"/>
      <c r="DUY41" s="6"/>
      <c r="DUZ41" s="6"/>
      <c r="DVA41" s="6"/>
      <c r="DVB41" s="6"/>
      <c r="DVC41" s="6"/>
      <c r="DVD41" s="6"/>
      <c r="DVE41" s="6"/>
      <c r="DVF41" s="6"/>
      <c r="DVG41" s="6"/>
      <c r="DVH41" s="6"/>
      <c r="DVI41" s="6"/>
      <c r="DVJ41" s="6"/>
      <c r="DVK41" s="6"/>
      <c r="DVL41" s="6"/>
      <c r="DVM41" s="6"/>
      <c r="DVN41" s="6"/>
      <c r="DVO41" s="6"/>
      <c r="DVP41" s="6"/>
      <c r="DVQ41" s="6"/>
      <c r="DVR41" s="6"/>
      <c r="DVS41" s="6"/>
      <c r="DVT41" s="6"/>
      <c r="DVU41" s="6"/>
      <c r="DVV41" s="6"/>
      <c r="DVW41" s="6"/>
      <c r="DVX41" s="6"/>
      <c r="DVY41" s="6"/>
      <c r="DVZ41" s="6"/>
      <c r="DWA41" s="6"/>
      <c r="DWB41" s="6"/>
      <c r="DWC41" s="6"/>
      <c r="DWD41" s="6"/>
      <c r="DWE41" s="6"/>
      <c r="DWF41" s="6"/>
      <c r="DWG41" s="6"/>
      <c r="DWH41" s="6"/>
      <c r="DWI41" s="6"/>
      <c r="DWJ41" s="6"/>
      <c r="DWK41" s="6"/>
      <c r="DWL41" s="6"/>
      <c r="DWM41" s="6"/>
      <c r="DWN41" s="6"/>
      <c r="DWO41" s="6"/>
      <c r="DWP41" s="6"/>
      <c r="DWQ41" s="6"/>
      <c r="DWR41" s="6"/>
      <c r="DWS41" s="6"/>
      <c r="DWT41" s="6"/>
      <c r="DWU41" s="6"/>
      <c r="DWV41" s="6"/>
      <c r="DWW41" s="6"/>
      <c r="DWX41" s="6"/>
      <c r="DWY41" s="6"/>
      <c r="DWZ41" s="6"/>
      <c r="DXA41" s="6"/>
      <c r="DXB41" s="6"/>
      <c r="DXC41" s="6"/>
      <c r="DXD41" s="6"/>
      <c r="DXE41" s="6"/>
      <c r="DXF41" s="6"/>
      <c r="DXG41" s="6"/>
      <c r="DXH41" s="6"/>
      <c r="DXI41" s="6"/>
      <c r="DXJ41" s="6"/>
      <c r="DXK41" s="6"/>
      <c r="DXL41" s="6"/>
      <c r="DXM41" s="6"/>
      <c r="DXN41" s="6"/>
      <c r="DXO41" s="6"/>
      <c r="DXP41" s="6"/>
      <c r="DXQ41" s="6"/>
      <c r="DXR41" s="6"/>
      <c r="DXS41" s="6"/>
      <c r="DXT41" s="6"/>
      <c r="DXU41" s="6"/>
      <c r="DXV41" s="6"/>
      <c r="DXW41" s="6"/>
      <c r="DXX41" s="6"/>
      <c r="DXY41" s="6"/>
      <c r="DXZ41" s="6"/>
      <c r="DYA41" s="6"/>
      <c r="DYB41" s="6"/>
      <c r="DYC41" s="6"/>
      <c r="DYD41" s="6"/>
      <c r="DYE41" s="6"/>
      <c r="DYF41" s="6"/>
      <c r="DYG41" s="6"/>
      <c r="DYH41" s="6"/>
      <c r="DYI41" s="6"/>
      <c r="DYJ41" s="6"/>
      <c r="DYK41" s="6"/>
      <c r="DYL41" s="6"/>
      <c r="DYM41" s="6"/>
      <c r="DYN41" s="6"/>
      <c r="DYO41" s="6"/>
      <c r="DYP41" s="6"/>
      <c r="DYQ41" s="6"/>
      <c r="DYR41" s="6"/>
      <c r="DYS41" s="6"/>
      <c r="DYT41" s="6"/>
      <c r="DYU41" s="6"/>
      <c r="DYV41" s="6"/>
      <c r="DYW41" s="6"/>
      <c r="DYX41" s="6"/>
      <c r="DYY41" s="6"/>
      <c r="DYZ41" s="6"/>
      <c r="DZA41" s="6"/>
      <c r="DZB41" s="6"/>
      <c r="DZC41" s="6"/>
      <c r="DZD41" s="6"/>
      <c r="DZE41" s="6"/>
      <c r="DZF41" s="6"/>
      <c r="DZG41" s="6"/>
      <c r="DZH41" s="6"/>
      <c r="DZI41" s="6"/>
      <c r="DZJ41" s="6"/>
      <c r="DZK41" s="6"/>
      <c r="DZL41" s="6"/>
      <c r="DZM41" s="6"/>
      <c r="DZN41" s="6"/>
      <c r="DZO41" s="6"/>
      <c r="DZP41" s="6"/>
      <c r="DZQ41" s="6"/>
      <c r="DZR41" s="6"/>
      <c r="DZS41" s="6"/>
      <c r="DZT41" s="6"/>
      <c r="DZU41" s="6"/>
      <c r="DZV41" s="6"/>
      <c r="DZW41" s="6"/>
      <c r="DZX41" s="6"/>
      <c r="DZY41" s="6"/>
      <c r="DZZ41" s="6"/>
      <c r="EAA41" s="6"/>
      <c r="EAB41" s="6"/>
      <c r="EAC41" s="6"/>
      <c r="EAD41" s="6"/>
      <c r="EAE41" s="6"/>
      <c r="EAF41" s="6"/>
      <c r="EAG41" s="6"/>
      <c r="EAH41" s="6"/>
      <c r="EAI41" s="6"/>
      <c r="EAJ41" s="6"/>
      <c r="EAK41" s="6"/>
      <c r="EAL41" s="6"/>
      <c r="EAM41" s="6"/>
      <c r="EAN41" s="6"/>
      <c r="EAO41" s="6"/>
      <c r="EAP41" s="6"/>
      <c r="EAQ41" s="6"/>
      <c r="EAR41" s="6"/>
      <c r="EAS41" s="6"/>
      <c r="EAT41" s="6"/>
      <c r="EAU41" s="6"/>
      <c r="EAV41" s="6"/>
      <c r="EAW41" s="6"/>
      <c r="EAX41" s="6"/>
      <c r="EAY41" s="6"/>
      <c r="EAZ41" s="6"/>
      <c r="EBA41" s="6"/>
      <c r="EBB41" s="6"/>
      <c r="EBC41" s="6"/>
      <c r="EBD41" s="6"/>
      <c r="EBE41" s="6"/>
      <c r="EBF41" s="6"/>
      <c r="EBG41" s="6"/>
      <c r="EBH41" s="6"/>
      <c r="EBI41" s="6"/>
      <c r="EBJ41" s="6"/>
      <c r="EBK41" s="6"/>
      <c r="EBL41" s="6"/>
      <c r="EBM41" s="6"/>
      <c r="EBN41" s="6"/>
      <c r="EBO41" s="6"/>
      <c r="EBP41" s="6"/>
      <c r="EBQ41" s="6"/>
      <c r="EBR41" s="6"/>
      <c r="EBS41" s="6"/>
      <c r="EBT41" s="6"/>
      <c r="EBU41" s="6"/>
      <c r="EBV41" s="6"/>
      <c r="EBW41" s="6"/>
      <c r="EBX41" s="6"/>
      <c r="EBY41" s="6"/>
      <c r="EBZ41" s="6"/>
      <c r="ECA41" s="6"/>
      <c r="ECB41" s="6"/>
      <c r="ECC41" s="6"/>
      <c r="ECD41" s="6"/>
      <c r="ECE41" s="6"/>
      <c r="ECF41" s="6"/>
      <c r="ECG41" s="6"/>
      <c r="ECH41" s="6"/>
      <c r="ECI41" s="6"/>
      <c r="ECJ41" s="6"/>
      <c r="ECK41" s="6"/>
      <c r="ECL41" s="6"/>
      <c r="ECM41" s="6"/>
      <c r="ECN41" s="6"/>
      <c r="ECO41" s="6"/>
      <c r="ECP41" s="6"/>
      <c r="ECQ41" s="6"/>
      <c r="ECR41" s="6"/>
      <c r="ECS41" s="6"/>
      <c r="ECT41" s="6"/>
      <c r="ECU41" s="6"/>
      <c r="ECV41" s="6"/>
      <c r="ECW41" s="6"/>
      <c r="ECX41" s="6"/>
      <c r="ECY41" s="6"/>
      <c r="ECZ41" s="6"/>
      <c r="EDA41" s="6"/>
      <c r="EDB41" s="6"/>
      <c r="EDC41" s="6"/>
      <c r="EDD41" s="6"/>
      <c r="EDE41" s="6"/>
      <c r="EDF41" s="6"/>
      <c r="EDG41" s="6"/>
      <c r="EDH41" s="6"/>
      <c r="EDI41" s="6"/>
      <c r="EDJ41" s="6"/>
      <c r="EDK41" s="6"/>
      <c r="EDL41" s="6"/>
      <c r="EDM41" s="6"/>
      <c r="EDN41" s="6"/>
      <c r="EDO41" s="6"/>
      <c r="EDP41" s="6"/>
      <c r="EDQ41" s="6"/>
      <c r="EDR41" s="6"/>
      <c r="EDS41" s="6"/>
      <c r="EDT41" s="6"/>
      <c r="EDU41" s="6"/>
      <c r="EDV41" s="6"/>
      <c r="EDW41" s="6"/>
      <c r="EDX41" s="6"/>
      <c r="EDY41" s="6"/>
      <c r="EDZ41" s="6"/>
      <c r="EEA41" s="6"/>
      <c r="EEB41" s="6"/>
      <c r="EEC41" s="6"/>
      <c r="EED41" s="6"/>
      <c r="EEE41" s="6"/>
      <c r="EEF41" s="6"/>
      <c r="EEG41" s="6"/>
      <c r="EEH41" s="6"/>
      <c r="EEI41" s="6"/>
      <c r="EEJ41" s="6"/>
      <c r="EEK41" s="6"/>
      <c r="EEL41" s="6"/>
      <c r="EEM41" s="6"/>
      <c r="EEN41" s="6"/>
      <c r="EEO41" s="6"/>
      <c r="EEP41" s="6"/>
      <c r="EEQ41" s="6"/>
      <c r="EER41" s="6"/>
      <c r="EES41" s="6"/>
      <c r="EET41" s="6"/>
      <c r="EEU41" s="6"/>
      <c r="EEV41" s="6"/>
      <c r="EEW41" s="6"/>
      <c r="EEX41" s="6"/>
      <c r="EEY41" s="6"/>
      <c r="EEZ41" s="6"/>
      <c r="EFA41" s="6"/>
      <c r="EFB41" s="6"/>
      <c r="EFC41" s="6"/>
      <c r="EFD41" s="6"/>
      <c r="EFE41" s="6"/>
      <c r="EFF41" s="6"/>
      <c r="EFG41" s="6"/>
      <c r="EFH41" s="6"/>
      <c r="EFI41" s="6"/>
      <c r="EFJ41" s="6"/>
      <c r="EFK41" s="6"/>
      <c r="EFL41" s="6"/>
      <c r="EFM41" s="6"/>
      <c r="EFN41" s="6"/>
      <c r="EFO41" s="6"/>
      <c r="EFP41" s="6"/>
      <c r="EFQ41" s="6"/>
      <c r="EFR41" s="6"/>
      <c r="EFS41" s="6"/>
      <c r="EFT41" s="6"/>
      <c r="EFU41" s="6"/>
      <c r="EFV41" s="6"/>
      <c r="EFW41" s="6"/>
      <c r="EFX41" s="6"/>
      <c r="EFY41" s="6"/>
      <c r="EFZ41" s="6"/>
      <c r="EGA41" s="6"/>
      <c r="EGB41" s="6"/>
      <c r="EGC41" s="6"/>
      <c r="EGD41" s="6"/>
      <c r="EGE41" s="6"/>
      <c r="EGF41" s="6"/>
      <c r="EGG41" s="6"/>
      <c r="EGH41" s="6"/>
      <c r="EGI41" s="6"/>
      <c r="EGJ41" s="6"/>
      <c r="EGK41" s="6"/>
      <c r="EGL41" s="6"/>
      <c r="EGM41" s="6"/>
      <c r="EGN41" s="6"/>
      <c r="EGO41" s="6"/>
      <c r="EGP41" s="6"/>
      <c r="EGQ41" s="6"/>
      <c r="EGR41" s="6"/>
      <c r="EGS41" s="6"/>
      <c r="EGT41" s="6"/>
      <c r="EGU41" s="6"/>
      <c r="EGV41" s="6"/>
      <c r="EGW41" s="6"/>
      <c r="EGX41" s="6"/>
      <c r="EGY41" s="6"/>
      <c r="EGZ41" s="6"/>
      <c r="EHA41" s="6"/>
      <c r="EHB41" s="6"/>
      <c r="EHC41" s="6"/>
      <c r="EHD41" s="6"/>
      <c r="EHE41" s="6"/>
      <c r="EHF41" s="6"/>
      <c r="EHG41" s="6"/>
      <c r="EHH41" s="6"/>
      <c r="EHI41" s="6"/>
      <c r="EHJ41" s="6"/>
      <c r="EHK41" s="6"/>
      <c r="EHL41" s="6"/>
      <c r="EHM41" s="6"/>
      <c r="EHN41" s="6"/>
      <c r="EHO41" s="6"/>
      <c r="EHP41" s="6"/>
      <c r="EHQ41" s="6"/>
      <c r="EHR41" s="6"/>
      <c r="EHS41" s="6"/>
      <c r="EHT41" s="6"/>
      <c r="EHU41" s="6"/>
      <c r="EHV41" s="6"/>
      <c r="EHW41" s="6"/>
      <c r="EHX41" s="6"/>
      <c r="EHY41" s="6"/>
      <c r="EHZ41" s="6"/>
      <c r="EIA41" s="6"/>
      <c r="EIB41" s="6"/>
      <c r="EIC41" s="6"/>
      <c r="EID41" s="6"/>
      <c r="EIE41" s="6"/>
      <c r="EIF41" s="6"/>
      <c r="EIG41" s="6"/>
      <c r="EIH41" s="6"/>
      <c r="EII41" s="6"/>
      <c r="EIJ41" s="6"/>
      <c r="EIK41" s="6"/>
      <c r="EIL41" s="6"/>
      <c r="EIM41" s="6"/>
      <c r="EIN41" s="6"/>
      <c r="EIO41" s="6"/>
      <c r="EIP41" s="6"/>
      <c r="EIQ41" s="6"/>
      <c r="EIR41" s="6"/>
      <c r="EIS41" s="6"/>
      <c r="EIT41" s="6"/>
      <c r="EIU41" s="6"/>
      <c r="EIV41" s="6"/>
      <c r="EIW41" s="6"/>
      <c r="EIX41" s="6"/>
      <c r="EIY41" s="6"/>
      <c r="EIZ41" s="6"/>
      <c r="EJA41" s="6"/>
      <c r="EJB41" s="6"/>
      <c r="EJC41" s="6"/>
      <c r="EJD41" s="6"/>
      <c r="EJE41" s="6"/>
      <c r="EJF41" s="6"/>
      <c r="EJG41" s="6"/>
      <c r="EJH41" s="6"/>
      <c r="EJI41" s="6"/>
      <c r="EJJ41" s="6"/>
      <c r="EJK41" s="6"/>
      <c r="EJL41" s="6"/>
      <c r="EJM41" s="6"/>
      <c r="EJN41" s="6"/>
      <c r="EJO41" s="6"/>
      <c r="EJP41" s="6"/>
      <c r="EJQ41" s="6"/>
      <c r="EJR41" s="6"/>
      <c r="EJS41" s="6"/>
      <c r="EJT41" s="6"/>
      <c r="EJU41" s="6"/>
      <c r="EJV41" s="6"/>
      <c r="EJW41" s="6"/>
      <c r="EJX41" s="6"/>
      <c r="EJY41" s="6"/>
      <c r="EJZ41" s="6"/>
      <c r="EKA41" s="6"/>
      <c r="EKB41" s="6"/>
      <c r="EKC41" s="6"/>
      <c r="EKD41" s="6"/>
      <c r="EKE41" s="6"/>
      <c r="EKF41" s="6"/>
      <c r="EKG41" s="6"/>
      <c r="EKH41" s="6"/>
      <c r="EKI41" s="6"/>
      <c r="EKJ41" s="6"/>
      <c r="EKK41" s="6"/>
      <c r="EKL41" s="6"/>
      <c r="EKM41" s="6"/>
      <c r="EKN41" s="6"/>
      <c r="EKO41" s="6"/>
      <c r="EKP41" s="6"/>
      <c r="EKQ41" s="6"/>
      <c r="EKR41" s="6"/>
      <c r="EKS41" s="6"/>
      <c r="EKT41" s="6"/>
      <c r="EKU41" s="6"/>
      <c r="EKV41" s="6"/>
      <c r="EKW41" s="6"/>
      <c r="EKX41" s="6"/>
      <c r="EKY41" s="6"/>
      <c r="EKZ41" s="6"/>
      <c r="ELA41" s="6"/>
      <c r="ELB41" s="6"/>
      <c r="ELC41" s="6"/>
      <c r="ELD41" s="6"/>
      <c r="ELE41" s="6"/>
      <c r="ELF41" s="6"/>
      <c r="ELG41" s="6"/>
      <c r="ELH41" s="6"/>
      <c r="ELI41" s="6"/>
      <c r="ELJ41" s="6"/>
      <c r="ELK41" s="6"/>
      <c r="ELL41" s="6"/>
      <c r="ELM41" s="6"/>
      <c r="ELN41" s="6"/>
      <c r="ELO41" s="6"/>
      <c r="ELP41" s="6"/>
      <c r="ELQ41" s="6"/>
      <c r="ELR41" s="6"/>
      <c r="ELS41" s="6"/>
      <c r="ELT41" s="6"/>
      <c r="ELU41" s="6"/>
      <c r="ELV41" s="6"/>
      <c r="ELW41" s="6"/>
      <c r="ELX41" s="6"/>
      <c r="ELY41" s="6"/>
      <c r="ELZ41" s="6"/>
      <c r="EMA41" s="6"/>
      <c r="EMB41" s="6"/>
      <c r="EMC41" s="6"/>
      <c r="EMD41" s="6"/>
      <c r="EME41" s="6"/>
      <c r="EMF41" s="6"/>
      <c r="EMG41" s="6"/>
      <c r="EMH41" s="6"/>
      <c r="EMI41" s="6"/>
      <c r="EMJ41" s="6"/>
      <c r="EMK41" s="6"/>
      <c r="EML41" s="6"/>
      <c r="EMM41" s="6"/>
      <c r="EMN41" s="6"/>
      <c r="EMO41" s="6"/>
      <c r="EMP41" s="6"/>
      <c r="EMQ41" s="6"/>
      <c r="EMR41" s="6"/>
      <c r="EMS41" s="6"/>
      <c r="EMT41" s="6"/>
      <c r="EMU41" s="6"/>
      <c r="EMV41" s="6"/>
      <c r="EMW41" s="6"/>
      <c r="EMX41" s="6"/>
      <c r="EMY41" s="6"/>
      <c r="EMZ41" s="6"/>
      <c r="ENA41" s="6"/>
      <c r="ENB41" s="6"/>
      <c r="ENC41" s="6"/>
      <c r="END41" s="6"/>
      <c r="ENE41" s="6"/>
      <c r="ENF41" s="6"/>
      <c r="ENG41" s="6"/>
      <c r="ENH41" s="6"/>
      <c r="ENI41" s="6"/>
      <c r="ENJ41" s="6"/>
      <c r="ENK41" s="6"/>
      <c r="ENL41" s="6"/>
      <c r="ENM41" s="6"/>
      <c r="ENN41" s="6"/>
      <c r="ENO41" s="6"/>
      <c r="ENP41" s="6"/>
      <c r="ENQ41" s="6"/>
      <c r="ENR41" s="6"/>
      <c r="ENS41" s="6"/>
      <c r="ENT41" s="6"/>
      <c r="ENU41" s="6"/>
      <c r="ENV41" s="6"/>
      <c r="ENW41" s="6"/>
      <c r="ENX41" s="6"/>
      <c r="ENY41" s="6"/>
      <c r="ENZ41" s="6"/>
      <c r="EOA41" s="6"/>
      <c r="EOB41" s="6"/>
      <c r="EOC41" s="6"/>
      <c r="EOD41" s="6"/>
      <c r="EOE41" s="6"/>
      <c r="EOF41" s="6"/>
      <c r="EOG41" s="6"/>
      <c r="EOH41" s="6"/>
      <c r="EOI41" s="6"/>
      <c r="EOJ41" s="6"/>
      <c r="EOK41" s="6"/>
      <c r="EOL41" s="6"/>
      <c r="EOM41" s="6"/>
      <c r="EON41" s="6"/>
      <c r="EOO41" s="6"/>
      <c r="EOP41" s="6"/>
      <c r="EOQ41" s="6"/>
      <c r="EOR41" s="6"/>
      <c r="EOS41" s="6"/>
      <c r="EOT41" s="6"/>
      <c r="EOU41" s="6"/>
      <c r="EOV41" s="6"/>
      <c r="EOW41" s="6"/>
      <c r="EOX41" s="6"/>
      <c r="EOY41" s="6"/>
      <c r="EOZ41" s="6"/>
      <c r="EPA41" s="6"/>
      <c r="EPB41" s="6"/>
      <c r="EPC41" s="6"/>
      <c r="EPD41" s="6"/>
      <c r="EPE41" s="6"/>
      <c r="EPF41" s="6"/>
      <c r="EPG41" s="6"/>
      <c r="EPH41" s="6"/>
      <c r="EPI41" s="6"/>
      <c r="EPJ41" s="6"/>
      <c r="EPK41" s="6"/>
      <c r="EPL41" s="6"/>
      <c r="EPM41" s="6"/>
      <c r="EPN41" s="6"/>
      <c r="EPO41" s="6"/>
      <c r="EPP41" s="6"/>
      <c r="EPQ41" s="6"/>
      <c r="EPR41" s="6"/>
      <c r="EPS41" s="6"/>
      <c r="EPT41" s="6"/>
      <c r="EPU41" s="6"/>
      <c r="EPV41" s="6"/>
      <c r="EPW41" s="6"/>
      <c r="EPX41" s="6"/>
      <c r="EPY41" s="6"/>
      <c r="EPZ41" s="6"/>
      <c r="EQA41" s="6"/>
      <c r="EQB41" s="6"/>
      <c r="EQC41" s="6"/>
      <c r="EQD41" s="6"/>
      <c r="EQE41" s="6"/>
      <c r="EQF41" s="6"/>
      <c r="EQG41" s="6"/>
      <c r="EQH41" s="6"/>
      <c r="EQI41" s="6"/>
      <c r="EQJ41" s="6"/>
      <c r="EQK41" s="6"/>
      <c r="EQL41" s="6"/>
      <c r="EQM41" s="6"/>
      <c r="EQN41" s="6"/>
      <c r="EQO41" s="6"/>
      <c r="EQP41" s="6"/>
      <c r="EQQ41" s="6"/>
      <c r="EQR41" s="6"/>
      <c r="EQS41" s="6"/>
      <c r="EQT41" s="6"/>
      <c r="EQU41" s="6"/>
      <c r="EQV41" s="6"/>
      <c r="EQW41" s="6"/>
      <c r="EQX41" s="6"/>
      <c r="EQY41" s="6"/>
      <c r="EQZ41" s="6"/>
      <c r="ERA41" s="6"/>
      <c r="ERB41" s="6"/>
      <c r="ERC41" s="6"/>
      <c r="ERD41" s="6"/>
      <c r="ERE41" s="6"/>
      <c r="ERF41" s="6"/>
      <c r="ERG41" s="6"/>
      <c r="ERH41" s="6"/>
      <c r="ERI41" s="6"/>
      <c r="ERJ41" s="6"/>
      <c r="ERK41" s="6"/>
      <c r="ERL41" s="6"/>
      <c r="ERM41" s="6"/>
      <c r="ERN41" s="6"/>
      <c r="ERO41" s="6"/>
      <c r="ERP41" s="6"/>
      <c r="ERQ41" s="6"/>
      <c r="ERR41" s="6"/>
      <c r="ERS41" s="6"/>
      <c r="ERT41" s="6"/>
      <c r="ERU41" s="6"/>
      <c r="ERV41" s="6"/>
      <c r="ERW41" s="6"/>
      <c r="ERX41" s="6"/>
      <c r="ERY41" s="6"/>
      <c r="ERZ41" s="6"/>
      <c r="ESA41" s="6"/>
      <c r="ESB41" s="6"/>
      <c r="ESC41" s="6"/>
      <c r="ESD41" s="6"/>
      <c r="ESE41" s="6"/>
      <c r="ESF41" s="6"/>
      <c r="ESG41" s="6"/>
      <c r="ESH41" s="6"/>
      <c r="ESI41" s="6"/>
      <c r="ESJ41" s="6"/>
      <c r="ESK41" s="6"/>
      <c r="ESL41" s="6"/>
      <c r="ESM41" s="6"/>
      <c r="ESN41" s="6"/>
      <c r="ESO41" s="6"/>
      <c r="ESP41" s="6"/>
      <c r="ESQ41" s="6"/>
      <c r="ESR41" s="6"/>
      <c r="ESS41" s="6"/>
      <c r="EST41" s="6"/>
      <c r="ESU41" s="6"/>
      <c r="ESV41" s="6"/>
      <c r="ESW41" s="6"/>
      <c r="ESX41" s="6"/>
      <c r="ESY41" s="6"/>
      <c r="ESZ41" s="6"/>
      <c r="ETA41" s="6"/>
      <c r="ETB41" s="6"/>
      <c r="ETC41" s="6"/>
      <c r="ETD41" s="6"/>
      <c r="ETE41" s="6"/>
      <c r="ETF41" s="6"/>
      <c r="ETG41" s="6"/>
      <c r="ETH41" s="6"/>
      <c r="ETI41" s="6"/>
      <c r="ETJ41" s="6"/>
      <c r="ETK41" s="6"/>
      <c r="ETL41" s="6"/>
      <c r="ETM41" s="6"/>
      <c r="ETN41" s="6"/>
      <c r="ETO41" s="6"/>
      <c r="ETP41" s="6"/>
      <c r="ETQ41" s="6"/>
      <c r="ETR41" s="6"/>
      <c r="ETS41" s="6"/>
      <c r="ETT41" s="6"/>
      <c r="ETU41" s="6"/>
      <c r="ETV41" s="6"/>
      <c r="ETW41" s="6"/>
      <c r="ETX41" s="6"/>
      <c r="ETY41" s="6"/>
      <c r="ETZ41" s="6"/>
      <c r="EUA41" s="6"/>
      <c r="EUB41" s="6"/>
      <c r="EUC41" s="6"/>
      <c r="EUD41" s="6"/>
      <c r="EUE41" s="6"/>
      <c r="EUF41" s="6"/>
      <c r="EUG41" s="6"/>
      <c r="EUH41" s="6"/>
      <c r="EUI41" s="6"/>
      <c r="EUJ41" s="6"/>
      <c r="EUK41" s="6"/>
      <c r="EUL41" s="6"/>
      <c r="EUM41" s="6"/>
      <c r="EUN41" s="6"/>
      <c r="EUO41" s="6"/>
      <c r="EUP41" s="6"/>
      <c r="EUQ41" s="6"/>
      <c r="EUR41" s="6"/>
      <c r="EUS41" s="6"/>
      <c r="EUT41" s="6"/>
      <c r="EUU41" s="6"/>
      <c r="EUV41" s="6"/>
      <c r="EUW41" s="6"/>
      <c r="EUX41" s="6"/>
      <c r="EUY41" s="6"/>
      <c r="EUZ41" s="6"/>
      <c r="EVA41" s="6"/>
      <c r="EVB41" s="6"/>
      <c r="EVC41" s="6"/>
      <c r="EVD41" s="6"/>
      <c r="EVE41" s="6"/>
      <c r="EVF41" s="6"/>
      <c r="EVG41" s="6"/>
      <c r="EVH41" s="6"/>
      <c r="EVI41" s="6"/>
      <c r="EVJ41" s="6"/>
      <c r="EVK41" s="6"/>
      <c r="EVL41" s="6"/>
      <c r="EVM41" s="6"/>
      <c r="EVN41" s="6"/>
      <c r="EVO41" s="6"/>
      <c r="EVP41" s="6"/>
      <c r="EVQ41" s="6"/>
      <c r="EVR41" s="6"/>
      <c r="EVS41" s="6"/>
      <c r="EVT41" s="6"/>
      <c r="EVU41" s="6"/>
      <c r="EVV41" s="6"/>
      <c r="EVW41" s="6"/>
      <c r="EVX41" s="6"/>
      <c r="EVY41" s="6"/>
      <c r="EVZ41" s="6"/>
      <c r="EWA41" s="6"/>
      <c r="EWB41" s="6"/>
      <c r="EWC41" s="6"/>
      <c r="EWD41" s="6"/>
      <c r="EWE41" s="6"/>
      <c r="EWF41" s="6"/>
      <c r="EWG41" s="6"/>
      <c r="EWH41" s="6"/>
      <c r="EWI41" s="6"/>
      <c r="EWJ41" s="6"/>
      <c r="EWK41" s="6"/>
      <c r="EWL41" s="6"/>
      <c r="EWM41" s="6"/>
      <c r="EWN41" s="6"/>
      <c r="EWO41" s="6"/>
      <c r="EWP41" s="6"/>
      <c r="EWQ41" s="6"/>
      <c r="EWR41" s="6"/>
      <c r="EWS41" s="6"/>
      <c r="EWT41" s="6"/>
      <c r="EWU41" s="6"/>
      <c r="EWV41" s="6"/>
      <c r="EWW41" s="6"/>
      <c r="EWX41" s="6"/>
      <c r="EWY41" s="6"/>
      <c r="EWZ41" s="6"/>
      <c r="EXA41" s="6"/>
      <c r="EXB41" s="6"/>
      <c r="EXC41" s="6"/>
      <c r="EXD41" s="6"/>
      <c r="EXE41" s="6"/>
      <c r="EXF41" s="6"/>
      <c r="EXG41" s="6"/>
      <c r="EXH41" s="6"/>
      <c r="EXI41" s="6"/>
      <c r="EXJ41" s="6"/>
      <c r="EXK41" s="6"/>
      <c r="EXL41" s="6"/>
      <c r="EXM41" s="6"/>
      <c r="EXN41" s="6"/>
      <c r="EXO41" s="6"/>
      <c r="EXP41" s="6"/>
      <c r="EXQ41" s="6"/>
      <c r="EXR41" s="6"/>
      <c r="EXS41" s="6"/>
      <c r="EXT41" s="6"/>
      <c r="EXU41" s="6"/>
      <c r="EXV41" s="6"/>
      <c r="EXW41" s="6"/>
      <c r="EXX41" s="6"/>
      <c r="EXY41" s="6"/>
      <c r="EXZ41" s="6"/>
      <c r="EYA41" s="6"/>
      <c r="EYB41" s="6"/>
      <c r="EYC41" s="6"/>
      <c r="EYD41" s="6"/>
      <c r="EYE41" s="6"/>
      <c r="EYF41" s="6"/>
      <c r="EYG41" s="6"/>
      <c r="EYH41" s="6"/>
      <c r="EYI41" s="6"/>
      <c r="EYJ41" s="6"/>
      <c r="EYK41" s="6"/>
      <c r="EYL41" s="6"/>
      <c r="EYM41" s="6"/>
      <c r="EYN41" s="6"/>
      <c r="EYO41" s="6"/>
      <c r="EYP41" s="6"/>
      <c r="EYQ41" s="6"/>
      <c r="EYR41" s="6"/>
      <c r="EYS41" s="6"/>
      <c r="EYT41" s="6"/>
      <c r="EYU41" s="6"/>
      <c r="EYV41" s="6"/>
      <c r="EYW41" s="6"/>
      <c r="EYX41" s="6"/>
      <c r="EYY41" s="6"/>
      <c r="EYZ41" s="6"/>
      <c r="EZA41" s="6"/>
      <c r="EZB41" s="6"/>
      <c r="EZC41" s="6"/>
      <c r="EZD41" s="6"/>
      <c r="EZE41" s="6"/>
      <c r="EZF41" s="6"/>
      <c r="EZG41" s="6"/>
      <c r="EZH41" s="6"/>
      <c r="EZI41" s="6"/>
      <c r="EZJ41" s="6"/>
      <c r="EZK41" s="6"/>
      <c r="EZL41" s="6"/>
      <c r="EZM41" s="6"/>
      <c r="EZN41" s="6"/>
      <c r="EZO41" s="6"/>
      <c r="EZP41" s="6"/>
      <c r="EZQ41" s="6"/>
      <c r="EZR41" s="6"/>
      <c r="EZS41" s="6"/>
      <c r="EZT41" s="6"/>
      <c r="EZU41" s="6"/>
      <c r="EZV41" s="6"/>
      <c r="EZW41" s="6"/>
      <c r="EZX41" s="6"/>
      <c r="EZY41" s="6"/>
      <c r="EZZ41" s="6"/>
      <c r="FAA41" s="6"/>
      <c r="FAB41" s="6"/>
      <c r="FAC41" s="6"/>
      <c r="FAD41" s="6"/>
      <c r="FAE41" s="6"/>
      <c r="FAF41" s="6"/>
      <c r="FAG41" s="6"/>
      <c r="FAH41" s="6"/>
      <c r="FAI41" s="6"/>
      <c r="FAJ41" s="6"/>
      <c r="FAK41" s="6"/>
      <c r="FAL41" s="6"/>
      <c r="FAM41" s="6"/>
      <c r="FAN41" s="6"/>
      <c r="FAO41" s="6"/>
      <c r="FAP41" s="6"/>
      <c r="FAQ41" s="6"/>
      <c r="FAR41" s="6"/>
      <c r="FAS41" s="6"/>
      <c r="FAT41" s="6"/>
      <c r="FAU41" s="6"/>
      <c r="FAV41" s="6"/>
      <c r="FAW41" s="6"/>
      <c r="FAX41" s="6"/>
      <c r="FAY41" s="6"/>
      <c r="FAZ41" s="6"/>
      <c r="FBA41" s="6"/>
      <c r="FBB41" s="6"/>
      <c r="FBC41" s="6"/>
      <c r="FBD41" s="6"/>
      <c r="FBE41" s="6"/>
      <c r="FBF41" s="6"/>
      <c r="FBG41" s="6"/>
      <c r="FBH41" s="6"/>
      <c r="FBI41" s="6"/>
      <c r="FBJ41" s="6"/>
      <c r="FBK41" s="6"/>
      <c r="FBL41" s="6"/>
      <c r="FBM41" s="6"/>
      <c r="FBN41" s="6"/>
      <c r="FBO41" s="6"/>
      <c r="FBP41" s="6"/>
      <c r="FBQ41" s="6"/>
      <c r="FBR41" s="6"/>
      <c r="FBS41" s="6"/>
      <c r="FBT41" s="6"/>
      <c r="FBU41" s="6"/>
      <c r="FBV41" s="6"/>
      <c r="FBW41" s="6"/>
      <c r="FBX41" s="6"/>
      <c r="FBY41" s="6"/>
      <c r="FBZ41" s="6"/>
      <c r="FCA41" s="6"/>
      <c r="FCB41" s="6"/>
      <c r="FCC41" s="6"/>
      <c r="FCD41" s="6"/>
      <c r="FCE41" s="6"/>
      <c r="FCF41" s="6"/>
      <c r="FCG41" s="6"/>
      <c r="FCH41" s="6"/>
      <c r="FCI41" s="6"/>
      <c r="FCJ41" s="6"/>
      <c r="FCK41" s="6"/>
      <c r="FCL41" s="6"/>
      <c r="FCM41" s="6"/>
      <c r="FCN41" s="6"/>
      <c r="FCO41" s="6"/>
      <c r="FCP41" s="6"/>
      <c r="FCQ41" s="6"/>
      <c r="FCR41" s="6"/>
      <c r="FCS41" s="6"/>
      <c r="FCT41" s="6"/>
      <c r="FCU41" s="6"/>
      <c r="FCV41" s="6"/>
      <c r="FCW41" s="6"/>
      <c r="FCX41" s="6"/>
      <c r="FCY41" s="6"/>
      <c r="FCZ41" s="6"/>
      <c r="FDA41" s="6"/>
      <c r="FDB41" s="6"/>
      <c r="FDC41" s="6"/>
      <c r="FDD41" s="6"/>
      <c r="FDE41" s="6"/>
      <c r="FDF41" s="6"/>
      <c r="FDG41" s="6"/>
      <c r="FDH41" s="6"/>
      <c r="FDI41" s="6"/>
      <c r="FDJ41" s="6"/>
      <c r="FDK41" s="6"/>
      <c r="FDL41" s="6"/>
      <c r="FDM41" s="6"/>
      <c r="FDN41" s="6"/>
      <c r="FDO41" s="6"/>
      <c r="FDP41" s="6"/>
      <c r="FDQ41" s="6"/>
      <c r="FDR41" s="6"/>
      <c r="FDS41" s="6"/>
      <c r="FDT41" s="6"/>
      <c r="FDU41" s="6"/>
      <c r="FDV41" s="6"/>
      <c r="FDW41" s="6"/>
      <c r="FDX41" s="6"/>
      <c r="FDY41" s="6"/>
      <c r="FDZ41" s="6"/>
      <c r="FEA41" s="6"/>
      <c r="FEB41" s="6"/>
      <c r="FEC41" s="6"/>
      <c r="FED41" s="6"/>
      <c r="FEE41" s="6"/>
      <c r="FEF41" s="6"/>
      <c r="FEG41" s="6"/>
      <c r="FEH41" s="6"/>
      <c r="FEI41" s="6"/>
      <c r="FEJ41" s="6"/>
      <c r="FEK41" s="6"/>
      <c r="FEL41" s="6"/>
      <c r="FEM41" s="6"/>
      <c r="FEN41" s="6"/>
      <c r="FEO41" s="6"/>
      <c r="FEP41" s="6"/>
      <c r="FEQ41" s="6"/>
      <c r="FER41" s="6"/>
      <c r="FES41" s="6"/>
      <c r="FET41" s="6"/>
      <c r="FEU41" s="6"/>
      <c r="FEV41" s="6"/>
      <c r="FEW41" s="6"/>
      <c r="FEX41" s="6"/>
      <c r="FEY41" s="6"/>
      <c r="FEZ41" s="6"/>
      <c r="FFA41" s="6"/>
      <c r="FFB41" s="6"/>
      <c r="FFC41" s="6"/>
      <c r="FFD41" s="6"/>
      <c r="FFE41" s="6"/>
      <c r="FFF41" s="6"/>
      <c r="FFG41" s="6"/>
      <c r="FFH41" s="6"/>
      <c r="FFI41" s="6"/>
      <c r="FFJ41" s="6"/>
      <c r="FFK41" s="6"/>
      <c r="FFL41" s="6"/>
      <c r="FFM41" s="6"/>
      <c r="FFN41" s="6"/>
      <c r="FFO41" s="6"/>
      <c r="FFP41" s="6"/>
      <c r="FFQ41" s="6"/>
      <c r="FFR41" s="6"/>
      <c r="FFS41" s="6"/>
      <c r="FFT41" s="6"/>
      <c r="FFU41" s="6"/>
      <c r="FFV41" s="6"/>
      <c r="FFW41" s="6"/>
      <c r="FFX41" s="6"/>
      <c r="FFY41" s="6"/>
      <c r="FFZ41" s="6"/>
      <c r="FGA41" s="6"/>
      <c r="FGB41" s="6"/>
      <c r="FGC41" s="6"/>
      <c r="FGD41" s="6"/>
      <c r="FGE41" s="6"/>
      <c r="FGF41" s="6"/>
      <c r="FGG41" s="6"/>
      <c r="FGH41" s="6"/>
      <c r="FGI41" s="6"/>
      <c r="FGJ41" s="6"/>
      <c r="FGK41" s="6"/>
      <c r="FGL41" s="6"/>
      <c r="FGM41" s="6"/>
      <c r="FGN41" s="6"/>
      <c r="FGO41" s="6"/>
      <c r="FGP41" s="6"/>
      <c r="FGQ41" s="6"/>
      <c r="FGR41" s="6"/>
      <c r="FGS41" s="6"/>
      <c r="FGT41" s="6"/>
      <c r="FGU41" s="6"/>
      <c r="FGV41" s="6"/>
      <c r="FGW41" s="6"/>
      <c r="FGX41" s="6"/>
      <c r="FGY41" s="6"/>
      <c r="FGZ41" s="6"/>
      <c r="FHA41" s="6"/>
      <c r="FHB41" s="6"/>
      <c r="FHC41" s="6"/>
      <c r="FHD41" s="6"/>
      <c r="FHE41" s="6"/>
      <c r="FHF41" s="6"/>
      <c r="FHG41" s="6"/>
      <c r="FHH41" s="6"/>
      <c r="FHI41" s="6"/>
      <c r="FHJ41" s="6"/>
      <c r="FHK41" s="6"/>
      <c r="FHL41" s="6"/>
      <c r="FHM41" s="6"/>
      <c r="FHN41" s="6"/>
      <c r="FHO41" s="6"/>
      <c r="FHP41" s="6"/>
      <c r="FHQ41" s="6"/>
      <c r="FHR41" s="6"/>
      <c r="FHS41" s="6"/>
      <c r="FHT41" s="6"/>
      <c r="FHU41" s="6"/>
      <c r="FHV41" s="6"/>
      <c r="FHW41" s="6"/>
      <c r="FHX41" s="6"/>
      <c r="FHY41" s="6"/>
      <c r="FHZ41" s="6"/>
      <c r="FIA41" s="6"/>
      <c r="FIB41" s="6"/>
      <c r="FIC41" s="6"/>
      <c r="FID41" s="6"/>
      <c r="FIE41" s="6"/>
      <c r="FIF41" s="6"/>
      <c r="FIG41" s="6"/>
      <c r="FIH41" s="6"/>
      <c r="FII41" s="6"/>
      <c r="FIJ41" s="6"/>
      <c r="FIK41" s="6"/>
      <c r="FIL41" s="6"/>
      <c r="FIM41" s="6"/>
      <c r="FIN41" s="6"/>
      <c r="FIO41" s="6"/>
      <c r="FIP41" s="6"/>
      <c r="FIQ41" s="6"/>
      <c r="FIR41" s="6"/>
      <c r="FIS41" s="6"/>
      <c r="FIT41" s="6"/>
      <c r="FIU41" s="6"/>
      <c r="FIV41" s="6"/>
      <c r="FIW41" s="6"/>
      <c r="FIX41" s="6"/>
      <c r="FIY41" s="6"/>
      <c r="FIZ41" s="6"/>
      <c r="FJA41" s="6"/>
      <c r="FJB41" s="6"/>
      <c r="FJC41" s="6"/>
      <c r="FJD41" s="6"/>
      <c r="FJE41" s="6"/>
      <c r="FJF41" s="6"/>
      <c r="FJG41" s="6"/>
      <c r="FJH41" s="6"/>
      <c r="FJI41" s="6"/>
      <c r="FJJ41" s="6"/>
      <c r="FJK41" s="6"/>
      <c r="FJL41" s="6"/>
      <c r="FJM41" s="6"/>
      <c r="FJN41" s="6"/>
      <c r="FJO41" s="6"/>
      <c r="FJP41" s="6"/>
      <c r="FJQ41" s="6"/>
      <c r="FJR41" s="6"/>
      <c r="FJS41" s="6"/>
      <c r="FJT41" s="6"/>
      <c r="FJU41" s="6"/>
      <c r="FJV41" s="6"/>
      <c r="FJW41" s="6"/>
      <c r="FJX41" s="6"/>
      <c r="FJY41" s="6"/>
      <c r="FJZ41" s="6"/>
      <c r="FKA41" s="6"/>
      <c r="FKB41" s="6"/>
      <c r="FKC41" s="6"/>
      <c r="FKD41" s="6"/>
      <c r="FKE41" s="6"/>
      <c r="FKF41" s="6"/>
      <c r="FKG41" s="6"/>
      <c r="FKH41" s="6"/>
      <c r="FKI41" s="6"/>
      <c r="FKJ41" s="6"/>
      <c r="FKK41" s="6"/>
      <c r="FKL41" s="6"/>
      <c r="FKM41" s="6"/>
      <c r="FKN41" s="6"/>
      <c r="FKO41" s="6"/>
      <c r="FKP41" s="6"/>
      <c r="FKQ41" s="6"/>
      <c r="FKR41" s="6"/>
      <c r="FKS41" s="6"/>
      <c r="FKT41" s="6"/>
      <c r="FKU41" s="6"/>
      <c r="FKV41" s="6"/>
      <c r="FKW41" s="6"/>
      <c r="FKX41" s="6"/>
      <c r="FKY41" s="6"/>
      <c r="FKZ41" s="6"/>
      <c r="FLA41" s="6"/>
      <c r="FLB41" s="6"/>
      <c r="FLC41" s="6"/>
      <c r="FLD41" s="6"/>
      <c r="FLE41" s="6"/>
      <c r="FLF41" s="6"/>
      <c r="FLG41" s="6"/>
      <c r="FLH41" s="6"/>
      <c r="FLI41" s="6"/>
      <c r="FLJ41" s="6"/>
      <c r="FLK41" s="6"/>
      <c r="FLL41" s="6"/>
      <c r="FLM41" s="6"/>
      <c r="FLN41" s="6"/>
      <c r="FLO41" s="6"/>
      <c r="FLP41" s="6"/>
      <c r="FLQ41" s="6"/>
      <c r="FLR41" s="6"/>
      <c r="FLS41" s="6"/>
      <c r="FLT41" s="6"/>
      <c r="FLU41" s="6"/>
      <c r="FLV41" s="6"/>
      <c r="FLW41" s="6"/>
      <c r="FLX41" s="6"/>
      <c r="FLY41" s="6"/>
      <c r="FLZ41" s="6"/>
      <c r="FMA41" s="6"/>
      <c r="FMB41" s="6"/>
      <c r="FMC41" s="6"/>
      <c r="FMD41" s="6"/>
      <c r="FME41" s="6"/>
      <c r="FMF41" s="6"/>
      <c r="FMG41" s="6"/>
      <c r="FMH41" s="6"/>
      <c r="FMI41" s="6"/>
      <c r="FMJ41" s="6"/>
      <c r="FMK41" s="6"/>
      <c r="FML41" s="6"/>
      <c r="FMM41" s="6"/>
      <c r="FMN41" s="6"/>
      <c r="FMO41" s="6"/>
      <c r="FMP41" s="6"/>
      <c r="FMQ41" s="6"/>
      <c r="FMR41" s="6"/>
      <c r="FMS41" s="6"/>
      <c r="FMT41" s="6"/>
      <c r="FMU41" s="6"/>
      <c r="FMV41" s="6"/>
      <c r="FMW41" s="6"/>
      <c r="FMX41" s="6"/>
      <c r="FMY41" s="6"/>
      <c r="FMZ41" s="6"/>
      <c r="FNA41" s="6"/>
      <c r="FNB41" s="6"/>
      <c r="FNC41" s="6"/>
      <c r="FND41" s="6"/>
      <c r="FNE41" s="6"/>
      <c r="FNF41" s="6"/>
      <c r="FNG41" s="6"/>
      <c r="FNH41" s="6"/>
      <c r="FNI41" s="6"/>
      <c r="FNJ41" s="6"/>
      <c r="FNK41" s="6"/>
      <c r="FNL41" s="6"/>
      <c r="FNM41" s="6"/>
      <c r="FNN41" s="6"/>
      <c r="FNO41" s="6"/>
      <c r="FNP41" s="6"/>
      <c r="FNQ41" s="6"/>
      <c r="FNR41" s="6"/>
      <c r="FNS41" s="6"/>
      <c r="FNT41" s="6"/>
      <c r="FNU41" s="6"/>
      <c r="FNV41" s="6"/>
      <c r="FNW41" s="6"/>
      <c r="FNX41" s="6"/>
      <c r="FNY41" s="6"/>
      <c r="FNZ41" s="6"/>
      <c r="FOA41" s="6"/>
      <c r="FOB41" s="6"/>
      <c r="FOC41" s="6"/>
      <c r="FOD41" s="6"/>
      <c r="FOE41" s="6"/>
      <c r="FOF41" s="6"/>
      <c r="FOG41" s="6"/>
      <c r="FOH41" s="6"/>
      <c r="FOI41" s="6"/>
      <c r="FOJ41" s="6"/>
      <c r="FOK41" s="6"/>
      <c r="FOL41" s="6"/>
      <c r="FOM41" s="6"/>
      <c r="FON41" s="6"/>
      <c r="FOO41" s="6"/>
      <c r="FOP41" s="6"/>
      <c r="FOQ41" s="6"/>
      <c r="FOR41" s="6"/>
      <c r="FOS41" s="6"/>
      <c r="FOT41" s="6"/>
      <c r="FOU41" s="6"/>
      <c r="FOV41" s="6"/>
      <c r="FOW41" s="6"/>
      <c r="FOX41" s="6"/>
      <c r="FOY41" s="6"/>
      <c r="FOZ41" s="6"/>
      <c r="FPA41" s="6"/>
      <c r="FPB41" s="6"/>
      <c r="FPC41" s="6"/>
      <c r="FPD41" s="6"/>
      <c r="FPE41" s="6"/>
      <c r="FPF41" s="6"/>
      <c r="FPG41" s="6"/>
      <c r="FPH41" s="6"/>
      <c r="FPI41" s="6"/>
      <c r="FPJ41" s="6"/>
      <c r="FPK41" s="6"/>
      <c r="FPL41" s="6"/>
      <c r="FPM41" s="6"/>
      <c r="FPN41" s="6"/>
      <c r="FPO41" s="6"/>
      <c r="FPP41" s="6"/>
      <c r="FPQ41" s="6"/>
      <c r="FPR41" s="6"/>
      <c r="FPS41" s="6"/>
      <c r="FPT41" s="6"/>
      <c r="FPU41" s="6"/>
      <c r="FPV41" s="6"/>
      <c r="FPW41" s="6"/>
      <c r="FPX41" s="6"/>
      <c r="FPY41" s="6"/>
      <c r="FPZ41" s="6"/>
      <c r="FQA41" s="6"/>
      <c r="FQB41" s="6"/>
      <c r="FQC41" s="6"/>
      <c r="FQD41" s="6"/>
      <c r="FQE41" s="6"/>
      <c r="FQF41" s="6"/>
      <c r="FQG41" s="6"/>
      <c r="FQH41" s="6"/>
      <c r="FQI41" s="6"/>
      <c r="FQJ41" s="6"/>
      <c r="FQK41" s="6"/>
      <c r="FQL41" s="6"/>
      <c r="FQM41" s="6"/>
      <c r="FQN41" s="6"/>
      <c r="FQO41" s="6"/>
      <c r="FQP41" s="6"/>
      <c r="FQQ41" s="6"/>
      <c r="FQR41" s="6"/>
      <c r="FQS41" s="6"/>
      <c r="FQT41" s="6"/>
      <c r="FQU41" s="6"/>
      <c r="FQV41" s="6"/>
      <c r="FQW41" s="6"/>
      <c r="FQX41" s="6"/>
      <c r="FQY41" s="6"/>
      <c r="FQZ41" s="6"/>
      <c r="FRA41" s="6"/>
      <c r="FRB41" s="6"/>
      <c r="FRC41" s="6"/>
      <c r="FRD41" s="6"/>
      <c r="FRE41" s="6"/>
      <c r="FRF41" s="6"/>
      <c r="FRG41" s="6"/>
      <c r="FRH41" s="6"/>
      <c r="FRI41" s="6"/>
      <c r="FRJ41" s="6"/>
      <c r="FRK41" s="6"/>
      <c r="FRL41" s="6"/>
      <c r="FRM41" s="6"/>
      <c r="FRN41" s="6"/>
      <c r="FRO41" s="6"/>
      <c r="FRP41" s="6"/>
      <c r="FRQ41" s="6"/>
      <c r="FRR41" s="6"/>
      <c r="FRS41" s="6"/>
      <c r="FRT41" s="6"/>
      <c r="FRU41" s="6"/>
      <c r="FRV41" s="6"/>
      <c r="FRW41" s="6"/>
      <c r="FRX41" s="6"/>
      <c r="FRY41" s="6"/>
      <c r="FRZ41" s="6"/>
      <c r="FSA41" s="6"/>
      <c r="FSB41" s="6"/>
      <c r="FSC41" s="6"/>
      <c r="FSD41" s="6"/>
      <c r="FSE41" s="6"/>
      <c r="FSF41" s="6"/>
      <c r="FSG41" s="6"/>
      <c r="FSH41" s="6"/>
      <c r="FSI41" s="6"/>
      <c r="FSJ41" s="6"/>
      <c r="FSK41" s="6"/>
      <c r="FSL41" s="6"/>
      <c r="FSM41" s="6"/>
      <c r="FSN41" s="6"/>
      <c r="FSO41" s="6"/>
      <c r="FSP41" s="6"/>
      <c r="FSQ41" s="6"/>
      <c r="FSR41" s="6"/>
      <c r="FSS41" s="6"/>
      <c r="FST41" s="6"/>
      <c r="FSU41" s="6"/>
      <c r="FSV41" s="6"/>
      <c r="FSW41" s="6"/>
      <c r="FSX41" s="6"/>
      <c r="FSY41" s="6"/>
      <c r="FSZ41" s="6"/>
      <c r="FTA41" s="6"/>
      <c r="FTB41" s="6"/>
      <c r="FTC41" s="6"/>
      <c r="FTD41" s="6"/>
      <c r="FTE41" s="6"/>
      <c r="FTF41" s="6"/>
      <c r="FTG41" s="6"/>
      <c r="FTH41" s="6"/>
      <c r="FTI41" s="6"/>
      <c r="FTJ41" s="6"/>
      <c r="FTK41" s="6"/>
      <c r="FTL41" s="6"/>
      <c r="FTM41" s="6"/>
      <c r="FTN41" s="6"/>
      <c r="FTO41" s="6"/>
      <c r="FTP41" s="6"/>
      <c r="FTQ41" s="6"/>
      <c r="FTR41" s="6"/>
      <c r="FTS41" s="6"/>
      <c r="FTT41" s="6"/>
      <c r="FTU41" s="6"/>
      <c r="FTV41" s="6"/>
      <c r="FTW41" s="6"/>
      <c r="FTX41" s="6"/>
      <c r="FTY41" s="6"/>
      <c r="FTZ41" s="6"/>
      <c r="FUA41" s="6"/>
      <c r="FUB41" s="6"/>
      <c r="FUC41" s="6"/>
      <c r="FUD41" s="6"/>
      <c r="FUE41" s="6"/>
      <c r="FUF41" s="6"/>
      <c r="FUG41" s="6"/>
      <c r="FUH41" s="6"/>
      <c r="FUI41" s="6"/>
      <c r="FUJ41" s="6"/>
      <c r="FUK41" s="6"/>
      <c r="FUL41" s="6"/>
      <c r="FUM41" s="6"/>
      <c r="FUN41" s="6"/>
      <c r="FUO41" s="6"/>
      <c r="FUP41" s="6"/>
      <c r="FUQ41" s="6"/>
      <c r="FUR41" s="6"/>
      <c r="FUS41" s="6"/>
      <c r="FUT41" s="6"/>
      <c r="FUU41" s="6"/>
      <c r="FUV41" s="6"/>
      <c r="FUW41" s="6"/>
      <c r="FUX41" s="6"/>
      <c r="FUY41" s="6"/>
      <c r="FUZ41" s="6"/>
      <c r="FVA41" s="6"/>
      <c r="FVB41" s="6"/>
      <c r="FVC41" s="6"/>
      <c r="FVD41" s="6"/>
      <c r="FVE41" s="6"/>
      <c r="FVF41" s="6"/>
      <c r="FVG41" s="6"/>
      <c r="FVH41" s="6"/>
      <c r="FVI41" s="6"/>
      <c r="FVJ41" s="6"/>
      <c r="FVK41" s="6"/>
      <c r="FVL41" s="6"/>
      <c r="FVM41" s="6"/>
      <c r="FVN41" s="6"/>
      <c r="FVO41" s="6"/>
      <c r="FVP41" s="6"/>
      <c r="FVQ41" s="6"/>
      <c r="FVR41" s="6"/>
      <c r="FVS41" s="6"/>
      <c r="FVT41" s="6"/>
      <c r="FVU41" s="6"/>
      <c r="FVV41" s="6"/>
      <c r="FVW41" s="6"/>
      <c r="FVX41" s="6"/>
      <c r="FVY41" s="6"/>
      <c r="FVZ41" s="6"/>
      <c r="FWA41" s="6"/>
      <c r="FWB41" s="6"/>
      <c r="FWC41" s="6"/>
      <c r="FWD41" s="6"/>
      <c r="FWE41" s="6"/>
      <c r="FWF41" s="6"/>
      <c r="FWG41" s="6"/>
      <c r="FWH41" s="6"/>
      <c r="FWI41" s="6"/>
      <c r="FWJ41" s="6"/>
      <c r="FWK41" s="6"/>
      <c r="FWL41" s="6"/>
      <c r="FWM41" s="6"/>
      <c r="FWN41" s="6"/>
      <c r="FWO41" s="6"/>
      <c r="FWP41" s="6"/>
      <c r="FWQ41" s="6"/>
      <c r="FWR41" s="6"/>
      <c r="FWS41" s="6"/>
      <c r="FWT41" s="6"/>
      <c r="FWU41" s="6"/>
      <c r="FWV41" s="6"/>
      <c r="FWW41" s="6"/>
      <c r="FWX41" s="6"/>
      <c r="FWY41" s="6"/>
      <c r="FWZ41" s="6"/>
      <c r="FXA41" s="6"/>
      <c r="FXB41" s="6"/>
      <c r="FXC41" s="6"/>
      <c r="FXD41" s="6"/>
      <c r="FXE41" s="6"/>
      <c r="FXF41" s="6"/>
      <c r="FXG41" s="6"/>
      <c r="FXH41" s="6"/>
      <c r="FXI41" s="6"/>
      <c r="FXJ41" s="6"/>
      <c r="FXK41" s="6"/>
      <c r="FXL41" s="6"/>
      <c r="FXM41" s="6"/>
      <c r="FXN41" s="6"/>
      <c r="FXO41" s="6"/>
      <c r="FXP41" s="6"/>
      <c r="FXQ41" s="6"/>
      <c r="FXR41" s="6"/>
      <c r="FXS41" s="6"/>
      <c r="FXT41" s="6"/>
      <c r="FXU41" s="6"/>
      <c r="FXV41" s="6"/>
      <c r="FXW41" s="6"/>
      <c r="FXX41" s="6"/>
      <c r="FXY41" s="6"/>
      <c r="FXZ41" s="6"/>
      <c r="FYA41" s="6"/>
      <c r="FYB41" s="6"/>
      <c r="FYC41" s="6"/>
      <c r="FYD41" s="6"/>
      <c r="FYE41" s="6"/>
      <c r="FYF41" s="6"/>
      <c r="FYG41" s="6"/>
      <c r="FYH41" s="6"/>
      <c r="FYI41" s="6"/>
      <c r="FYJ41" s="6"/>
      <c r="FYK41" s="6"/>
      <c r="FYL41" s="6"/>
      <c r="FYM41" s="6"/>
      <c r="FYN41" s="6"/>
      <c r="FYO41" s="6"/>
      <c r="FYP41" s="6"/>
      <c r="FYQ41" s="6"/>
      <c r="FYR41" s="6"/>
      <c r="FYS41" s="6"/>
      <c r="FYT41" s="6"/>
      <c r="FYU41" s="6"/>
      <c r="FYV41" s="6"/>
      <c r="FYW41" s="6"/>
      <c r="FYX41" s="6"/>
      <c r="FYY41" s="6"/>
      <c r="FYZ41" s="6"/>
      <c r="FZA41" s="6"/>
      <c r="FZB41" s="6"/>
      <c r="FZC41" s="6"/>
      <c r="FZD41" s="6"/>
      <c r="FZE41" s="6"/>
      <c r="FZF41" s="6"/>
      <c r="FZG41" s="6"/>
      <c r="FZH41" s="6"/>
      <c r="FZI41" s="6"/>
      <c r="FZJ41" s="6"/>
      <c r="FZK41" s="6"/>
      <c r="FZL41" s="6"/>
      <c r="FZM41" s="6"/>
      <c r="FZN41" s="6"/>
      <c r="FZO41" s="6"/>
      <c r="FZP41" s="6"/>
      <c r="FZQ41" s="6"/>
      <c r="FZR41" s="6"/>
      <c r="FZS41" s="6"/>
      <c r="FZT41" s="6"/>
      <c r="FZU41" s="6"/>
      <c r="FZV41" s="6"/>
      <c r="FZW41" s="6"/>
      <c r="FZX41" s="6"/>
      <c r="FZY41" s="6"/>
      <c r="FZZ41" s="6"/>
      <c r="GAA41" s="6"/>
      <c r="GAB41" s="6"/>
      <c r="GAC41" s="6"/>
      <c r="GAD41" s="6"/>
      <c r="GAE41" s="6"/>
      <c r="GAF41" s="6"/>
      <c r="GAG41" s="6"/>
      <c r="GAH41" s="6"/>
      <c r="GAI41" s="6"/>
      <c r="GAJ41" s="6"/>
      <c r="GAK41" s="6"/>
      <c r="GAL41" s="6"/>
      <c r="GAM41" s="6"/>
      <c r="GAN41" s="6"/>
      <c r="GAO41" s="6"/>
      <c r="GAP41" s="6"/>
      <c r="GAQ41" s="6"/>
      <c r="GAR41" s="6"/>
      <c r="GAS41" s="6"/>
      <c r="GAT41" s="6"/>
      <c r="GAU41" s="6"/>
      <c r="GAV41" s="6"/>
      <c r="GAW41" s="6"/>
      <c r="GAX41" s="6"/>
      <c r="GAY41" s="6"/>
      <c r="GAZ41" s="6"/>
      <c r="GBA41" s="6"/>
      <c r="GBB41" s="6"/>
      <c r="GBC41" s="6"/>
      <c r="GBD41" s="6"/>
      <c r="GBE41" s="6"/>
      <c r="GBF41" s="6"/>
      <c r="GBG41" s="6"/>
      <c r="GBH41" s="6"/>
      <c r="GBI41" s="6"/>
      <c r="GBJ41" s="6"/>
      <c r="GBK41" s="6"/>
      <c r="GBL41" s="6"/>
      <c r="GBM41" s="6"/>
      <c r="GBN41" s="6"/>
      <c r="GBO41" s="6"/>
      <c r="GBP41" s="6"/>
      <c r="GBQ41" s="6"/>
      <c r="GBR41" s="6"/>
      <c r="GBS41" s="6"/>
      <c r="GBT41" s="6"/>
      <c r="GBU41" s="6"/>
      <c r="GBV41" s="6"/>
      <c r="GBW41" s="6"/>
      <c r="GBX41" s="6"/>
      <c r="GBY41" s="6"/>
      <c r="GBZ41" s="6"/>
      <c r="GCA41" s="6"/>
      <c r="GCB41" s="6"/>
      <c r="GCC41" s="6"/>
      <c r="GCD41" s="6"/>
      <c r="GCE41" s="6"/>
      <c r="GCF41" s="6"/>
      <c r="GCG41" s="6"/>
      <c r="GCH41" s="6"/>
      <c r="GCI41" s="6"/>
      <c r="GCJ41" s="6"/>
      <c r="GCK41" s="6"/>
      <c r="GCL41" s="6"/>
      <c r="GCM41" s="6"/>
      <c r="GCN41" s="6"/>
      <c r="GCO41" s="6"/>
      <c r="GCP41" s="6"/>
      <c r="GCQ41" s="6"/>
      <c r="GCR41" s="6"/>
      <c r="GCS41" s="6"/>
      <c r="GCT41" s="6"/>
      <c r="GCU41" s="6"/>
      <c r="GCV41" s="6"/>
      <c r="GCW41" s="6"/>
      <c r="GCX41" s="6"/>
      <c r="GCY41" s="6"/>
      <c r="GCZ41" s="6"/>
      <c r="GDA41" s="6"/>
      <c r="GDB41" s="6"/>
      <c r="GDC41" s="6"/>
      <c r="GDD41" s="6"/>
      <c r="GDE41" s="6"/>
      <c r="GDF41" s="6"/>
      <c r="GDG41" s="6"/>
      <c r="GDH41" s="6"/>
      <c r="GDI41" s="6"/>
      <c r="GDJ41" s="6"/>
      <c r="GDK41" s="6"/>
      <c r="GDL41" s="6"/>
      <c r="GDM41" s="6"/>
      <c r="GDN41" s="6"/>
      <c r="GDO41" s="6"/>
      <c r="GDP41" s="6"/>
      <c r="GDQ41" s="6"/>
      <c r="GDR41" s="6"/>
      <c r="GDS41" s="6"/>
      <c r="GDT41" s="6"/>
      <c r="GDU41" s="6"/>
      <c r="GDV41" s="6"/>
      <c r="GDW41" s="6"/>
      <c r="GDX41" s="6"/>
      <c r="GDY41" s="6"/>
      <c r="GDZ41" s="6"/>
      <c r="GEA41" s="6"/>
      <c r="GEB41" s="6"/>
      <c r="GEC41" s="6"/>
      <c r="GED41" s="6"/>
      <c r="GEE41" s="6"/>
      <c r="GEF41" s="6"/>
      <c r="GEG41" s="6"/>
      <c r="GEH41" s="6"/>
      <c r="GEI41" s="6"/>
      <c r="GEJ41" s="6"/>
      <c r="GEK41" s="6"/>
      <c r="GEL41" s="6"/>
      <c r="GEM41" s="6"/>
      <c r="GEN41" s="6"/>
      <c r="GEO41" s="6"/>
      <c r="GEP41" s="6"/>
      <c r="GEQ41" s="6"/>
      <c r="GER41" s="6"/>
      <c r="GES41" s="6"/>
      <c r="GET41" s="6"/>
      <c r="GEU41" s="6"/>
      <c r="GEV41" s="6"/>
      <c r="GEW41" s="6"/>
      <c r="GEX41" s="6"/>
      <c r="GEY41" s="6"/>
      <c r="GEZ41" s="6"/>
      <c r="GFA41" s="6"/>
      <c r="GFB41" s="6"/>
      <c r="GFC41" s="6"/>
      <c r="GFD41" s="6"/>
      <c r="GFE41" s="6"/>
      <c r="GFF41" s="6"/>
      <c r="GFG41" s="6"/>
      <c r="GFH41" s="6"/>
      <c r="GFI41" s="6"/>
      <c r="GFJ41" s="6"/>
      <c r="GFK41" s="6"/>
      <c r="GFL41" s="6"/>
      <c r="GFM41" s="6"/>
      <c r="GFN41" s="6"/>
      <c r="GFO41" s="6"/>
      <c r="GFP41" s="6"/>
      <c r="GFQ41" s="6"/>
      <c r="GFR41" s="6"/>
      <c r="GFS41" s="6"/>
      <c r="GFT41" s="6"/>
      <c r="GFU41" s="6"/>
      <c r="GFV41" s="6"/>
      <c r="GFW41" s="6"/>
      <c r="GFX41" s="6"/>
      <c r="GFY41" s="6"/>
      <c r="GFZ41" s="6"/>
      <c r="GGA41" s="6"/>
      <c r="GGB41" s="6"/>
      <c r="GGC41" s="6"/>
      <c r="GGD41" s="6"/>
      <c r="GGE41" s="6"/>
      <c r="GGF41" s="6"/>
      <c r="GGG41" s="6"/>
      <c r="GGH41" s="6"/>
      <c r="GGI41" s="6"/>
      <c r="GGJ41" s="6"/>
      <c r="GGK41" s="6"/>
      <c r="GGL41" s="6"/>
      <c r="GGM41" s="6"/>
      <c r="GGN41" s="6"/>
      <c r="GGO41" s="6"/>
      <c r="GGP41" s="6"/>
      <c r="GGQ41" s="6"/>
      <c r="GGR41" s="6"/>
      <c r="GGS41" s="6"/>
      <c r="GGT41" s="6"/>
      <c r="GGU41" s="6"/>
      <c r="GGV41" s="6"/>
      <c r="GGW41" s="6"/>
      <c r="GGX41" s="6"/>
      <c r="GGY41" s="6"/>
      <c r="GGZ41" s="6"/>
      <c r="GHA41" s="6"/>
      <c r="GHB41" s="6"/>
      <c r="GHC41" s="6"/>
      <c r="GHD41" s="6"/>
      <c r="GHE41" s="6"/>
      <c r="GHF41" s="6"/>
      <c r="GHG41" s="6"/>
      <c r="GHH41" s="6"/>
      <c r="GHI41" s="6"/>
      <c r="GHJ41" s="6"/>
      <c r="GHK41" s="6"/>
      <c r="GHL41" s="6"/>
      <c r="GHM41" s="6"/>
      <c r="GHN41" s="6"/>
      <c r="GHO41" s="6"/>
      <c r="GHP41" s="6"/>
      <c r="GHQ41" s="6"/>
      <c r="GHR41" s="6"/>
      <c r="GHS41" s="6"/>
      <c r="GHT41" s="6"/>
      <c r="GHU41" s="6"/>
      <c r="GHV41" s="6"/>
      <c r="GHW41" s="6"/>
      <c r="GHX41" s="6"/>
      <c r="GHY41" s="6"/>
      <c r="GHZ41" s="6"/>
      <c r="GIA41" s="6"/>
      <c r="GIB41" s="6"/>
      <c r="GIC41" s="6"/>
      <c r="GID41" s="6"/>
      <c r="GIE41" s="6"/>
      <c r="GIF41" s="6"/>
      <c r="GIG41" s="6"/>
      <c r="GIH41" s="6"/>
      <c r="GII41" s="6"/>
      <c r="GIJ41" s="6"/>
      <c r="GIK41" s="6"/>
      <c r="GIL41" s="6"/>
      <c r="GIM41" s="6"/>
      <c r="GIN41" s="6"/>
      <c r="GIO41" s="6"/>
      <c r="GIP41" s="6"/>
      <c r="GIQ41" s="6"/>
      <c r="GIR41" s="6"/>
      <c r="GIS41" s="6"/>
      <c r="GIT41" s="6"/>
      <c r="GIU41" s="6"/>
      <c r="GIV41" s="6"/>
      <c r="GIW41" s="6"/>
      <c r="GIX41" s="6"/>
      <c r="GIY41" s="6"/>
      <c r="GIZ41" s="6"/>
      <c r="GJA41" s="6"/>
      <c r="GJB41" s="6"/>
      <c r="GJC41" s="6"/>
      <c r="GJD41" s="6"/>
      <c r="GJE41" s="6"/>
      <c r="GJF41" s="6"/>
      <c r="GJG41" s="6"/>
      <c r="GJH41" s="6"/>
      <c r="GJI41" s="6"/>
      <c r="GJJ41" s="6"/>
      <c r="GJK41" s="6"/>
      <c r="GJL41" s="6"/>
      <c r="GJM41" s="6"/>
      <c r="GJN41" s="6"/>
      <c r="GJO41" s="6"/>
      <c r="GJP41" s="6"/>
      <c r="GJQ41" s="6"/>
      <c r="GJR41" s="6"/>
      <c r="GJS41" s="6"/>
      <c r="GJT41" s="6"/>
      <c r="GJU41" s="6"/>
      <c r="GJV41" s="6"/>
      <c r="GJW41" s="6"/>
      <c r="GJX41" s="6"/>
      <c r="GJY41" s="6"/>
      <c r="GJZ41" s="6"/>
      <c r="GKA41" s="6"/>
      <c r="GKB41" s="6"/>
      <c r="GKC41" s="6"/>
      <c r="GKD41" s="6"/>
      <c r="GKE41" s="6"/>
      <c r="GKF41" s="6"/>
      <c r="GKG41" s="6"/>
      <c r="GKH41" s="6"/>
      <c r="GKI41" s="6"/>
      <c r="GKJ41" s="6"/>
      <c r="GKK41" s="6"/>
      <c r="GKL41" s="6"/>
      <c r="GKM41" s="6"/>
      <c r="GKN41" s="6"/>
      <c r="GKO41" s="6"/>
      <c r="GKP41" s="6"/>
      <c r="GKQ41" s="6"/>
      <c r="GKR41" s="6"/>
      <c r="GKS41" s="6"/>
      <c r="GKT41" s="6"/>
      <c r="GKU41" s="6"/>
      <c r="GKV41" s="6"/>
      <c r="GKW41" s="6"/>
      <c r="GKX41" s="6"/>
      <c r="GKY41" s="6"/>
      <c r="GKZ41" s="6"/>
      <c r="GLA41" s="6"/>
      <c r="GLB41" s="6"/>
      <c r="GLC41" s="6"/>
      <c r="GLD41" s="6"/>
      <c r="GLE41" s="6"/>
      <c r="GLF41" s="6"/>
      <c r="GLG41" s="6"/>
      <c r="GLH41" s="6"/>
      <c r="GLI41" s="6"/>
      <c r="GLJ41" s="6"/>
      <c r="GLK41" s="6"/>
      <c r="GLL41" s="6"/>
      <c r="GLM41" s="6"/>
      <c r="GLN41" s="6"/>
      <c r="GLO41" s="6"/>
      <c r="GLP41" s="6"/>
      <c r="GLQ41" s="6"/>
      <c r="GLR41" s="6"/>
      <c r="GLS41" s="6"/>
      <c r="GLT41" s="6"/>
      <c r="GLU41" s="6"/>
      <c r="GLV41" s="6"/>
      <c r="GLW41" s="6"/>
      <c r="GLX41" s="6"/>
      <c r="GLY41" s="6"/>
      <c r="GLZ41" s="6"/>
      <c r="GMA41" s="6"/>
      <c r="GMB41" s="6"/>
      <c r="GMC41" s="6"/>
      <c r="GMD41" s="6"/>
      <c r="GME41" s="6"/>
      <c r="GMF41" s="6"/>
      <c r="GMG41" s="6"/>
      <c r="GMH41" s="6"/>
      <c r="GMI41" s="6"/>
      <c r="GMJ41" s="6"/>
      <c r="GMK41" s="6"/>
      <c r="GML41" s="6"/>
      <c r="GMM41" s="6"/>
      <c r="GMN41" s="6"/>
      <c r="GMO41" s="6"/>
      <c r="GMP41" s="6"/>
      <c r="GMQ41" s="6"/>
      <c r="GMR41" s="6"/>
      <c r="GMS41" s="6"/>
      <c r="GMT41" s="6"/>
      <c r="GMU41" s="6"/>
      <c r="GMV41" s="6"/>
      <c r="GMW41" s="6"/>
      <c r="GMX41" s="6"/>
      <c r="GMY41" s="6"/>
      <c r="GMZ41" s="6"/>
      <c r="GNA41" s="6"/>
      <c r="GNB41" s="6"/>
      <c r="GNC41" s="6"/>
      <c r="GND41" s="6"/>
      <c r="GNE41" s="6"/>
      <c r="GNF41" s="6"/>
      <c r="GNG41" s="6"/>
      <c r="GNH41" s="6"/>
      <c r="GNI41" s="6"/>
      <c r="GNJ41" s="6"/>
      <c r="GNK41" s="6"/>
      <c r="GNL41" s="6"/>
      <c r="GNM41" s="6"/>
      <c r="GNN41" s="6"/>
      <c r="GNO41" s="6"/>
      <c r="GNP41" s="6"/>
      <c r="GNQ41" s="6"/>
      <c r="GNR41" s="6"/>
      <c r="GNS41" s="6"/>
      <c r="GNT41" s="6"/>
      <c r="GNU41" s="6"/>
      <c r="GNV41" s="6"/>
      <c r="GNW41" s="6"/>
      <c r="GNX41" s="6"/>
      <c r="GNY41" s="6"/>
      <c r="GNZ41" s="6"/>
      <c r="GOA41" s="6"/>
      <c r="GOB41" s="6"/>
      <c r="GOC41" s="6"/>
      <c r="GOD41" s="6"/>
      <c r="GOE41" s="6"/>
      <c r="GOF41" s="6"/>
      <c r="GOG41" s="6"/>
      <c r="GOH41" s="6"/>
      <c r="GOI41" s="6"/>
      <c r="GOJ41" s="6"/>
      <c r="GOK41" s="6"/>
      <c r="GOL41" s="6"/>
      <c r="GOM41" s="6"/>
      <c r="GON41" s="6"/>
      <c r="GOO41" s="6"/>
      <c r="GOP41" s="6"/>
      <c r="GOQ41" s="6"/>
      <c r="GOR41" s="6"/>
      <c r="GOS41" s="6"/>
      <c r="GOT41" s="6"/>
      <c r="GOU41" s="6"/>
      <c r="GOV41" s="6"/>
      <c r="GOW41" s="6"/>
      <c r="GOX41" s="6"/>
      <c r="GOY41" s="6"/>
      <c r="GOZ41" s="6"/>
      <c r="GPA41" s="6"/>
      <c r="GPB41" s="6"/>
      <c r="GPC41" s="6"/>
      <c r="GPD41" s="6"/>
      <c r="GPE41" s="6"/>
      <c r="GPF41" s="6"/>
      <c r="GPG41" s="6"/>
      <c r="GPH41" s="6"/>
      <c r="GPI41" s="6"/>
      <c r="GPJ41" s="6"/>
      <c r="GPK41" s="6"/>
      <c r="GPL41" s="6"/>
      <c r="GPM41" s="6"/>
      <c r="GPN41" s="6"/>
      <c r="GPO41" s="6"/>
      <c r="GPP41" s="6"/>
      <c r="GPQ41" s="6"/>
      <c r="GPR41" s="6"/>
      <c r="GPS41" s="6"/>
      <c r="GPT41" s="6"/>
      <c r="GPU41" s="6"/>
      <c r="GPV41" s="6"/>
      <c r="GPW41" s="6"/>
      <c r="GPX41" s="6"/>
      <c r="GPY41" s="6"/>
      <c r="GPZ41" s="6"/>
      <c r="GQA41" s="6"/>
      <c r="GQB41" s="6"/>
      <c r="GQC41" s="6"/>
      <c r="GQD41" s="6"/>
      <c r="GQE41" s="6"/>
      <c r="GQF41" s="6"/>
      <c r="GQG41" s="6"/>
      <c r="GQH41" s="6"/>
      <c r="GQI41" s="6"/>
      <c r="GQJ41" s="6"/>
      <c r="GQK41" s="6"/>
      <c r="GQL41" s="6"/>
      <c r="GQM41" s="6"/>
      <c r="GQN41" s="6"/>
      <c r="GQO41" s="6"/>
      <c r="GQP41" s="6"/>
      <c r="GQQ41" s="6"/>
      <c r="GQR41" s="6"/>
      <c r="GQS41" s="6"/>
      <c r="GQT41" s="6"/>
      <c r="GQU41" s="6"/>
      <c r="GQV41" s="6"/>
      <c r="GQW41" s="6"/>
      <c r="GQX41" s="6"/>
      <c r="GQY41" s="6"/>
      <c r="GQZ41" s="6"/>
      <c r="GRA41" s="6"/>
      <c r="GRB41" s="6"/>
      <c r="GRC41" s="6"/>
      <c r="GRD41" s="6"/>
      <c r="GRE41" s="6"/>
      <c r="GRF41" s="6"/>
      <c r="GRG41" s="6"/>
      <c r="GRH41" s="6"/>
      <c r="GRI41" s="6"/>
      <c r="GRJ41" s="6"/>
      <c r="GRK41" s="6"/>
      <c r="GRL41" s="6"/>
      <c r="GRM41" s="6"/>
      <c r="GRN41" s="6"/>
      <c r="GRO41" s="6"/>
      <c r="GRP41" s="6"/>
      <c r="GRQ41" s="6"/>
      <c r="GRR41" s="6"/>
      <c r="GRS41" s="6"/>
      <c r="GRT41" s="6"/>
      <c r="GRU41" s="6"/>
      <c r="GRV41" s="6"/>
      <c r="GRW41" s="6"/>
      <c r="GRX41" s="6"/>
      <c r="GRY41" s="6"/>
      <c r="GRZ41" s="6"/>
      <c r="GSA41" s="6"/>
      <c r="GSB41" s="6"/>
      <c r="GSC41" s="6"/>
      <c r="GSD41" s="6"/>
      <c r="GSE41" s="6"/>
      <c r="GSF41" s="6"/>
      <c r="GSG41" s="6"/>
      <c r="GSH41" s="6"/>
      <c r="GSI41" s="6"/>
      <c r="GSJ41" s="6"/>
      <c r="GSK41" s="6"/>
      <c r="GSL41" s="6"/>
      <c r="GSM41" s="6"/>
      <c r="GSN41" s="6"/>
      <c r="GSO41" s="6"/>
      <c r="GSP41" s="6"/>
      <c r="GSQ41" s="6"/>
      <c r="GSR41" s="6"/>
      <c r="GSS41" s="6"/>
      <c r="GST41" s="6"/>
      <c r="GSU41" s="6"/>
      <c r="GSV41" s="6"/>
      <c r="GSW41" s="6"/>
      <c r="GSX41" s="6"/>
      <c r="GSY41" s="6"/>
      <c r="GSZ41" s="6"/>
      <c r="GTA41" s="6"/>
      <c r="GTB41" s="6"/>
      <c r="GTC41" s="6"/>
      <c r="GTD41" s="6"/>
      <c r="GTE41" s="6"/>
      <c r="GTF41" s="6"/>
      <c r="GTG41" s="6"/>
      <c r="GTH41" s="6"/>
      <c r="GTI41" s="6"/>
      <c r="GTJ41" s="6"/>
      <c r="GTK41" s="6"/>
      <c r="GTL41" s="6"/>
      <c r="GTM41" s="6"/>
      <c r="GTN41" s="6"/>
      <c r="GTO41" s="6"/>
      <c r="GTP41" s="6"/>
      <c r="GTQ41" s="6"/>
      <c r="GTR41" s="6"/>
      <c r="GTS41" s="6"/>
      <c r="GTT41" s="6"/>
      <c r="GTU41" s="6"/>
      <c r="GTV41" s="6"/>
      <c r="GTW41" s="6"/>
      <c r="GTX41" s="6"/>
      <c r="GTY41" s="6"/>
      <c r="GTZ41" s="6"/>
      <c r="GUA41" s="6"/>
      <c r="GUB41" s="6"/>
      <c r="GUC41" s="6"/>
      <c r="GUD41" s="6"/>
      <c r="GUE41" s="6"/>
      <c r="GUF41" s="6"/>
      <c r="GUG41" s="6"/>
      <c r="GUH41" s="6"/>
      <c r="GUI41" s="6"/>
      <c r="GUJ41" s="6"/>
      <c r="GUK41" s="6"/>
      <c r="GUL41" s="6"/>
      <c r="GUM41" s="6"/>
      <c r="GUN41" s="6"/>
      <c r="GUO41" s="6"/>
      <c r="GUP41" s="6"/>
      <c r="GUQ41" s="6"/>
      <c r="GUR41" s="6"/>
      <c r="GUS41" s="6"/>
      <c r="GUT41" s="6"/>
      <c r="GUU41" s="6"/>
      <c r="GUV41" s="6"/>
      <c r="GUW41" s="6"/>
      <c r="GUX41" s="6"/>
      <c r="GUY41" s="6"/>
      <c r="GUZ41" s="6"/>
      <c r="GVA41" s="6"/>
      <c r="GVB41" s="6"/>
      <c r="GVC41" s="6"/>
      <c r="GVD41" s="6"/>
      <c r="GVE41" s="6"/>
      <c r="GVF41" s="6"/>
      <c r="GVG41" s="6"/>
      <c r="GVH41" s="6"/>
      <c r="GVI41" s="6"/>
      <c r="GVJ41" s="6"/>
      <c r="GVK41" s="6"/>
      <c r="GVL41" s="6"/>
      <c r="GVM41" s="6"/>
      <c r="GVN41" s="6"/>
      <c r="GVO41" s="6"/>
      <c r="GVP41" s="6"/>
      <c r="GVQ41" s="6"/>
      <c r="GVR41" s="6"/>
      <c r="GVS41" s="6"/>
      <c r="GVT41" s="6"/>
      <c r="GVU41" s="6"/>
      <c r="GVV41" s="6"/>
      <c r="GVW41" s="6"/>
      <c r="GVX41" s="6"/>
      <c r="GVY41" s="6"/>
      <c r="GVZ41" s="6"/>
      <c r="GWA41" s="6"/>
      <c r="GWB41" s="6"/>
      <c r="GWC41" s="6"/>
      <c r="GWD41" s="6"/>
      <c r="GWE41" s="6"/>
      <c r="GWF41" s="6"/>
      <c r="GWG41" s="6"/>
      <c r="GWH41" s="6"/>
      <c r="GWI41" s="6"/>
      <c r="GWJ41" s="6"/>
      <c r="GWK41" s="6"/>
      <c r="GWL41" s="6"/>
      <c r="GWM41" s="6"/>
      <c r="GWN41" s="6"/>
      <c r="GWO41" s="6"/>
      <c r="GWP41" s="6"/>
      <c r="GWQ41" s="6"/>
      <c r="GWR41" s="6"/>
      <c r="GWS41" s="6"/>
      <c r="GWT41" s="6"/>
      <c r="GWU41" s="6"/>
      <c r="GWV41" s="6"/>
      <c r="GWW41" s="6"/>
      <c r="GWX41" s="6"/>
      <c r="GWY41" s="6"/>
      <c r="GWZ41" s="6"/>
      <c r="GXA41" s="6"/>
      <c r="GXB41" s="6"/>
      <c r="GXC41" s="6"/>
      <c r="GXD41" s="6"/>
      <c r="GXE41" s="6"/>
      <c r="GXF41" s="6"/>
      <c r="GXG41" s="6"/>
      <c r="GXH41" s="6"/>
      <c r="GXI41" s="6"/>
      <c r="GXJ41" s="6"/>
      <c r="GXK41" s="6"/>
      <c r="GXL41" s="6"/>
      <c r="GXM41" s="6"/>
      <c r="GXN41" s="6"/>
      <c r="GXO41" s="6"/>
      <c r="GXP41" s="6"/>
      <c r="GXQ41" s="6"/>
      <c r="GXR41" s="6"/>
      <c r="GXS41" s="6"/>
      <c r="GXT41" s="6"/>
      <c r="GXU41" s="6"/>
      <c r="GXV41" s="6"/>
      <c r="GXW41" s="6"/>
      <c r="GXX41" s="6"/>
      <c r="GXY41" s="6"/>
      <c r="GXZ41" s="6"/>
      <c r="GYA41" s="6"/>
      <c r="GYB41" s="6"/>
      <c r="GYC41" s="6"/>
      <c r="GYD41" s="6"/>
      <c r="GYE41" s="6"/>
      <c r="GYF41" s="6"/>
      <c r="GYG41" s="6"/>
      <c r="GYH41" s="6"/>
      <c r="GYI41" s="6"/>
      <c r="GYJ41" s="6"/>
      <c r="GYK41" s="6"/>
      <c r="GYL41" s="6"/>
      <c r="GYM41" s="6"/>
      <c r="GYN41" s="6"/>
      <c r="GYO41" s="6"/>
      <c r="GYP41" s="6"/>
      <c r="GYQ41" s="6"/>
      <c r="GYR41" s="6"/>
      <c r="GYS41" s="6"/>
      <c r="GYT41" s="6"/>
      <c r="GYU41" s="6"/>
      <c r="GYV41" s="6"/>
      <c r="GYW41" s="6"/>
      <c r="GYX41" s="6"/>
      <c r="GYY41" s="6"/>
      <c r="GYZ41" s="6"/>
      <c r="GZA41" s="6"/>
      <c r="GZB41" s="6"/>
      <c r="GZC41" s="6"/>
      <c r="GZD41" s="6"/>
      <c r="GZE41" s="6"/>
      <c r="GZF41" s="6"/>
      <c r="GZG41" s="6"/>
      <c r="GZH41" s="6"/>
      <c r="GZI41" s="6"/>
      <c r="GZJ41" s="6"/>
      <c r="GZK41" s="6"/>
      <c r="GZL41" s="6"/>
      <c r="GZM41" s="6"/>
      <c r="GZN41" s="6"/>
      <c r="GZO41" s="6"/>
      <c r="GZP41" s="6"/>
      <c r="GZQ41" s="6"/>
      <c r="GZR41" s="6"/>
      <c r="GZS41" s="6"/>
      <c r="GZT41" s="6"/>
      <c r="GZU41" s="6"/>
      <c r="GZV41" s="6"/>
      <c r="GZW41" s="6"/>
      <c r="GZX41" s="6"/>
      <c r="GZY41" s="6"/>
      <c r="GZZ41" s="6"/>
      <c r="HAA41" s="6"/>
      <c r="HAB41" s="6"/>
      <c r="HAC41" s="6"/>
      <c r="HAD41" s="6"/>
      <c r="HAE41" s="6"/>
      <c r="HAF41" s="6"/>
      <c r="HAG41" s="6"/>
      <c r="HAH41" s="6"/>
      <c r="HAI41" s="6"/>
      <c r="HAJ41" s="6"/>
      <c r="HAK41" s="6"/>
      <c r="HAL41" s="6"/>
      <c r="HAM41" s="6"/>
      <c r="HAN41" s="6"/>
      <c r="HAO41" s="6"/>
      <c r="HAP41" s="6"/>
      <c r="HAQ41" s="6"/>
      <c r="HAR41" s="6"/>
      <c r="HAS41" s="6"/>
      <c r="HAT41" s="6"/>
      <c r="HAU41" s="6"/>
      <c r="HAV41" s="6"/>
      <c r="HAW41" s="6"/>
      <c r="HAX41" s="6"/>
      <c r="HAY41" s="6"/>
      <c r="HAZ41" s="6"/>
      <c r="HBA41" s="6"/>
      <c r="HBB41" s="6"/>
      <c r="HBC41" s="6"/>
      <c r="HBD41" s="6"/>
      <c r="HBE41" s="6"/>
      <c r="HBF41" s="6"/>
      <c r="HBG41" s="6"/>
      <c r="HBH41" s="6"/>
      <c r="HBI41" s="6"/>
      <c r="HBJ41" s="6"/>
      <c r="HBK41" s="6"/>
      <c r="HBL41" s="6"/>
      <c r="HBM41" s="6"/>
      <c r="HBN41" s="6"/>
      <c r="HBO41" s="6"/>
      <c r="HBP41" s="6"/>
      <c r="HBQ41" s="6"/>
      <c r="HBR41" s="6"/>
      <c r="HBS41" s="6"/>
      <c r="HBT41" s="6"/>
      <c r="HBU41" s="6"/>
      <c r="HBV41" s="6"/>
      <c r="HBW41" s="6"/>
      <c r="HBX41" s="6"/>
      <c r="HBY41" s="6"/>
      <c r="HBZ41" s="6"/>
      <c r="HCA41" s="6"/>
      <c r="HCB41" s="6"/>
      <c r="HCC41" s="6"/>
      <c r="HCD41" s="6"/>
      <c r="HCE41" s="6"/>
      <c r="HCF41" s="6"/>
      <c r="HCG41" s="6"/>
      <c r="HCH41" s="6"/>
      <c r="HCI41" s="6"/>
      <c r="HCJ41" s="6"/>
      <c r="HCK41" s="6"/>
      <c r="HCL41" s="6"/>
      <c r="HCM41" s="6"/>
      <c r="HCN41" s="6"/>
      <c r="HCO41" s="6"/>
      <c r="HCP41" s="6"/>
      <c r="HCQ41" s="6"/>
      <c r="HCR41" s="6"/>
      <c r="HCS41" s="6"/>
      <c r="HCT41" s="6"/>
      <c r="HCU41" s="6"/>
      <c r="HCV41" s="6"/>
      <c r="HCW41" s="6"/>
      <c r="HCX41" s="6"/>
      <c r="HCY41" s="6"/>
      <c r="HCZ41" s="6"/>
      <c r="HDA41" s="6"/>
      <c r="HDB41" s="6"/>
      <c r="HDC41" s="6"/>
      <c r="HDD41" s="6"/>
      <c r="HDE41" s="6"/>
      <c r="HDF41" s="6"/>
      <c r="HDG41" s="6"/>
      <c r="HDH41" s="6"/>
      <c r="HDI41" s="6"/>
      <c r="HDJ41" s="6"/>
      <c r="HDK41" s="6"/>
      <c r="HDL41" s="6"/>
      <c r="HDM41" s="6"/>
      <c r="HDN41" s="6"/>
      <c r="HDO41" s="6"/>
      <c r="HDP41" s="6"/>
      <c r="HDQ41" s="6"/>
      <c r="HDR41" s="6"/>
      <c r="HDS41" s="6"/>
      <c r="HDT41" s="6"/>
      <c r="HDU41" s="6"/>
      <c r="HDV41" s="6"/>
      <c r="HDW41" s="6"/>
      <c r="HDX41" s="6"/>
      <c r="HDY41" s="6"/>
      <c r="HDZ41" s="6"/>
      <c r="HEA41" s="6"/>
      <c r="HEB41" s="6"/>
      <c r="HEC41" s="6"/>
      <c r="HED41" s="6"/>
      <c r="HEE41" s="6"/>
      <c r="HEF41" s="6"/>
      <c r="HEG41" s="6"/>
      <c r="HEH41" s="6"/>
      <c r="HEI41" s="6"/>
      <c r="HEJ41" s="6"/>
      <c r="HEK41" s="6"/>
      <c r="HEL41" s="6"/>
      <c r="HEM41" s="6"/>
      <c r="HEN41" s="6"/>
      <c r="HEO41" s="6"/>
      <c r="HEP41" s="6"/>
      <c r="HEQ41" s="6"/>
      <c r="HER41" s="6"/>
      <c r="HES41" s="6"/>
      <c r="HET41" s="6"/>
      <c r="HEU41" s="6"/>
      <c r="HEV41" s="6"/>
      <c r="HEW41" s="6"/>
      <c r="HEX41" s="6"/>
      <c r="HEY41" s="6"/>
      <c r="HEZ41" s="6"/>
      <c r="HFA41" s="6"/>
      <c r="HFB41" s="6"/>
      <c r="HFC41" s="6"/>
      <c r="HFD41" s="6"/>
      <c r="HFE41" s="6"/>
      <c r="HFF41" s="6"/>
      <c r="HFG41" s="6"/>
      <c r="HFH41" s="6"/>
      <c r="HFI41" s="6"/>
      <c r="HFJ41" s="6"/>
      <c r="HFK41" s="6"/>
      <c r="HFL41" s="6"/>
      <c r="HFM41" s="6"/>
      <c r="HFN41" s="6"/>
      <c r="HFO41" s="6"/>
      <c r="HFP41" s="6"/>
      <c r="HFQ41" s="6"/>
      <c r="HFR41" s="6"/>
      <c r="HFS41" s="6"/>
      <c r="HFT41" s="6"/>
      <c r="HFU41" s="6"/>
      <c r="HFV41" s="6"/>
      <c r="HFW41" s="6"/>
      <c r="HFX41" s="6"/>
      <c r="HFY41" s="6"/>
      <c r="HFZ41" s="6"/>
      <c r="HGA41" s="6"/>
      <c r="HGB41" s="6"/>
      <c r="HGC41" s="6"/>
      <c r="HGD41" s="6"/>
      <c r="HGE41" s="6"/>
      <c r="HGF41" s="6"/>
      <c r="HGG41" s="6"/>
      <c r="HGH41" s="6"/>
      <c r="HGI41" s="6"/>
      <c r="HGJ41" s="6"/>
      <c r="HGK41" s="6"/>
      <c r="HGL41" s="6"/>
      <c r="HGM41" s="6"/>
      <c r="HGN41" s="6"/>
      <c r="HGO41" s="6"/>
      <c r="HGP41" s="6"/>
      <c r="HGQ41" s="6"/>
      <c r="HGR41" s="6"/>
      <c r="HGS41" s="6"/>
      <c r="HGT41" s="6"/>
      <c r="HGU41" s="6"/>
      <c r="HGV41" s="6"/>
      <c r="HGW41" s="6"/>
      <c r="HGX41" s="6"/>
      <c r="HGY41" s="6"/>
      <c r="HGZ41" s="6"/>
      <c r="HHA41" s="6"/>
      <c r="HHB41" s="6"/>
      <c r="HHC41" s="6"/>
      <c r="HHD41" s="6"/>
      <c r="HHE41" s="6"/>
      <c r="HHF41" s="6"/>
      <c r="HHG41" s="6"/>
      <c r="HHH41" s="6"/>
      <c r="HHI41" s="6"/>
      <c r="HHJ41" s="6"/>
      <c r="HHK41" s="6"/>
      <c r="HHL41" s="6"/>
      <c r="HHM41" s="6"/>
      <c r="HHN41" s="6"/>
      <c r="HHO41" s="6"/>
      <c r="HHP41" s="6"/>
      <c r="HHQ41" s="6"/>
      <c r="HHR41" s="6"/>
      <c r="HHS41" s="6"/>
      <c r="HHT41" s="6"/>
      <c r="HHU41" s="6"/>
      <c r="HHV41" s="6"/>
      <c r="HHW41" s="6"/>
      <c r="HHX41" s="6"/>
      <c r="HHY41" s="6"/>
      <c r="HHZ41" s="6"/>
      <c r="HIA41" s="6"/>
      <c r="HIB41" s="6"/>
      <c r="HIC41" s="6"/>
      <c r="HID41" s="6"/>
      <c r="HIE41" s="6"/>
      <c r="HIF41" s="6"/>
      <c r="HIG41" s="6"/>
      <c r="HIH41" s="6"/>
      <c r="HII41" s="6"/>
      <c r="HIJ41" s="6"/>
      <c r="HIK41" s="6"/>
      <c r="HIL41" s="6"/>
      <c r="HIM41" s="6"/>
      <c r="HIN41" s="6"/>
      <c r="HIO41" s="6"/>
      <c r="HIP41" s="6"/>
      <c r="HIQ41" s="6"/>
      <c r="HIR41" s="6"/>
      <c r="HIS41" s="6"/>
      <c r="HIT41" s="6"/>
      <c r="HIU41" s="6"/>
      <c r="HIV41" s="6"/>
      <c r="HIW41" s="6"/>
      <c r="HIX41" s="6"/>
      <c r="HIY41" s="6"/>
      <c r="HIZ41" s="6"/>
      <c r="HJA41" s="6"/>
      <c r="HJB41" s="6"/>
      <c r="HJC41" s="6"/>
      <c r="HJD41" s="6"/>
      <c r="HJE41" s="6"/>
      <c r="HJF41" s="6"/>
      <c r="HJG41" s="6"/>
      <c r="HJH41" s="6"/>
      <c r="HJI41" s="6"/>
      <c r="HJJ41" s="6"/>
      <c r="HJK41" s="6"/>
      <c r="HJL41" s="6"/>
      <c r="HJM41" s="6"/>
      <c r="HJN41" s="6"/>
      <c r="HJO41" s="6"/>
      <c r="HJP41" s="6"/>
      <c r="HJQ41" s="6"/>
      <c r="HJR41" s="6"/>
      <c r="HJS41" s="6"/>
      <c r="HJT41" s="6"/>
      <c r="HJU41" s="6"/>
      <c r="HJV41" s="6"/>
      <c r="HJW41" s="6"/>
      <c r="HJX41" s="6"/>
      <c r="HJY41" s="6"/>
      <c r="HJZ41" s="6"/>
      <c r="HKA41" s="6"/>
      <c r="HKB41" s="6"/>
      <c r="HKC41" s="6"/>
      <c r="HKD41" s="6"/>
      <c r="HKE41" s="6"/>
      <c r="HKF41" s="6"/>
      <c r="HKG41" s="6"/>
      <c r="HKH41" s="6"/>
      <c r="HKI41" s="6"/>
      <c r="HKJ41" s="6"/>
      <c r="HKK41" s="6"/>
      <c r="HKL41" s="6"/>
      <c r="HKM41" s="6"/>
      <c r="HKN41" s="6"/>
      <c r="HKO41" s="6"/>
      <c r="HKP41" s="6"/>
      <c r="HKQ41" s="6"/>
      <c r="HKR41" s="6"/>
      <c r="HKS41" s="6"/>
      <c r="HKT41" s="6"/>
      <c r="HKU41" s="6"/>
      <c r="HKV41" s="6"/>
      <c r="HKW41" s="6"/>
      <c r="HKX41" s="6"/>
      <c r="HKY41" s="6"/>
      <c r="HKZ41" s="6"/>
      <c r="HLA41" s="6"/>
      <c r="HLB41" s="6"/>
      <c r="HLC41" s="6"/>
      <c r="HLD41" s="6"/>
      <c r="HLE41" s="6"/>
      <c r="HLF41" s="6"/>
      <c r="HLG41" s="6"/>
      <c r="HLH41" s="6"/>
      <c r="HLI41" s="6"/>
      <c r="HLJ41" s="6"/>
      <c r="HLK41" s="6"/>
      <c r="HLL41" s="6"/>
      <c r="HLM41" s="6"/>
      <c r="HLN41" s="6"/>
      <c r="HLO41" s="6"/>
      <c r="HLP41" s="6"/>
      <c r="HLQ41" s="6"/>
      <c r="HLR41" s="6"/>
      <c r="HLS41" s="6"/>
      <c r="HLT41" s="6"/>
      <c r="HLU41" s="6"/>
      <c r="HLV41" s="6"/>
      <c r="HLW41" s="6"/>
      <c r="HLX41" s="6"/>
      <c r="HLY41" s="6"/>
      <c r="HLZ41" s="6"/>
      <c r="HMA41" s="6"/>
      <c r="HMB41" s="6"/>
      <c r="HMC41" s="6"/>
      <c r="HMD41" s="6"/>
      <c r="HME41" s="6"/>
      <c r="HMF41" s="6"/>
      <c r="HMG41" s="6"/>
      <c r="HMH41" s="6"/>
      <c r="HMI41" s="6"/>
      <c r="HMJ41" s="6"/>
      <c r="HMK41" s="6"/>
      <c r="HML41" s="6"/>
      <c r="HMM41" s="6"/>
      <c r="HMN41" s="6"/>
      <c r="HMO41" s="6"/>
      <c r="HMP41" s="6"/>
      <c r="HMQ41" s="6"/>
      <c r="HMR41" s="6"/>
      <c r="HMS41" s="6"/>
      <c r="HMT41" s="6"/>
      <c r="HMU41" s="6"/>
      <c r="HMV41" s="6"/>
      <c r="HMW41" s="6"/>
      <c r="HMX41" s="6"/>
      <c r="HMY41" s="6"/>
      <c r="HMZ41" s="6"/>
      <c r="HNA41" s="6"/>
      <c r="HNB41" s="6"/>
      <c r="HNC41" s="6"/>
      <c r="HND41" s="6"/>
      <c r="HNE41" s="6"/>
      <c r="HNF41" s="6"/>
      <c r="HNG41" s="6"/>
      <c r="HNH41" s="6"/>
      <c r="HNI41" s="6"/>
      <c r="HNJ41" s="6"/>
      <c r="HNK41" s="6"/>
      <c r="HNL41" s="6"/>
      <c r="HNM41" s="6"/>
      <c r="HNN41" s="6"/>
      <c r="HNO41" s="6"/>
      <c r="HNP41" s="6"/>
      <c r="HNQ41" s="6"/>
      <c r="HNR41" s="6"/>
      <c r="HNS41" s="6"/>
      <c r="HNT41" s="6"/>
      <c r="HNU41" s="6"/>
      <c r="HNV41" s="6"/>
      <c r="HNW41" s="6"/>
      <c r="HNX41" s="6"/>
      <c r="HNY41" s="6"/>
      <c r="HNZ41" s="6"/>
      <c r="HOA41" s="6"/>
      <c r="HOB41" s="6"/>
      <c r="HOC41" s="6"/>
      <c r="HOD41" s="6"/>
      <c r="HOE41" s="6"/>
      <c r="HOF41" s="6"/>
      <c r="HOG41" s="6"/>
      <c r="HOH41" s="6"/>
      <c r="HOI41" s="6"/>
      <c r="HOJ41" s="6"/>
      <c r="HOK41" s="6"/>
      <c r="HOL41" s="6"/>
      <c r="HOM41" s="6"/>
      <c r="HON41" s="6"/>
      <c r="HOO41" s="6"/>
      <c r="HOP41" s="6"/>
      <c r="HOQ41" s="6"/>
      <c r="HOR41" s="6"/>
      <c r="HOS41" s="6"/>
      <c r="HOT41" s="6"/>
      <c r="HOU41" s="6"/>
      <c r="HOV41" s="6"/>
      <c r="HOW41" s="6"/>
      <c r="HOX41" s="6"/>
      <c r="HOY41" s="6"/>
      <c r="HOZ41" s="6"/>
      <c r="HPA41" s="6"/>
      <c r="HPB41" s="6"/>
      <c r="HPC41" s="6"/>
      <c r="HPD41" s="6"/>
      <c r="HPE41" s="6"/>
      <c r="HPF41" s="6"/>
      <c r="HPG41" s="6"/>
      <c r="HPH41" s="6"/>
      <c r="HPI41" s="6"/>
      <c r="HPJ41" s="6"/>
      <c r="HPK41" s="6"/>
      <c r="HPL41" s="6"/>
      <c r="HPM41" s="6"/>
      <c r="HPN41" s="6"/>
      <c r="HPO41" s="6"/>
      <c r="HPP41" s="6"/>
      <c r="HPQ41" s="6"/>
      <c r="HPR41" s="6"/>
      <c r="HPS41" s="6"/>
      <c r="HPT41" s="6"/>
      <c r="HPU41" s="6"/>
      <c r="HPV41" s="6"/>
      <c r="HPW41" s="6"/>
      <c r="HPX41" s="6"/>
      <c r="HPY41" s="6"/>
      <c r="HPZ41" s="6"/>
      <c r="HQA41" s="6"/>
      <c r="HQB41" s="6"/>
      <c r="HQC41" s="6"/>
      <c r="HQD41" s="6"/>
      <c r="HQE41" s="6"/>
      <c r="HQF41" s="6"/>
      <c r="HQG41" s="6"/>
      <c r="HQH41" s="6"/>
      <c r="HQI41" s="6"/>
      <c r="HQJ41" s="6"/>
      <c r="HQK41" s="6"/>
      <c r="HQL41" s="6"/>
      <c r="HQM41" s="6"/>
      <c r="HQN41" s="6"/>
      <c r="HQO41" s="6"/>
      <c r="HQP41" s="6"/>
      <c r="HQQ41" s="6"/>
      <c r="HQR41" s="6"/>
      <c r="HQS41" s="6"/>
      <c r="HQT41" s="6"/>
      <c r="HQU41" s="6"/>
      <c r="HQV41" s="6"/>
      <c r="HQW41" s="6"/>
      <c r="HQX41" s="6"/>
      <c r="HQY41" s="6"/>
      <c r="HQZ41" s="6"/>
      <c r="HRA41" s="6"/>
      <c r="HRB41" s="6"/>
      <c r="HRC41" s="6"/>
      <c r="HRD41" s="6"/>
      <c r="HRE41" s="6"/>
      <c r="HRF41" s="6"/>
      <c r="HRG41" s="6"/>
      <c r="HRH41" s="6"/>
      <c r="HRI41" s="6"/>
      <c r="HRJ41" s="6"/>
      <c r="HRK41" s="6"/>
      <c r="HRL41" s="6"/>
      <c r="HRM41" s="6"/>
      <c r="HRN41" s="6"/>
      <c r="HRO41" s="6"/>
      <c r="HRP41" s="6"/>
      <c r="HRQ41" s="6"/>
      <c r="HRR41" s="6"/>
      <c r="HRS41" s="6"/>
      <c r="HRT41" s="6"/>
      <c r="HRU41" s="6"/>
      <c r="HRV41" s="6"/>
      <c r="HRW41" s="6"/>
      <c r="HRX41" s="6"/>
      <c r="HRY41" s="6"/>
      <c r="HRZ41" s="6"/>
      <c r="HSA41" s="6"/>
      <c r="HSB41" s="6"/>
      <c r="HSC41" s="6"/>
      <c r="HSD41" s="6"/>
      <c r="HSE41" s="6"/>
      <c r="HSF41" s="6"/>
      <c r="HSG41" s="6"/>
      <c r="HSH41" s="6"/>
      <c r="HSI41" s="6"/>
      <c r="HSJ41" s="6"/>
      <c r="HSK41" s="6"/>
      <c r="HSL41" s="6"/>
      <c r="HSM41" s="6"/>
      <c r="HSN41" s="6"/>
      <c r="HSO41" s="6"/>
      <c r="HSP41" s="6"/>
      <c r="HSQ41" s="6"/>
      <c r="HSR41" s="6"/>
      <c r="HSS41" s="6"/>
      <c r="HST41" s="6"/>
      <c r="HSU41" s="6"/>
      <c r="HSV41" s="6"/>
      <c r="HSW41" s="6"/>
      <c r="HSX41" s="6"/>
      <c r="HSY41" s="6"/>
      <c r="HSZ41" s="6"/>
      <c r="HTA41" s="6"/>
      <c r="HTB41" s="6"/>
      <c r="HTC41" s="6"/>
      <c r="HTD41" s="6"/>
      <c r="HTE41" s="6"/>
      <c r="HTF41" s="6"/>
      <c r="HTG41" s="6"/>
      <c r="HTH41" s="6"/>
      <c r="HTI41" s="6"/>
      <c r="HTJ41" s="6"/>
      <c r="HTK41" s="6"/>
      <c r="HTL41" s="6"/>
      <c r="HTM41" s="6"/>
      <c r="HTN41" s="6"/>
      <c r="HTO41" s="6"/>
      <c r="HTP41" s="6"/>
      <c r="HTQ41" s="6"/>
      <c r="HTR41" s="6"/>
      <c r="HTS41" s="6"/>
      <c r="HTT41" s="6"/>
      <c r="HTU41" s="6"/>
      <c r="HTV41" s="6"/>
      <c r="HTW41" s="6"/>
      <c r="HTX41" s="6"/>
      <c r="HTY41" s="6"/>
      <c r="HTZ41" s="6"/>
      <c r="HUA41" s="6"/>
      <c r="HUB41" s="6"/>
      <c r="HUC41" s="6"/>
      <c r="HUD41" s="6"/>
      <c r="HUE41" s="6"/>
      <c r="HUF41" s="6"/>
      <c r="HUG41" s="6"/>
      <c r="HUH41" s="6"/>
      <c r="HUI41" s="6"/>
      <c r="HUJ41" s="6"/>
      <c r="HUK41" s="6"/>
      <c r="HUL41" s="6"/>
      <c r="HUM41" s="6"/>
      <c r="HUN41" s="6"/>
      <c r="HUO41" s="6"/>
      <c r="HUP41" s="6"/>
      <c r="HUQ41" s="6"/>
      <c r="HUR41" s="6"/>
      <c r="HUS41" s="6"/>
      <c r="HUT41" s="6"/>
      <c r="HUU41" s="6"/>
      <c r="HUV41" s="6"/>
      <c r="HUW41" s="6"/>
      <c r="HUX41" s="6"/>
      <c r="HUY41" s="6"/>
      <c r="HUZ41" s="6"/>
      <c r="HVA41" s="6"/>
      <c r="HVB41" s="6"/>
      <c r="HVC41" s="6"/>
      <c r="HVD41" s="6"/>
      <c r="HVE41" s="6"/>
      <c r="HVF41" s="6"/>
      <c r="HVG41" s="6"/>
      <c r="HVH41" s="6"/>
      <c r="HVI41" s="6"/>
      <c r="HVJ41" s="6"/>
      <c r="HVK41" s="6"/>
      <c r="HVL41" s="6"/>
      <c r="HVM41" s="6"/>
      <c r="HVN41" s="6"/>
      <c r="HVO41" s="6"/>
      <c r="HVP41" s="6"/>
      <c r="HVQ41" s="6"/>
      <c r="HVR41" s="6"/>
      <c r="HVS41" s="6"/>
      <c r="HVT41" s="6"/>
      <c r="HVU41" s="6"/>
      <c r="HVV41" s="6"/>
      <c r="HVW41" s="6"/>
      <c r="HVX41" s="6"/>
      <c r="HVY41" s="6"/>
      <c r="HVZ41" s="6"/>
      <c r="HWA41" s="6"/>
      <c r="HWB41" s="6"/>
      <c r="HWC41" s="6"/>
      <c r="HWD41" s="6"/>
      <c r="HWE41" s="6"/>
      <c r="HWF41" s="6"/>
      <c r="HWG41" s="6"/>
      <c r="HWH41" s="6"/>
      <c r="HWI41" s="6"/>
      <c r="HWJ41" s="6"/>
      <c r="HWK41" s="6"/>
      <c r="HWL41" s="6"/>
      <c r="HWM41" s="6"/>
      <c r="HWN41" s="6"/>
      <c r="HWO41" s="6"/>
      <c r="HWP41" s="6"/>
      <c r="HWQ41" s="6"/>
      <c r="HWR41" s="6"/>
      <c r="HWS41" s="6"/>
      <c r="HWT41" s="6"/>
      <c r="HWU41" s="6"/>
      <c r="HWV41" s="6"/>
      <c r="HWW41" s="6"/>
      <c r="HWX41" s="6"/>
      <c r="HWY41" s="6"/>
      <c r="HWZ41" s="6"/>
      <c r="HXA41" s="6"/>
      <c r="HXB41" s="6"/>
      <c r="HXC41" s="6"/>
      <c r="HXD41" s="6"/>
      <c r="HXE41" s="6"/>
      <c r="HXF41" s="6"/>
      <c r="HXG41" s="6"/>
      <c r="HXH41" s="6"/>
      <c r="HXI41" s="6"/>
      <c r="HXJ41" s="6"/>
      <c r="HXK41" s="6"/>
      <c r="HXL41" s="6"/>
      <c r="HXM41" s="6"/>
      <c r="HXN41" s="6"/>
      <c r="HXO41" s="6"/>
      <c r="HXP41" s="6"/>
      <c r="HXQ41" s="6"/>
      <c r="HXR41" s="6"/>
      <c r="HXS41" s="6"/>
      <c r="HXT41" s="6"/>
      <c r="HXU41" s="6"/>
      <c r="HXV41" s="6"/>
      <c r="HXW41" s="6"/>
      <c r="HXX41" s="6"/>
      <c r="HXY41" s="6"/>
      <c r="HXZ41" s="6"/>
      <c r="HYA41" s="6"/>
      <c r="HYB41" s="6"/>
      <c r="HYC41" s="6"/>
      <c r="HYD41" s="6"/>
      <c r="HYE41" s="6"/>
      <c r="HYF41" s="6"/>
      <c r="HYG41" s="6"/>
      <c r="HYH41" s="6"/>
      <c r="HYI41" s="6"/>
      <c r="HYJ41" s="6"/>
      <c r="HYK41" s="6"/>
      <c r="HYL41" s="6"/>
      <c r="HYM41" s="6"/>
      <c r="HYN41" s="6"/>
      <c r="HYO41" s="6"/>
      <c r="HYP41" s="6"/>
      <c r="HYQ41" s="6"/>
      <c r="HYR41" s="6"/>
      <c r="HYS41" s="6"/>
      <c r="HYT41" s="6"/>
      <c r="HYU41" s="6"/>
      <c r="HYV41" s="6"/>
      <c r="HYW41" s="6"/>
      <c r="HYX41" s="6"/>
      <c r="HYY41" s="6"/>
      <c r="HYZ41" s="6"/>
      <c r="HZA41" s="6"/>
      <c r="HZB41" s="6"/>
      <c r="HZC41" s="6"/>
      <c r="HZD41" s="6"/>
      <c r="HZE41" s="6"/>
      <c r="HZF41" s="6"/>
      <c r="HZG41" s="6"/>
      <c r="HZH41" s="6"/>
      <c r="HZI41" s="6"/>
      <c r="HZJ41" s="6"/>
      <c r="HZK41" s="6"/>
      <c r="HZL41" s="6"/>
      <c r="HZM41" s="6"/>
      <c r="HZN41" s="6"/>
      <c r="HZO41" s="6"/>
      <c r="HZP41" s="6"/>
      <c r="HZQ41" s="6"/>
      <c r="HZR41" s="6"/>
      <c r="HZS41" s="6"/>
      <c r="HZT41" s="6"/>
      <c r="HZU41" s="6"/>
      <c r="HZV41" s="6"/>
      <c r="HZW41" s="6"/>
      <c r="HZX41" s="6"/>
      <c r="HZY41" s="6"/>
      <c r="HZZ41" s="6"/>
      <c r="IAA41" s="6"/>
      <c r="IAB41" s="6"/>
      <c r="IAC41" s="6"/>
      <c r="IAD41" s="6"/>
      <c r="IAE41" s="6"/>
      <c r="IAF41" s="6"/>
      <c r="IAG41" s="6"/>
      <c r="IAH41" s="6"/>
      <c r="IAI41" s="6"/>
      <c r="IAJ41" s="6"/>
      <c r="IAK41" s="6"/>
      <c r="IAL41" s="6"/>
      <c r="IAM41" s="6"/>
      <c r="IAN41" s="6"/>
      <c r="IAO41" s="6"/>
      <c r="IAP41" s="6"/>
      <c r="IAQ41" s="6"/>
      <c r="IAR41" s="6"/>
      <c r="IAS41" s="6"/>
      <c r="IAT41" s="6"/>
      <c r="IAU41" s="6"/>
      <c r="IAV41" s="6"/>
      <c r="IAW41" s="6"/>
      <c r="IAX41" s="6"/>
      <c r="IAY41" s="6"/>
      <c r="IAZ41" s="6"/>
      <c r="IBA41" s="6"/>
      <c r="IBB41" s="6"/>
      <c r="IBC41" s="6"/>
      <c r="IBD41" s="6"/>
      <c r="IBE41" s="6"/>
      <c r="IBF41" s="6"/>
      <c r="IBG41" s="6"/>
      <c r="IBH41" s="6"/>
      <c r="IBI41" s="6"/>
      <c r="IBJ41" s="6"/>
      <c r="IBK41" s="6"/>
      <c r="IBL41" s="6"/>
      <c r="IBM41" s="6"/>
      <c r="IBN41" s="6"/>
      <c r="IBO41" s="6"/>
      <c r="IBP41" s="6"/>
      <c r="IBQ41" s="6"/>
      <c r="IBR41" s="6"/>
      <c r="IBS41" s="6"/>
      <c r="IBT41" s="6"/>
      <c r="IBU41" s="6"/>
      <c r="IBV41" s="6"/>
      <c r="IBW41" s="6"/>
      <c r="IBX41" s="6"/>
      <c r="IBY41" s="6"/>
      <c r="IBZ41" s="6"/>
      <c r="ICA41" s="6"/>
      <c r="ICB41" s="6"/>
      <c r="ICC41" s="6"/>
      <c r="ICD41" s="6"/>
      <c r="ICE41" s="6"/>
      <c r="ICF41" s="6"/>
      <c r="ICG41" s="6"/>
      <c r="ICH41" s="6"/>
      <c r="ICI41" s="6"/>
      <c r="ICJ41" s="6"/>
      <c r="ICK41" s="6"/>
      <c r="ICL41" s="6"/>
      <c r="ICM41" s="6"/>
      <c r="ICN41" s="6"/>
      <c r="ICO41" s="6"/>
      <c r="ICP41" s="6"/>
      <c r="ICQ41" s="6"/>
      <c r="ICR41" s="6"/>
      <c r="ICS41" s="6"/>
      <c r="ICT41" s="6"/>
      <c r="ICU41" s="6"/>
      <c r="ICV41" s="6"/>
      <c r="ICW41" s="6"/>
      <c r="ICX41" s="6"/>
      <c r="ICY41" s="6"/>
      <c r="ICZ41" s="6"/>
      <c r="IDA41" s="6"/>
      <c r="IDB41" s="6"/>
      <c r="IDC41" s="6"/>
      <c r="IDD41" s="6"/>
      <c r="IDE41" s="6"/>
      <c r="IDF41" s="6"/>
      <c r="IDG41" s="6"/>
      <c r="IDH41" s="6"/>
      <c r="IDI41" s="6"/>
      <c r="IDJ41" s="6"/>
      <c r="IDK41" s="6"/>
      <c r="IDL41" s="6"/>
      <c r="IDM41" s="6"/>
      <c r="IDN41" s="6"/>
      <c r="IDO41" s="6"/>
      <c r="IDP41" s="6"/>
      <c r="IDQ41" s="6"/>
      <c r="IDR41" s="6"/>
      <c r="IDS41" s="6"/>
      <c r="IDT41" s="6"/>
      <c r="IDU41" s="6"/>
      <c r="IDV41" s="6"/>
      <c r="IDW41" s="6"/>
      <c r="IDX41" s="6"/>
      <c r="IDY41" s="6"/>
      <c r="IDZ41" s="6"/>
      <c r="IEA41" s="6"/>
      <c r="IEB41" s="6"/>
      <c r="IEC41" s="6"/>
      <c r="IED41" s="6"/>
      <c r="IEE41" s="6"/>
      <c r="IEF41" s="6"/>
      <c r="IEG41" s="6"/>
      <c r="IEH41" s="6"/>
      <c r="IEI41" s="6"/>
      <c r="IEJ41" s="6"/>
      <c r="IEK41" s="6"/>
      <c r="IEL41" s="6"/>
      <c r="IEM41" s="6"/>
      <c r="IEN41" s="6"/>
      <c r="IEO41" s="6"/>
      <c r="IEP41" s="6"/>
      <c r="IEQ41" s="6"/>
      <c r="IER41" s="6"/>
      <c r="IES41" s="6"/>
      <c r="IET41" s="6"/>
      <c r="IEU41" s="6"/>
      <c r="IEV41" s="6"/>
      <c r="IEW41" s="6"/>
      <c r="IEX41" s="6"/>
      <c r="IEY41" s="6"/>
      <c r="IEZ41" s="6"/>
      <c r="IFA41" s="6"/>
      <c r="IFB41" s="6"/>
      <c r="IFC41" s="6"/>
      <c r="IFD41" s="6"/>
      <c r="IFE41" s="6"/>
      <c r="IFF41" s="6"/>
      <c r="IFG41" s="6"/>
      <c r="IFH41" s="6"/>
      <c r="IFI41" s="6"/>
      <c r="IFJ41" s="6"/>
      <c r="IFK41" s="6"/>
      <c r="IFL41" s="6"/>
      <c r="IFM41" s="6"/>
      <c r="IFN41" s="6"/>
      <c r="IFO41" s="6"/>
      <c r="IFP41" s="6"/>
      <c r="IFQ41" s="6"/>
      <c r="IFR41" s="6"/>
      <c r="IFS41" s="6"/>
      <c r="IFT41" s="6"/>
      <c r="IFU41" s="6"/>
      <c r="IFV41" s="6"/>
      <c r="IFW41" s="6"/>
      <c r="IFX41" s="6"/>
      <c r="IFY41" s="6"/>
      <c r="IFZ41" s="6"/>
      <c r="IGA41" s="6"/>
      <c r="IGB41" s="6"/>
      <c r="IGC41" s="6"/>
      <c r="IGD41" s="6"/>
      <c r="IGE41" s="6"/>
      <c r="IGF41" s="6"/>
      <c r="IGG41" s="6"/>
      <c r="IGH41" s="6"/>
      <c r="IGI41" s="6"/>
      <c r="IGJ41" s="6"/>
      <c r="IGK41" s="6"/>
      <c r="IGL41" s="6"/>
      <c r="IGM41" s="6"/>
      <c r="IGN41" s="6"/>
      <c r="IGO41" s="6"/>
      <c r="IGP41" s="6"/>
      <c r="IGQ41" s="6"/>
      <c r="IGR41" s="6"/>
      <c r="IGS41" s="6"/>
      <c r="IGT41" s="6"/>
      <c r="IGU41" s="6"/>
      <c r="IGV41" s="6"/>
      <c r="IGW41" s="6"/>
      <c r="IGX41" s="6"/>
      <c r="IGY41" s="6"/>
      <c r="IGZ41" s="6"/>
      <c r="IHA41" s="6"/>
      <c r="IHB41" s="6"/>
      <c r="IHC41" s="6"/>
      <c r="IHD41" s="6"/>
      <c r="IHE41" s="6"/>
      <c r="IHF41" s="6"/>
      <c r="IHG41" s="6"/>
      <c r="IHH41" s="6"/>
      <c r="IHI41" s="6"/>
      <c r="IHJ41" s="6"/>
      <c r="IHK41" s="6"/>
      <c r="IHL41" s="6"/>
      <c r="IHM41" s="6"/>
      <c r="IHN41" s="6"/>
      <c r="IHO41" s="6"/>
      <c r="IHP41" s="6"/>
      <c r="IHQ41" s="6"/>
      <c r="IHR41" s="6"/>
      <c r="IHS41" s="6"/>
      <c r="IHT41" s="6"/>
      <c r="IHU41" s="6"/>
      <c r="IHV41" s="6"/>
      <c r="IHW41" s="6"/>
      <c r="IHX41" s="6"/>
      <c r="IHY41" s="6"/>
      <c r="IHZ41" s="6"/>
      <c r="IIA41" s="6"/>
      <c r="IIB41" s="6"/>
      <c r="IIC41" s="6"/>
      <c r="IID41" s="6"/>
      <c r="IIE41" s="6"/>
      <c r="IIF41" s="6"/>
      <c r="IIG41" s="6"/>
      <c r="IIH41" s="6"/>
      <c r="III41" s="6"/>
      <c r="IIJ41" s="6"/>
      <c r="IIK41" s="6"/>
      <c r="IIL41" s="6"/>
      <c r="IIM41" s="6"/>
      <c r="IIN41" s="6"/>
      <c r="IIO41" s="6"/>
      <c r="IIP41" s="6"/>
      <c r="IIQ41" s="6"/>
      <c r="IIR41" s="6"/>
      <c r="IIS41" s="6"/>
      <c r="IIT41" s="6"/>
      <c r="IIU41" s="6"/>
      <c r="IIV41" s="6"/>
      <c r="IIW41" s="6"/>
      <c r="IIX41" s="6"/>
      <c r="IIY41" s="6"/>
      <c r="IIZ41" s="6"/>
      <c r="IJA41" s="6"/>
      <c r="IJB41" s="6"/>
      <c r="IJC41" s="6"/>
      <c r="IJD41" s="6"/>
      <c r="IJE41" s="6"/>
      <c r="IJF41" s="6"/>
      <c r="IJG41" s="6"/>
      <c r="IJH41" s="6"/>
      <c r="IJI41" s="6"/>
      <c r="IJJ41" s="6"/>
      <c r="IJK41" s="6"/>
      <c r="IJL41" s="6"/>
      <c r="IJM41" s="6"/>
      <c r="IJN41" s="6"/>
      <c r="IJO41" s="6"/>
      <c r="IJP41" s="6"/>
      <c r="IJQ41" s="6"/>
      <c r="IJR41" s="6"/>
      <c r="IJS41" s="6"/>
      <c r="IJT41" s="6"/>
      <c r="IJU41" s="6"/>
      <c r="IJV41" s="6"/>
      <c r="IJW41" s="6"/>
      <c r="IJX41" s="6"/>
      <c r="IJY41" s="6"/>
      <c r="IJZ41" s="6"/>
      <c r="IKA41" s="6"/>
      <c r="IKB41" s="6"/>
      <c r="IKC41" s="6"/>
      <c r="IKD41" s="6"/>
      <c r="IKE41" s="6"/>
      <c r="IKF41" s="6"/>
      <c r="IKG41" s="6"/>
      <c r="IKH41" s="6"/>
      <c r="IKI41" s="6"/>
      <c r="IKJ41" s="6"/>
      <c r="IKK41" s="6"/>
      <c r="IKL41" s="6"/>
      <c r="IKM41" s="6"/>
      <c r="IKN41" s="6"/>
      <c r="IKO41" s="6"/>
      <c r="IKP41" s="6"/>
      <c r="IKQ41" s="6"/>
      <c r="IKR41" s="6"/>
      <c r="IKS41" s="6"/>
      <c r="IKT41" s="6"/>
      <c r="IKU41" s="6"/>
      <c r="IKV41" s="6"/>
      <c r="IKW41" s="6"/>
      <c r="IKX41" s="6"/>
      <c r="IKY41" s="6"/>
      <c r="IKZ41" s="6"/>
      <c r="ILA41" s="6"/>
      <c r="ILB41" s="6"/>
      <c r="ILC41" s="6"/>
      <c r="ILD41" s="6"/>
      <c r="ILE41" s="6"/>
      <c r="ILF41" s="6"/>
      <c r="ILG41" s="6"/>
      <c r="ILH41" s="6"/>
      <c r="ILI41" s="6"/>
      <c r="ILJ41" s="6"/>
      <c r="ILK41" s="6"/>
      <c r="ILL41" s="6"/>
      <c r="ILM41" s="6"/>
      <c r="ILN41" s="6"/>
      <c r="ILO41" s="6"/>
      <c r="ILP41" s="6"/>
      <c r="ILQ41" s="6"/>
      <c r="ILR41" s="6"/>
      <c r="ILS41" s="6"/>
      <c r="ILT41" s="6"/>
      <c r="ILU41" s="6"/>
      <c r="ILV41" s="6"/>
      <c r="ILW41" s="6"/>
      <c r="ILX41" s="6"/>
      <c r="ILY41" s="6"/>
      <c r="ILZ41" s="6"/>
      <c r="IMA41" s="6"/>
      <c r="IMB41" s="6"/>
      <c r="IMC41" s="6"/>
      <c r="IMD41" s="6"/>
      <c r="IME41" s="6"/>
      <c r="IMF41" s="6"/>
      <c r="IMG41" s="6"/>
      <c r="IMH41" s="6"/>
      <c r="IMI41" s="6"/>
      <c r="IMJ41" s="6"/>
      <c r="IMK41" s="6"/>
      <c r="IML41" s="6"/>
      <c r="IMM41" s="6"/>
      <c r="IMN41" s="6"/>
      <c r="IMO41" s="6"/>
      <c r="IMP41" s="6"/>
      <c r="IMQ41" s="6"/>
      <c r="IMR41" s="6"/>
      <c r="IMS41" s="6"/>
      <c r="IMT41" s="6"/>
      <c r="IMU41" s="6"/>
      <c r="IMV41" s="6"/>
      <c r="IMW41" s="6"/>
      <c r="IMX41" s="6"/>
      <c r="IMY41" s="6"/>
      <c r="IMZ41" s="6"/>
      <c r="INA41" s="6"/>
      <c r="INB41" s="6"/>
      <c r="INC41" s="6"/>
      <c r="IND41" s="6"/>
      <c r="INE41" s="6"/>
      <c r="INF41" s="6"/>
      <c r="ING41" s="6"/>
      <c r="INH41" s="6"/>
      <c r="INI41" s="6"/>
      <c r="INJ41" s="6"/>
      <c r="INK41" s="6"/>
      <c r="INL41" s="6"/>
      <c r="INM41" s="6"/>
      <c r="INN41" s="6"/>
      <c r="INO41" s="6"/>
      <c r="INP41" s="6"/>
      <c r="INQ41" s="6"/>
      <c r="INR41" s="6"/>
      <c r="INS41" s="6"/>
      <c r="INT41" s="6"/>
      <c r="INU41" s="6"/>
      <c r="INV41" s="6"/>
      <c r="INW41" s="6"/>
      <c r="INX41" s="6"/>
      <c r="INY41" s="6"/>
      <c r="INZ41" s="6"/>
      <c r="IOA41" s="6"/>
      <c r="IOB41" s="6"/>
      <c r="IOC41" s="6"/>
      <c r="IOD41" s="6"/>
      <c r="IOE41" s="6"/>
      <c r="IOF41" s="6"/>
      <c r="IOG41" s="6"/>
      <c r="IOH41" s="6"/>
      <c r="IOI41" s="6"/>
      <c r="IOJ41" s="6"/>
      <c r="IOK41" s="6"/>
      <c r="IOL41" s="6"/>
      <c r="IOM41" s="6"/>
      <c r="ION41" s="6"/>
      <c r="IOO41" s="6"/>
      <c r="IOP41" s="6"/>
      <c r="IOQ41" s="6"/>
      <c r="IOR41" s="6"/>
      <c r="IOS41" s="6"/>
      <c r="IOT41" s="6"/>
      <c r="IOU41" s="6"/>
      <c r="IOV41" s="6"/>
      <c r="IOW41" s="6"/>
      <c r="IOX41" s="6"/>
      <c r="IOY41" s="6"/>
      <c r="IOZ41" s="6"/>
      <c r="IPA41" s="6"/>
      <c r="IPB41" s="6"/>
      <c r="IPC41" s="6"/>
      <c r="IPD41" s="6"/>
      <c r="IPE41" s="6"/>
      <c r="IPF41" s="6"/>
      <c r="IPG41" s="6"/>
      <c r="IPH41" s="6"/>
      <c r="IPI41" s="6"/>
      <c r="IPJ41" s="6"/>
      <c r="IPK41" s="6"/>
      <c r="IPL41" s="6"/>
      <c r="IPM41" s="6"/>
      <c r="IPN41" s="6"/>
      <c r="IPO41" s="6"/>
      <c r="IPP41" s="6"/>
      <c r="IPQ41" s="6"/>
      <c r="IPR41" s="6"/>
      <c r="IPS41" s="6"/>
      <c r="IPT41" s="6"/>
      <c r="IPU41" s="6"/>
      <c r="IPV41" s="6"/>
      <c r="IPW41" s="6"/>
      <c r="IPX41" s="6"/>
      <c r="IPY41" s="6"/>
      <c r="IPZ41" s="6"/>
      <c r="IQA41" s="6"/>
      <c r="IQB41" s="6"/>
      <c r="IQC41" s="6"/>
      <c r="IQD41" s="6"/>
      <c r="IQE41" s="6"/>
      <c r="IQF41" s="6"/>
      <c r="IQG41" s="6"/>
      <c r="IQH41" s="6"/>
      <c r="IQI41" s="6"/>
      <c r="IQJ41" s="6"/>
      <c r="IQK41" s="6"/>
      <c r="IQL41" s="6"/>
      <c r="IQM41" s="6"/>
      <c r="IQN41" s="6"/>
      <c r="IQO41" s="6"/>
      <c r="IQP41" s="6"/>
      <c r="IQQ41" s="6"/>
      <c r="IQR41" s="6"/>
      <c r="IQS41" s="6"/>
      <c r="IQT41" s="6"/>
      <c r="IQU41" s="6"/>
      <c r="IQV41" s="6"/>
      <c r="IQW41" s="6"/>
      <c r="IQX41" s="6"/>
      <c r="IQY41" s="6"/>
      <c r="IQZ41" s="6"/>
      <c r="IRA41" s="6"/>
      <c r="IRB41" s="6"/>
      <c r="IRC41" s="6"/>
      <c r="IRD41" s="6"/>
      <c r="IRE41" s="6"/>
      <c r="IRF41" s="6"/>
      <c r="IRG41" s="6"/>
      <c r="IRH41" s="6"/>
      <c r="IRI41" s="6"/>
      <c r="IRJ41" s="6"/>
      <c r="IRK41" s="6"/>
      <c r="IRL41" s="6"/>
      <c r="IRM41" s="6"/>
      <c r="IRN41" s="6"/>
      <c r="IRO41" s="6"/>
      <c r="IRP41" s="6"/>
      <c r="IRQ41" s="6"/>
      <c r="IRR41" s="6"/>
      <c r="IRS41" s="6"/>
      <c r="IRT41" s="6"/>
      <c r="IRU41" s="6"/>
      <c r="IRV41" s="6"/>
      <c r="IRW41" s="6"/>
      <c r="IRX41" s="6"/>
      <c r="IRY41" s="6"/>
      <c r="IRZ41" s="6"/>
      <c r="ISA41" s="6"/>
      <c r="ISB41" s="6"/>
      <c r="ISC41" s="6"/>
      <c r="ISD41" s="6"/>
      <c r="ISE41" s="6"/>
      <c r="ISF41" s="6"/>
      <c r="ISG41" s="6"/>
      <c r="ISH41" s="6"/>
      <c r="ISI41" s="6"/>
      <c r="ISJ41" s="6"/>
      <c r="ISK41" s="6"/>
      <c r="ISL41" s="6"/>
      <c r="ISM41" s="6"/>
      <c r="ISN41" s="6"/>
      <c r="ISO41" s="6"/>
      <c r="ISP41" s="6"/>
      <c r="ISQ41" s="6"/>
      <c r="ISR41" s="6"/>
      <c r="ISS41" s="6"/>
      <c r="IST41" s="6"/>
      <c r="ISU41" s="6"/>
      <c r="ISV41" s="6"/>
      <c r="ISW41" s="6"/>
      <c r="ISX41" s="6"/>
      <c r="ISY41" s="6"/>
      <c r="ISZ41" s="6"/>
      <c r="ITA41" s="6"/>
      <c r="ITB41" s="6"/>
      <c r="ITC41" s="6"/>
      <c r="ITD41" s="6"/>
      <c r="ITE41" s="6"/>
      <c r="ITF41" s="6"/>
      <c r="ITG41" s="6"/>
      <c r="ITH41" s="6"/>
      <c r="ITI41" s="6"/>
      <c r="ITJ41" s="6"/>
      <c r="ITK41" s="6"/>
      <c r="ITL41" s="6"/>
      <c r="ITM41" s="6"/>
      <c r="ITN41" s="6"/>
      <c r="ITO41" s="6"/>
      <c r="ITP41" s="6"/>
      <c r="ITQ41" s="6"/>
      <c r="ITR41" s="6"/>
      <c r="ITS41" s="6"/>
      <c r="ITT41" s="6"/>
      <c r="ITU41" s="6"/>
      <c r="ITV41" s="6"/>
      <c r="ITW41" s="6"/>
      <c r="ITX41" s="6"/>
      <c r="ITY41" s="6"/>
      <c r="ITZ41" s="6"/>
      <c r="IUA41" s="6"/>
      <c r="IUB41" s="6"/>
      <c r="IUC41" s="6"/>
      <c r="IUD41" s="6"/>
      <c r="IUE41" s="6"/>
      <c r="IUF41" s="6"/>
      <c r="IUG41" s="6"/>
      <c r="IUH41" s="6"/>
      <c r="IUI41" s="6"/>
      <c r="IUJ41" s="6"/>
      <c r="IUK41" s="6"/>
      <c r="IUL41" s="6"/>
      <c r="IUM41" s="6"/>
      <c r="IUN41" s="6"/>
      <c r="IUO41" s="6"/>
      <c r="IUP41" s="6"/>
      <c r="IUQ41" s="6"/>
      <c r="IUR41" s="6"/>
      <c r="IUS41" s="6"/>
      <c r="IUT41" s="6"/>
      <c r="IUU41" s="6"/>
      <c r="IUV41" s="6"/>
      <c r="IUW41" s="6"/>
      <c r="IUX41" s="6"/>
      <c r="IUY41" s="6"/>
      <c r="IUZ41" s="6"/>
      <c r="IVA41" s="6"/>
      <c r="IVB41" s="6"/>
      <c r="IVC41" s="6"/>
      <c r="IVD41" s="6"/>
      <c r="IVE41" s="6"/>
      <c r="IVF41" s="6"/>
      <c r="IVG41" s="6"/>
      <c r="IVH41" s="6"/>
      <c r="IVI41" s="6"/>
      <c r="IVJ41" s="6"/>
      <c r="IVK41" s="6"/>
      <c r="IVL41" s="6"/>
      <c r="IVM41" s="6"/>
      <c r="IVN41" s="6"/>
      <c r="IVO41" s="6"/>
      <c r="IVP41" s="6"/>
      <c r="IVQ41" s="6"/>
      <c r="IVR41" s="6"/>
      <c r="IVS41" s="6"/>
      <c r="IVT41" s="6"/>
      <c r="IVU41" s="6"/>
      <c r="IVV41" s="6"/>
      <c r="IVW41" s="6"/>
      <c r="IVX41" s="6"/>
      <c r="IVY41" s="6"/>
      <c r="IVZ41" s="6"/>
      <c r="IWA41" s="6"/>
      <c r="IWB41" s="6"/>
      <c r="IWC41" s="6"/>
      <c r="IWD41" s="6"/>
      <c r="IWE41" s="6"/>
      <c r="IWF41" s="6"/>
      <c r="IWG41" s="6"/>
      <c r="IWH41" s="6"/>
      <c r="IWI41" s="6"/>
      <c r="IWJ41" s="6"/>
      <c r="IWK41" s="6"/>
      <c r="IWL41" s="6"/>
      <c r="IWM41" s="6"/>
      <c r="IWN41" s="6"/>
      <c r="IWO41" s="6"/>
      <c r="IWP41" s="6"/>
      <c r="IWQ41" s="6"/>
      <c r="IWR41" s="6"/>
      <c r="IWS41" s="6"/>
      <c r="IWT41" s="6"/>
      <c r="IWU41" s="6"/>
      <c r="IWV41" s="6"/>
      <c r="IWW41" s="6"/>
      <c r="IWX41" s="6"/>
      <c r="IWY41" s="6"/>
      <c r="IWZ41" s="6"/>
      <c r="IXA41" s="6"/>
      <c r="IXB41" s="6"/>
      <c r="IXC41" s="6"/>
      <c r="IXD41" s="6"/>
      <c r="IXE41" s="6"/>
      <c r="IXF41" s="6"/>
      <c r="IXG41" s="6"/>
      <c r="IXH41" s="6"/>
      <c r="IXI41" s="6"/>
      <c r="IXJ41" s="6"/>
      <c r="IXK41" s="6"/>
      <c r="IXL41" s="6"/>
      <c r="IXM41" s="6"/>
      <c r="IXN41" s="6"/>
      <c r="IXO41" s="6"/>
      <c r="IXP41" s="6"/>
      <c r="IXQ41" s="6"/>
      <c r="IXR41" s="6"/>
      <c r="IXS41" s="6"/>
      <c r="IXT41" s="6"/>
      <c r="IXU41" s="6"/>
      <c r="IXV41" s="6"/>
      <c r="IXW41" s="6"/>
      <c r="IXX41" s="6"/>
      <c r="IXY41" s="6"/>
      <c r="IXZ41" s="6"/>
      <c r="IYA41" s="6"/>
      <c r="IYB41" s="6"/>
      <c r="IYC41" s="6"/>
      <c r="IYD41" s="6"/>
      <c r="IYE41" s="6"/>
      <c r="IYF41" s="6"/>
      <c r="IYG41" s="6"/>
      <c r="IYH41" s="6"/>
      <c r="IYI41" s="6"/>
      <c r="IYJ41" s="6"/>
      <c r="IYK41" s="6"/>
      <c r="IYL41" s="6"/>
      <c r="IYM41" s="6"/>
      <c r="IYN41" s="6"/>
      <c r="IYO41" s="6"/>
      <c r="IYP41" s="6"/>
      <c r="IYQ41" s="6"/>
      <c r="IYR41" s="6"/>
      <c r="IYS41" s="6"/>
      <c r="IYT41" s="6"/>
      <c r="IYU41" s="6"/>
      <c r="IYV41" s="6"/>
      <c r="IYW41" s="6"/>
      <c r="IYX41" s="6"/>
      <c r="IYY41" s="6"/>
      <c r="IYZ41" s="6"/>
      <c r="IZA41" s="6"/>
      <c r="IZB41" s="6"/>
      <c r="IZC41" s="6"/>
      <c r="IZD41" s="6"/>
      <c r="IZE41" s="6"/>
      <c r="IZF41" s="6"/>
      <c r="IZG41" s="6"/>
      <c r="IZH41" s="6"/>
      <c r="IZI41" s="6"/>
      <c r="IZJ41" s="6"/>
      <c r="IZK41" s="6"/>
      <c r="IZL41" s="6"/>
      <c r="IZM41" s="6"/>
      <c r="IZN41" s="6"/>
      <c r="IZO41" s="6"/>
      <c r="IZP41" s="6"/>
      <c r="IZQ41" s="6"/>
      <c r="IZR41" s="6"/>
      <c r="IZS41" s="6"/>
      <c r="IZT41" s="6"/>
      <c r="IZU41" s="6"/>
      <c r="IZV41" s="6"/>
      <c r="IZW41" s="6"/>
      <c r="IZX41" s="6"/>
      <c r="IZY41" s="6"/>
      <c r="IZZ41" s="6"/>
      <c r="JAA41" s="6"/>
      <c r="JAB41" s="6"/>
      <c r="JAC41" s="6"/>
      <c r="JAD41" s="6"/>
      <c r="JAE41" s="6"/>
      <c r="JAF41" s="6"/>
      <c r="JAG41" s="6"/>
      <c r="JAH41" s="6"/>
      <c r="JAI41" s="6"/>
      <c r="JAJ41" s="6"/>
      <c r="JAK41" s="6"/>
      <c r="JAL41" s="6"/>
      <c r="JAM41" s="6"/>
      <c r="JAN41" s="6"/>
      <c r="JAO41" s="6"/>
      <c r="JAP41" s="6"/>
      <c r="JAQ41" s="6"/>
      <c r="JAR41" s="6"/>
      <c r="JAS41" s="6"/>
      <c r="JAT41" s="6"/>
      <c r="JAU41" s="6"/>
      <c r="JAV41" s="6"/>
      <c r="JAW41" s="6"/>
      <c r="JAX41" s="6"/>
      <c r="JAY41" s="6"/>
      <c r="JAZ41" s="6"/>
      <c r="JBA41" s="6"/>
      <c r="JBB41" s="6"/>
      <c r="JBC41" s="6"/>
      <c r="JBD41" s="6"/>
      <c r="JBE41" s="6"/>
      <c r="JBF41" s="6"/>
      <c r="JBG41" s="6"/>
      <c r="JBH41" s="6"/>
      <c r="JBI41" s="6"/>
      <c r="JBJ41" s="6"/>
      <c r="JBK41" s="6"/>
      <c r="JBL41" s="6"/>
      <c r="JBM41" s="6"/>
      <c r="JBN41" s="6"/>
      <c r="JBO41" s="6"/>
      <c r="JBP41" s="6"/>
      <c r="JBQ41" s="6"/>
      <c r="JBR41" s="6"/>
      <c r="JBS41" s="6"/>
      <c r="JBT41" s="6"/>
      <c r="JBU41" s="6"/>
      <c r="JBV41" s="6"/>
      <c r="JBW41" s="6"/>
      <c r="JBX41" s="6"/>
      <c r="JBY41" s="6"/>
      <c r="JBZ41" s="6"/>
      <c r="JCA41" s="6"/>
      <c r="JCB41" s="6"/>
      <c r="JCC41" s="6"/>
      <c r="JCD41" s="6"/>
      <c r="JCE41" s="6"/>
      <c r="JCF41" s="6"/>
      <c r="JCG41" s="6"/>
      <c r="JCH41" s="6"/>
      <c r="JCI41" s="6"/>
      <c r="JCJ41" s="6"/>
      <c r="JCK41" s="6"/>
      <c r="JCL41" s="6"/>
      <c r="JCM41" s="6"/>
      <c r="JCN41" s="6"/>
      <c r="JCO41" s="6"/>
      <c r="JCP41" s="6"/>
      <c r="JCQ41" s="6"/>
      <c r="JCR41" s="6"/>
      <c r="JCS41" s="6"/>
      <c r="JCT41" s="6"/>
      <c r="JCU41" s="6"/>
      <c r="JCV41" s="6"/>
      <c r="JCW41" s="6"/>
      <c r="JCX41" s="6"/>
      <c r="JCY41" s="6"/>
      <c r="JCZ41" s="6"/>
      <c r="JDA41" s="6"/>
      <c r="JDB41" s="6"/>
      <c r="JDC41" s="6"/>
      <c r="JDD41" s="6"/>
      <c r="JDE41" s="6"/>
      <c r="JDF41" s="6"/>
      <c r="JDG41" s="6"/>
      <c r="JDH41" s="6"/>
      <c r="JDI41" s="6"/>
      <c r="JDJ41" s="6"/>
      <c r="JDK41" s="6"/>
      <c r="JDL41" s="6"/>
      <c r="JDM41" s="6"/>
      <c r="JDN41" s="6"/>
      <c r="JDO41" s="6"/>
      <c r="JDP41" s="6"/>
      <c r="JDQ41" s="6"/>
      <c r="JDR41" s="6"/>
      <c r="JDS41" s="6"/>
      <c r="JDT41" s="6"/>
      <c r="JDU41" s="6"/>
      <c r="JDV41" s="6"/>
      <c r="JDW41" s="6"/>
      <c r="JDX41" s="6"/>
      <c r="JDY41" s="6"/>
      <c r="JDZ41" s="6"/>
      <c r="JEA41" s="6"/>
      <c r="JEB41" s="6"/>
      <c r="JEC41" s="6"/>
      <c r="JED41" s="6"/>
      <c r="JEE41" s="6"/>
      <c r="JEF41" s="6"/>
      <c r="JEG41" s="6"/>
      <c r="JEH41" s="6"/>
      <c r="JEI41" s="6"/>
      <c r="JEJ41" s="6"/>
      <c r="JEK41" s="6"/>
      <c r="JEL41" s="6"/>
      <c r="JEM41" s="6"/>
      <c r="JEN41" s="6"/>
      <c r="JEO41" s="6"/>
      <c r="JEP41" s="6"/>
      <c r="JEQ41" s="6"/>
      <c r="JER41" s="6"/>
      <c r="JES41" s="6"/>
      <c r="JET41" s="6"/>
      <c r="JEU41" s="6"/>
      <c r="JEV41" s="6"/>
      <c r="JEW41" s="6"/>
      <c r="JEX41" s="6"/>
      <c r="JEY41" s="6"/>
      <c r="JEZ41" s="6"/>
      <c r="JFA41" s="6"/>
      <c r="JFB41" s="6"/>
      <c r="JFC41" s="6"/>
      <c r="JFD41" s="6"/>
      <c r="JFE41" s="6"/>
      <c r="JFF41" s="6"/>
      <c r="JFG41" s="6"/>
      <c r="JFH41" s="6"/>
      <c r="JFI41" s="6"/>
      <c r="JFJ41" s="6"/>
      <c r="JFK41" s="6"/>
      <c r="JFL41" s="6"/>
      <c r="JFM41" s="6"/>
      <c r="JFN41" s="6"/>
      <c r="JFO41" s="6"/>
      <c r="JFP41" s="6"/>
      <c r="JFQ41" s="6"/>
      <c r="JFR41" s="6"/>
      <c r="JFS41" s="6"/>
      <c r="JFT41" s="6"/>
      <c r="JFU41" s="6"/>
      <c r="JFV41" s="6"/>
      <c r="JFW41" s="6"/>
      <c r="JFX41" s="6"/>
      <c r="JFY41" s="6"/>
      <c r="JFZ41" s="6"/>
      <c r="JGA41" s="6"/>
      <c r="JGB41" s="6"/>
      <c r="JGC41" s="6"/>
      <c r="JGD41" s="6"/>
      <c r="JGE41" s="6"/>
      <c r="JGF41" s="6"/>
      <c r="JGG41" s="6"/>
      <c r="JGH41" s="6"/>
      <c r="JGI41" s="6"/>
      <c r="JGJ41" s="6"/>
      <c r="JGK41" s="6"/>
      <c r="JGL41" s="6"/>
      <c r="JGM41" s="6"/>
      <c r="JGN41" s="6"/>
      <c r="JGO41" s="6"/>
      <c r="JGP41" s="6"/>
      <c r="JGQ41" s="6"/>
      <c r="JGR41" s="6"/>
      <c r="JGS41" s="6"/>
      <c r="JGT41" s="6"/>
      <c r="JGU41" s="6"/>
      <c r="JGV41" s="6"/>
      <c r="JGW41" s="6"/>
      <c r="JGX41" s="6"/>
      <c r="JGY41" s="6"/>
      <c r="JGZ41" s="6"/>
      <c r="JHA41" s="6"/>
      <c r="JHB41" s="6"/>
      <c r="JHC41" s="6"/>
      <c r="JHD41" s="6"/>
      <c r="JHE41" s="6"/>
      <c r="JHF41" s="6"/>
      <c r="JHG41" s="6"/>
      <c r="JHH41" s="6"/>
      <c r="JHI41" s="6"/>
      <c r="JHJ41" s="6"/>
      <c r="JHK41" s="6"/>
      <c r="JHL41" s="6"/>
      <c r="JHM41" s="6"/>
      <c r="JHN41" s="6"/>
      <c r="JHO41" s="6"/>
      <c r="JHP41" s="6"/>
      <c r="JHQ41" s="6"/>
      <c r="JHR41" s="6"/>
      <c r="JHS41" s="6"/>
      <c r="JHT41" s="6"/>
      <c r="JHU41" s="6"/>
      <c r="JHV41" s="6"/>
      <c r="JHW41" s="6"/>
      <c r="JHX41" s="6"/>
      <c r="JHY41" s="6"/>
      <c r="JHZ41" s="6"/>
      <c r="JIA41" s="6"/>
      <c r="JIB41" s="6"/>
      <c r="JIC41" s="6"/>
      <c r="JID41" s="6"/>
      <c r="JIE41" s="6"/>
      <c r="JIF41" s="6"/>
      <c r="JIG41" s="6"/>
      <c r="JIH41" s="6"/>
      <c r="JII41" s="6"/>
      <c r="JIJ41" s="6"/>
      <c r="JIK41" s="6"/>
      <c r="JIL41" s="6"/>
      <c r="JIM41" s="6"/>
      <c r="JIN41" s="6"/>
      <c r="JIO41" s="6"/>
      <c r="JIP41" s="6"/>
      <c r="JIQ41" s="6"/>
      <c r="JIR41" s="6"/>
      <c r="JIS41" s="6"/>
      <c r="JIT41" s="6"/>
      <c r="JIU41" s="6"/>
      <c r="JIV41" s="6"/>
      <c r="JIW41" s="6"/>
      <c r="JIX41" s="6"/>
      <c r="JIY41" s="6"/>
      <c r="JIZ41" s="6"/>
      <c r="JJA41" s="6"/>
      <c r="JJB41" s="6"/>
      <c r="JJC41" s="6"/>
      <c r="JJD41" s="6"/>
      <c r="JJE41" s="6"/>
      <c r="JJF41" s="6"/>
      <c r="JJG41" s="6"/>
      <c r="JJH41" s="6"/>
      <c r="JJI41" s="6"/>
      <c r="JJJ41" s="6"/>
      <c r="JJK41" s="6"/>
      <c r="JJL41" s="6"/>
      <c r="JJM41" s="6"/>
      <c r="JJN41" s="6"/>
      <c r="JJO41" s="6"/>
      <c r="JJP41" s="6"/>
      <c r="JJQ41" s="6"/>
      <c r="JJR41" s="6"/>
      <c r="JJS41" s="6"/>
      <c r="JJT41" s="6"/>
      <c r="JJU41" s="6"/>
      <c r="JJV41" s="6"/>
      <c r="JJW41" s="6"/>
      <c r="JJX41" s="6"/>
      <c r="JJY41" s="6"/>
      <c r="JJZ41" s="6"/>
      <c r="JKA41" s="6"/>
      <c r="JKB41" s="6"/>
      <c r="JKC41" s="6"/>
      <c r="JKD41" s="6"/>
      <c r="JKE41" s="6"/>
      <c r="JKF41" s="6"/>
      <c r="JKG41" s="6"/>
      <c r="JKH41" s="6"/>
      <c r="JKI41" s="6"/>
      <c r="JKJ41" s="6"/>
      <c r="JKK41" s="6"/>
      <c r="JKL41" s="6"/>
      <c r="JKM41" s="6"/>
      <c r="JKN41" s="6"/>
      <c r="JKO41" s="6"/>
      <c r="JKP41" s="6"/>
      <c r="JKQ41" s="6"/>
      <c r="JKR41" s="6"/>
      <c r="JKS41" s="6"/>
      <c r="JKT41" s="6"/>
      <c r="JKU41" s="6"/>
      <c r="JKV41" s="6"/>
      <c r="JKW41" s="6"/>
      <c r="JKX41" s="6"/>
      <c r="JKY41" s="6"/>
      <c r="JKZ41" s="6"/>
      <c r="JLA41" s="6"/>
      <c r="JLB41" s="6"/>
      <c r="JLC41" s="6"/>
      <c r="JLD41" s="6"/>
      <c r="JLE41" s="6"/>
      <c r="JLF41" s="6"/>
      <c r="JLG41" s="6"/>
      <c r="JLH41" s="6"/>
      <c r="JLI41" s="6"/>
      <c r="JLJ41" s="6"/>
      <c r="JLK41" s="6"/>
      <c r="JLL41" s="6"/>
      <c r="JLM41" s="6"/>
      <c r="JLN41" s="6"/>
      <c r="JLO41" s="6"/>
      <c r="JLP41" s="6"/>
      <c r="JLQ41" s="6"/>
      <c r="JLR41" s="6"/>
      <c r="JLS41" s="6"/>
      <c r="JLT41" s="6"/>
      <c r="JLU41" s="6"/>
      <c r="JLV41" s="6"/>
      <c r="JLW41" s="6"/>
      <c r="JLX41" s="6"/>
      <c r="JLY41" s="6"/>
      <c r="JLZ41" s="6"/>
      <c r="JMA41" s="6"/>
      <c r="JMB41" s="6"/>
      <c r="JMC41" s="6"/>
      <c r="JMD41" s="6"/>
      <c r="JME41" s="6"/>
      <c r="JMF41" s="6"/>
      <c r="JMG41" s="6"/>
      <c r="JMH41" s="6"/>
      <c r="JMI41" s="6"/>
      <c r="JMJ41" s="6"/>
      <c r="JMK41" s="6"/>
      <c r="JML41" s="6"/>
      <c r="JMM41" s="6"/>
      <c r="JMN41" s="6"/>
      <c r="JMO41" s="6"/>
      <c r="JMP41" s="6"/>
      <c r="JMQ41" s="6"/>
      <c r="JMR41" s="6"/>
      <c r="JMS41" s="6"/>
      <c r="JMT41" s="6"/>
      <c r="JMU41" s="6"/>
      <c r="JMV41" s="6"/>
      <c r="JMW41" s="6"/>
      <c r="JMX41" s="6"/>
      <c r="JMY41" s="6"/>
      <c r="JMZ41" s="6"/>
      <c r="JNA41" s="6"/>
      <c r="JNB41" s="6"/>
      <c r="JNC41" s="6"/>
      <c r="JND41" s="6"/>
      <c r="JNE41" s="6"/>
      <c r="JNF41" s="6"/>
      <c r="JNG41" s="6"/>
      <c r="JNH41" s="6"/>
      <c r="JNI41" s="6"/>
      <c r="JNJ41" s="6"/>
      <c r="JNK41" s="6"/>
      <c r="JNL41" s="6"/>
      <c r="JNM41" s="6"/>
      <c r="JNN41" s="6"/>
      <c r="JNO41" s="6"/>
      <c r="JNP41" s="6"/>
      <c r="JNQ41" s="6"/>
      <c r="JNR41" s="6"/>
      <c r="JNS41" s="6"/>
      <c r="JNT41" s="6"/>
      <c r="JNU41" s="6"/>
      <c r="JNV41" s="6"/>
      <c r="JNW41" s="6"/>
      <c r="JNX41" s="6"/>
      <c r="JNY41" s="6"/>
      <c r="JNZ41" s="6"/>
      <c r="JOA41" s="6"/>
      <c r="JOB41" s="6"/>
      <c r="JOC41" s="6"/>
      <c r="JOD41" s="6"/>
      <c r="JOE41" s="6"/>
      <c r="JOF41" s="6"/>
      <c r="JOG41" s="6"/>
      <c r="JOH41" s="6"/>
      <c r="JOI41" s="6"/>
      <c r="JOJ41" s="6"/>
      <c r="JOK41" s="6"/>
      <c r="JOL41" s="6"/>
      <c r="JOM41" s="6"/>
      <c r="JON41" s="6"/>
      <c r="JOO41" s="6"/>
      <c r="JOP41" s="6"/>
      <c r="JOQ41" s="6"/>
      <c r="JOR41" s="6"/>
      <c r="JOS41" s="6"/>
      <c r="JOT41" s="6"/>
      <c r="JOU41" s="6"/>
      <c r="JOV41" s="6"/>
      <c r="JOW41" s="6"/>
      <c r="JOX41" s="6"/>
      <c r="JOY41" s="6"/>
      <c r="JOZ41" s="6"/>
      <c r="JPA41" s="6"/>
      <c r="JPB41" s="6"/>
      <c r="JPC41" s="6"/>
      <c r="JPD41" s="6"/>
      <c r="JPE41" s="6"/>
      <c r="JPF41" s="6"/>
      <c r="JPG41" s="6"/>
      <c r="JPH41" s="6"/>
      <c r="JPI41" s="6"/>
      <c r="JPJ41" s="6"/>
      <c r="JPK41" s="6"/>
      <c r="JPL41" s="6"/>
      <c r="JPM41" s="6"/>
      <c r="JPN41" s="6"/>
      <c r="JPO41" s="6"/>
      <c r="JPP41" s="6"/>
      <c r="JPQ41" s="6"/>
      <c r="JPR41" s="6"/>
      <c r="JPS41" s="6"/>
      <c r="JPT41" s="6"/>
      <c r="JPU41" s="6"/>
      <c r="JPV41" s="6"/>
      <c r="JPW41" s="6"/>
      <c r="JPX41" s="6"/>
      <c r="JPY41" s="6"/>
      <c r="JPZ41" s="6"/>
      <c r="JQA41" s="6"/>
      <c r="JQB41" s="6"/>
      <c r="JQC41" s="6"/>
      <c r="JQD41" s="6"/>
      <c r="JQE41" s="6"/>
      <c r="JQF41" s="6"/>
      <c r="JQG41" s="6"/>
      <c r="JQH41" s="6"/>
      <c r="JQI41" s="6"/>
      <c r="JQJ41" s="6"/>
      <c r="JQK41" s="6"/>
      <c r="JQL41" s="6"/>
      <c r="JQM41" s="6"/>
      <c r="JQN41" s="6"/>
      <c r="JQO41" s="6"/>
      <c r="JQP41" s="6"/>
      <c r="JQQ41" s="6"/>
      <c r="JQR41" s="6"/>
      <c r="JQS41" s="6"/>
      <c r="JQT41" s="6"/>
      <c r="JQU41" s="6"/>
      <c r="JQV41" s="6"/>
      <c r="JQW41" s="6"/>
      <c r="JQX41" s="6"/>
      <c r="JQY41" s="6"/>
      <c r="JQZ41" s="6"/>
      <c r="JRA41" s="6"/>
      <c r="JRB41" s="6"/>
      <c r="JRC41" s="6"/>
      <c r="JRD41" s="6"/>
      <c r="JRE41" s="6"/>
      <c r="JRF41" s="6"/>
      <c r="JRG41" s="6"/>
      <c r="JRH41" s="6"/>
      <c r="JRI41" s="6"/>
      <c r="JRJ41" s="6"/>
      <c r="JRK41" s="6"/>
      <c r="JRL41" s="6"/>
      <c r="JRM41" s="6"/>
      <c r="JRN41" s="6"/>
      <c r="JRO41" s="6"/>
      <c r="JRP41" s="6"/>
      <c r="JRQ41" s="6"/>
      <c r="JRR41" s="6"/>
      <c r="JRS41" s="6"/>
      <c r="JRT41" s="6"/>
      <c r="JRU41" s="6"/>
      <c r="JRV41" s="6"/>
      <c r="JRW41" s="6"/>
      <c r="JRX41" s="6"/>
      <c r="JRY41" s="6"/>
      <c r="JRZ41" s="6"/>
      <c r="JSA41" s="6"/>
      <c r="JSB41" s="6"/>
      <c r="JSC41" s="6"/>
      <c r="JSD41" s="6"/>
      <c r="JSE41" s="6"/>
      <c r="JSF41" s="6"/>
      <c r="JSG41" s="6"/>
      <c r="JSH41" s="6"/>
      <c r="JSI41" s="6"/>
      <c r="JSJ41" s="6"/>
      <c r="JSK41" s="6"/>
      <c r="JSL41" s="6"/>
      <c r="JSM41" s="6"/>
      <c r="JSN41" s="6"/>
      <c r="JSO41" s="6"/>
      <c r="JSP41" s="6"/>
      <c r="JSQ41" s="6"/>
      <c r="JSR41" s="6"/>
      <c r="JSS41" s="6"/>
      <c r="JST41" s="6"/>
      <c r="JSU41" s="6"/>
      <c r="JSV41" s="6"/>
      <c r="JSW41" s="6"/>
      <c r="JSX41" s="6"/>
      <c r="JSY41" s="6"/>
      <c r="JSZ41" s="6"/>
      <c r="JTA41" s="6"/>
      <c r="JTB41" s="6"/>
      <c r="JTC41" s="6"/>
      <c r="JTD41" s="6"/>
      <c r="JTE41" s="6"/>
      <c r="JTF41" s="6"/>
      <c r="JTG41" s="6"/>
      <c r="JTH41" s="6"/>
      <c r="JTI41" s="6"/>
      <c r="JTJ41" s="6"/>
      <c r="JTK41" s="6"/>
      <c r="JTL41" s="6"/>
      <c r="JTM41" s="6"/>
      <c r="JTN41" s="6"/>
      <c r="JTO41" s="6"/>
      <c r="JTP41" s="6"/>
      <c r="JTQ41" s="6"/>
      <c r="JTR41" s="6"/>
      <c r="JTS41" s="6"/>
      <c r="JTT41" s="6"/>
      <c r="JTU41" s="6"/>
      <c r="JTV41" s="6"/>
      <c r="JTW41" s="6"/>
      <c r="JTX41" s="6"/>
      <c r="JTY41" s="6"/>
      <c r="JTZ41" s="6"/>
      <c r="JUA41" s="6"/>
      <c r="JUB41" s="6"/>
      <c r="JUC41" s="6"/>
      <c r="JUD41" s="6"/>
      <c r="JUE41" s="6"/>
      <c r="JUF41" s="6"/>
      <c r="JUG41" s="6"/>
      <c r="JUH41" s="6"/>
      <c r="JUI41" s="6"/>
      <c r="JUJ41" s="6"/>
      <c r="JUK41" s="6"/>
      <c r="JUL41" s="6"/>
      <c r="JUM41" s="6"/>
      <c r="JUN41" s="6"/>
      <c r="JUO41" s="6"/>
      <c r="JUP41" s="6"/>
      <c r="JUQ41" s="6"/>
      <c r="JUR41" s="6"/>
      <c r="JUS41" s="6"/>
      <c r="JUT41" s="6"/>
      <c r="JUU41" s="6"/>
      <c r="JUV41" s="6"/>
      <c r="JUW41" s="6"/>
      <c r="JUX41" s="6"/>
      <c r="JUY41" s="6"/>
      <c r="JUZ41" s="6"/>
      <c r="JVA41" s="6"/>
      <c r="JVB41" s="6"/>
      <c r="JVC41" s="6"/>
      <c r="JVD41" s="6"/>
      <c r="JVE41" s="6"/>
      <c r="JVF41" s="6"/>
      <c r="JVG41" s="6"/>
      <c r="JVH41" s="6"/>
      <c r="JVI41" s="6"/>
      <c r="JVJ41" s="6"/>
      <c r="JVK41" s="6"/>
      <c r="JVL41" s="6"/>
      <c r="JVM41" s="6"/>
      <c r="JVN41" s="6"/>
      <c r="JVO41" s="6"/>
      <c r="JVP41" s="6"/>
      <c r="JVQ41" s="6"/>
      <c r="JVR41" s="6"/>
      <c r="JVS41" s="6"/>
      <c r="JVT41" s="6"/>
      <c r="JVU41" s="6"/>
      <c r="JVV41" s="6"/>
      <c r="JVW41" s="6"/>
      <c r="JVX41" s="6"/>
      <c r="JVY41" s="6"/>
      <c r="JVZ41" s="6"/>
      <c r="JWA41" s="6"/>
      <c r="JWB41" s="6"/>
      <c r="JWC41" s="6"/>
      <c r="JWD41" s="6"/>
      <c r="JWE41" s="6"/>
      <c r="JWF41" s="6"/>
      <c r="JWG41" s="6"/>
      <c r="JWH41" s="6"/>
      <c r="JWI41" s="6"/>
      <c r="JWJ41" s="6"/>
      <c r="JWK41" s="6"/>
      <c r="JWL41" s="6"/>
      <c r="JWM41" s="6"/>
      <c r="JWN41" s="6"/>
      <c r="JWO41" s="6"/>
      <c r="JWP41" s="6"/>
      <c r="JWQ41" s="6"/>
      <c r="JWR41" s="6"/>
      <c r="JWS41" s="6"/>
      <c r="JWT41" s="6"/>
      <c r="JWU41" s="6"/>
      <c r="JWV41" s="6"/>
      <c r="JWW41" s="6"/>
      <c r="JWX41" s="6"/>
      <c r="JWY41" s="6"/>
      <c r="JWZ41" s="6"/>
      <c r="JXA41" s="6"/>
      <c r="JXB41" s="6"/>
      <c r="JXC41" s="6"/>
      <c r="JXD41" s="6"/>
      <c r="JXE41" s="6"/>
      <c r="JXF41" s="6"/>
      <c r="JXG41" s="6"/>
      <c r="JXH41" s="6"/>
      <c r="JXI41" s="6"/>
      <c r="JXJ41" s="6"/>
      <c r="JXK41" s="6"/>
      <c r="JXL41" s="6"/>
      <c r="JXM41" s="6"/>
      <c r="JXN41" s="6"/>
      <c r="JXO41" s="6"/>
      <c r="JXP41" s="6"/>
      <c r="JXQ41" s="6"/>
      <c r="JXR41" s="6"/>
      <c r="JXS41" s="6"/>
      <c r="JXT41" s="6"/>
      <c r="JXU41" s="6"/>
      <c r="JXV41" s="6"/>
      <c r="JXW41" s="6"/>
      <c r="JXX41" s="6"/>
      <c r="JXY41" s="6"/>
      <c r="JXZ41" s="6"/>
      <c r="JYA41" s="6"/>
      <c r="JYB41" s="6"/>
      <c r="JYC41" s="6"/>
      <c r="JYD41" s="6"/>
      <c r="JYE41" s="6"/>
      <c r="JYF41" s="6"/>
      <c r="JYG41" s="6"/>
      <c r="JYH41" s="6"/>
      <c r="JYI41" s="6"/>
      <c r="JYJ41" s="6"/>
      <c r="JYK41" s="6"/>
      <c r="JYL41" s="6"/>
      <c r="JYM41" s="6"/>
      <c r="JYN41" s="6"/>
      <c r="JYO41" s="6"/>
      <c r="JYP41" s="6"/>
      <c r="JYQ41" s="6"/>
      <c r="JYR41" s="6"/>
      <c r="JYS41" s="6"/>
      <c r="JYT41" s="6"/>
      <c r="JYU41" s="6"/>
      <c r="JYV41" s="6"/>
      <c r="JYW41" s="6"/>
      <c r="JYX41" s="6"/>
      <c r="JYY41" s="6"/>
      <c r="JYZ41" s="6"/>
      <c r="JZA41" s="6"/>
      <c r="JZB41" s="6"/>
      <c r="JZC41" s="6"/>
      <c r="JZD41" s="6"/>
      <c r="JZE41" s="6"/>
      <c r="JZF41" s="6"/>
      <c r="JZG41" s="6"/>
      <c r="JZH41" s="6"/>
      <c r="JZI41" s="6"/>
      <c r="JZJ41" s="6"/>
      <c r="JZK41" s="6"/>
      <c r="JZL41" s="6"/>
      <c r="JZM41" s="6"/>
      <c r="JZN41" s="6"/>
      <c r="JZO41" s="6"/>
      <c r="JZP41" s="6"/>
      <c r="JZQ41" s="6"/>
      <c r="JZR41" s="6"/>
      <c r="JZS41" s="6"/>
      <c r="JZT41" s="6"/>
      <c r="JZU41" s="6"/>
      <c r="JZV41" s="6"/>
      <c r="JZW41" s="6"/>
      <c r="JZX41" s="6"/>
      <c r="JZY41" s="6"/>
      <c r="JZZ41" s="6"/>
      <c r="KAA41" s="6"/>
      <c r="KAB41" s="6"/>
      <c r="KAC41" s="6"/>
      <c r="KAD41" s="6"/>
      <c r="KAE41" s="6"/>
      <c r="KAF41" s="6"/>
      <c r="KAG41" s="6"/>
      <c r="KAH41" s="6"/>
      <c r="KAI41" s="6"/>
      <c r="KAJ41" s="6"/>
      <c r="KAK41" s="6"/>
      <c r="KAL41" s="6"/>
      <c r="KAM41" s="6"/>
      <c r="KAN41" s="6"/>
      <c r="KAO41" s="6"/>
      <c r="KAP41" s="6"/>
      <c r="KAQ41" s="6"/>
      <c r="KAR41" s="6"/>
      <c r="KAS41" s="6"/>
      <c r="KAT41" s="6"/>
      <c r="KAU41" s="6"/>
      <c r="KAV41" s="6"/>
      <c r="KAW41" s="6"/>
      <c r="KAX41" s="6"/>
      <c r="KAY41" s="6"/>
      <c r="KAZ41" s="6"/>
      <c r="KBA41" s="6"/>
      <c r="KBB41" s="6"/>
      <c r="KBC41" s="6"/>
      <c r="KBD41" s="6"/>
      <c r="KBE41" s="6"/>
      <c r="KBF41" s="6"/>
      <c r="KBG41" s="6"/>
      <c r="KBH41" s="6"/>
      <c r="KBI41" s="6"/>
      <c r="KBJ41" s="6"/>
      <c r="KBK41" s="6"/>
      <c r="KBL41" s="6"/>
      <c r="KBM41" s="6"/>
      <c r="KBN41" s="6"/>
      <c r="KBO41" s="6"/>
      <c r="KBP41" s="6"/>
      <c r="KBQ41" s="6"/>
      <c r="KBR41" s="6"/>
      <c r="KBS41" s="6"/>
      <c r="KBT41" s="6"/>
      <c r="KBU41" s="6"/>
      <c r="KBV41" s="6"/>
      <c r="KBW41" s="6"/>
      <c r="KBX41" s="6"/>
      <c r="KBY41" s="6"/>
      <c r="KBZ41" s="6"/>
      <c r="KCA41" s="6"/>
      <c r="KCB41" s="6"/>
      <c r="KCC41" s="6"/>
      <c r="KCD41" s="6"/>
      <c r="KCE41" s="6"/>
      <c r="KCF41" s="6"/>
      <c r="KCG41" s="6"/>
      <c r="KCH41" s="6"/>
      <c r="KCI41" s="6"/>
      <c r="KCJ41" s="6"/>
      <c r="KCK41" s="6"/>
      <c r="KCL41" s="6"/>
      <c r="KCM41" s="6"/>
      <c r="KCN41" s="6"/>
      <c r="KCO41" s="6"/>
      <c r="KCP41" s="6"/>
      <c r="KCQ41" s="6"/>
      <c r="KCR41" s="6"/>
      <c r="KCS41" s="6"/>
      <c r="KCT41" s="6"/>
      <c r="KCU41" s="6"/>
      <c r="KCV41" s="6"/>
      <c r="KCW41" s="6"/>
      <c r="KCX41" s="6"/>
      <c r="KCY41" s="6"/>
      <c r="KCZ41" s="6"/>
      <c r="KDA41" s="6"/>
      <c r="KDB41" s="6"/>
      <c r="KDC41" s="6"/>
      <c r="KDD41" s="6"/>
      <c r="KDE41" s="6"/>
      <c r="KDF41" s="6"/>
      <c r="KDG41" s="6"/>
      <c r="KDH41" s="6"/>
      <c r="KDI41" s="6"/>
      <c r="KDJ41" s="6"/>
      <c r="KDK41" s="6"/>
      <c r="KDL41" s="6"/>
      <c r="KDM41" s="6"/>
      <c r="KDN41" s="6"/>
      <c r="KDO41" s="6"/>
      <c r="KDP41" s="6"/>
      <c r="KDQ41" s="6"/>
      <c r="KDR41" s="6"/>
      <c r="KDS41" s="6"/>
      <c r="KDT41" s="6"/>
      <c r="KDU41" s="6"/>
      <c r="KDV41" s="6"/>
      <c r="KDW41" s="6"/>
      <c r="KDX41" s="6"/>
      <c r="KDY41" s="6"/>
      <c r="KDZ41" s="6"/>
      <c r="KEA41" s="6"/>
      <c r="KEB41" s="6"/>
      <c r="KEC41" s="6"/>
      <c r="KED41" s="6"/>
      <c r="KEE41" s="6"/>
      <c r="KEF41" s="6"/>
      <c r="KEG41" s="6"/>
      <c r="KEH41" s="6"/>
      <c r="KEI41" s="6"/>
      <c r="KEJ41" s="6"/>
      <c r="KEK41" s="6"/>
      <c r="KEL41" s="6"/>
      <c r="KEM41" s="6"/>
      <c r="KEN41" s="6"/>
      <c r="KEO41" s="6"/>
      <c r="KEP41" s="6"/>
      <c r="KEQ41" s="6"/>
      <c r="KER41" s="6"/>
      <c r="KES41" s="6"/>
      <c r="KET41" s="6"/>
      <c r="KEU41" s="6"/>
      <c r="KEV41" s="6"/>
      <c r="KEW41" s="6"/>
      <c r="KEX41" s="6"/>
      <c r="KEY41" s="6"/>
      <c r="KEZ41" s="6"/>
      <c r="KFA41" s="6"/>
      <c r="KFB41" s="6"/>
      <c r="KFC41" s="6"/>
      <c r="KFD41" s="6"/>
      <c r="KFE41" s="6"/>
      <c r="KFF41" s="6"/>
      <c r="KFG41" s="6"/>
      <c r="KFH41" s="6"/>
      <c r="KFI41" s="6"/>
      <c r="KFJ41" s="6"/>
      <c r="KFK41" s="6"/>
      <c r="KFL41" s="6"/>
      <c r="KFM41" s="6"/>
      <c r="KFN41" s="6"/>
      <c r="KFO41" s="6"/>
      <c r="KFP41" s="6"/>
      <c r="KFQ41" s="6"/>
      <c r="KFR41" s="6"/>
      <c r="KFS41" s="6"/>
      <c r="KFT41" s="6"/>
      <c r="KFU41" s="6"/>
      <c r="KFV41" s="6"/>
      <c r="KFW41" s="6"/>
      <c r="KFX41" s="6"/>
      <c r="KFY41" s="6"/>
      <c r="KFZ41" s="6"/>
      <c r="KGA41" s="6"/>
      <c r="KGB41" s="6"/>
      <c r="KGC41" s="6"/>
      <c r="KGD41" s="6"/>
      <c r="KGE41" s="6"/>
      <c r="KGF41" s="6"/>
      <c r="KGG41" s="6"/>
      <c r="KGH41" s="6"/>
      <c r="KGI41" s="6"/>
      <c r="KGJ41" s="6"/>
      <c r="KGK41" s="6"/>
      <c r="KGL41" s="6"/>
      <c r="KGM41" s="6"/>
      <c r="KGN41" s="6"/>
      <c r="KGO41" s="6"/>
      <c r="KGP41" s="6"/>
      <c r="KGQ41" s="6"/>
      <c r="KGR41" s="6"/>
      <c r="KGS41" s="6"/>
      <c r="KGT41" s="6"/>
      <c r="KGU41" s="6"/>
      <c r="KGV41" s="6"/>
      <c r="KGW41" s="6"/>
      <c r="KGX41" s="6"/>
      <c r="KGY41" s="6"/>
      <c r="KGZ41" s="6"/>
      <c r="KHA41" s="6"/>
      <c r="KHB41" s="6"/>
      <c r="KHC41" s="6"/>
      <c r="KHD41" s="6"/>
      <c r="KHE41" s="6"/>
      <c r="KHF41" s="6"/>
      <c r="KHG41" s="6"/>
      <c r="KHH41" s="6"/>
      <c r="KHI41" s="6"/>
      <c r="KHJ41" s="6"/>
      <c r="KHK41" s="6"/>
      <c r="KHL41" s="6"/>
      <c r="KHM41" s="6"/>
      <c r="KHN41" s="6"/>
      <c r="KHO41" s="6"/>
      <c r="KHP41" s="6"/>
      <c r="KHQ41" s="6"/>
      <c r="KHR41" s="6"/>
      <c r="KHS41" s="6"/>
      <c r="KHT41" s="6"/>
      <c r="KHU41" s="6"/>
      <c r="KHV41" s="6"/>
      <c r="KHW41" s="6"/>
      <c r="KHX41" s="6"/>
      <c r="KHY41" s="6"/>
      <c r="KHZ41" s="6"/>
      <c r="KIA41" s="6"/>
      <c r="KIB41" s="6"/>
      <c r="KIC41" s="6"/>
      <c r="KID41" s="6"/>
      <c r="KIE41" s="6"/>
      <c r="KIF41" s="6"/>
      <c r="KIG41" s="6"/>
      <c r="KIH41" s="6"/>
      <c r="KII41" s="6"/>
      <c r="KIJ41" s="6"/>
      <c r="KIK41" s="6"/>
      <c r="KIL41" s="6"/>
      <c r="KIM41" s="6"/>
      <c r="KIN41" s="6"/>
      <c r="KIO41" s="6"/>
      <c r="KIP41" s="6"/>
      <c r="KIQ41" s="6"/>
      <c r="KIR41" s="6"/>
      <c r="KIS41" s="6"/>
      <c r="KIT41" s="6"/>
      <c r="KIU41" s="6"/>
      <c r="KIV41" s="6"/>
      <c r="KIW41" s="6"/>
      <c r="KIX41" s="6"/>
      <c r="KIY41" s="6"/>
      <c r="KIZ41" s="6"/>
      <c r="KJA41" s="6"/>
      <c r="KJB41" s="6"/>
      <c r="KJC41" s="6"/>
      <c r="KJD41" s="6"/>
      <c r="KJE41" s="6"/>
      <c r="KJF41" s="6"/>
      <c r="KJG41" s="6"/>
      <c r="KJH41" s="6"/>
      <c r="KJI41" s="6"/>
      <c r="KJJ41" s="6"/>
      <c r="KJK41" s="6"/>
      <c r="KJL41" s="6"/>
      <c r="KJM41" s="6"/>
      <c r="KJN41" s="6"/>
      <c r="KJO41" s="6"/>
      <c r="KJP41" s="6"/>
      <c r="KJQ41" s="6"/>
      <c r="KJR41" s="6"/>
      <c r="KJS41" s="6"/>
      <c r="KJT41" s="6"/>
      <c r="KJU41" s="6"/>
      <c r="KJV41" s="6"/>
      <c r="KJW41" s="6"/>
      <c r="KJX41" s="6"/>
      <c r="KJY41" s="6"/>
      <c r="KJZ41" s="6"/>
      <c r="KKA41" s="6"/>
      <c r="KKB41" s="6"/>
      <c r="KKC41" s="6"/>
      <c r="KKD41" s="6"/>
      <c r="KKE41" s="6"/>
      <c r="KKF41" s="6"/>
      <c r="KKG41" s="6"/>
      <c r="KKH41" s="6"/>
      <c r="KKI41" s="6"/>
      <c r="KKJ41" s="6"/>
      <c r="KKK41" s="6"/>
      <c r="KKL41" s="6"/>
      <c r="KKM41" s="6"/>
      <c r="KKN41" s="6"/>
      <c r="KKO41" s="6"/>
      <c r="KKP41" s="6"/>
      <c r="KKQ41" s="6"/>
      <c r="KKR41" s="6"/>
      <c r="KKS41" s="6"/>
      <c r="KKT41" s="6"/>
      <c r="KKU41" s="6"/>
      <c r="KKV41" s="6"/>
      <c r="KKW41" s="6"/>
      <c r="KKX41" s="6"/>
      <c r="KKY41" s="6"/>
      <c r="KKZ41" s="6"/>
      <c r="KLA41" s="6"/>
      <c r="KLB41" s="6"/>
      <c r="KLC41" s="6"/>
      <c r="KLD41" s="6"/>
      <c r="KLE41" s="6"/>
      <c r="KLF41" s="6"/>
      <c r="KLG41" s="6"/>
      <c r="KLH41" s="6"/>
      <c r="KLI41" s="6"/>
      <c r="KLJ41" s="6"/>
      <c r="KLK41" s="6"/>
      <c r="KLL41" s="6"/>
      <c r="KLM41" s="6"/>
      <c r="KLN41" s="6"/>
      <c r="KLO41" s="6"/>
      <c r="KLP41" s="6"/>
      <c r="KLQ41" s="6"/>
      <c r="KLR41" s="6"/>
      <c r="KLS41" s="6"/>
      <c r="KLT41" s="6"/>
      <c r="KLU41" s="6"/>
      <c r="KLV41" s="6"/>
      <c r="KLW41" s="6"/>
      <c r="KLX41" s="6"/>
      <c r="KLY41" s="6"/>
      <c r="KLZ41" s="6"/>
      <c r="KMA41" s="6"/>
      <c r="KMB41" s="6"/>
      <c r="KMC41" s="6"/>
      <c r="KMD41" s="6"/>
      <c r="KME41" s="6"/>
      <c r="KMF41" s="6"/>
      <c r="KMG41" s="6"/>
      <c r="KMH41" s="6"/>
      <c r="KMI41" s="6"/>
      <c r="KMJ41" s="6"/>
      <c r="KMK41" s="6"/>
      <c r="KML41" s="6"/>
      <c r="KMM41" s="6"/>
      <c r="KMN41" s="6"/>
      <c r="KMO41" s="6"/>
      <c r="KMP41" s="6"/>
      <c r="KMQ41" s="6"/>
      <c r="KMR41" s="6"/>
      <c r="KMS41" s="6"/>
      <c r="KMT41" s="6"/>
      <c r="KMU41" s="6"/>
      <c r="KMV41" s="6"/>
      <c r="KMW41" s="6"/>
      <c r="KMX41" s="6"/>
      <c r="KMY41" s="6"/>
      <c r="KMZ41" s="6"/>
      <c r="KNA41" s="6"/>
      <c r="KNB41" s="6"/>
      <c r="KNC41" s="6"/>
      <c r="KND41" s="6"/>
      <c r="KNE41" s="6"/>
      <c r="KNF41" s="6"/>
      <c r="KNG41" s="6"/>
      <c r="KNH41" s="6"/>
      <c r="KNI41" s="6"/>
      <c r="KNJ41" s="6"/>
      <c r="KNK41" s="6"/>
      <c r="KNL41" s="6"/>
      <c r="KNM41" s="6"/>
      <c r="KNN41" s="6"/>
      <c r="KNO41" s="6"/>
      <c r="KNP41" s="6"/>
      <c r="KNQ41" s="6"/>
      <c r="KNR41" s="6"/>
      <c r="KNS41" s="6"/>
      <c r="KNT41" s="6"/>
      <c r="KNU41" s="6"/>
      <c r="KNV41" s="6"/>
      <c r="KNW41" s="6"/>
      <c r="KNX41" s="6"/>
      <c r="KNY41" s="6"/>
      <c r="KNZ41" s="6"/>
      <c r="KOA41" s="6"/>
      <c r="KOB41" s="6"/>
      <c r="KOC41" s="6"/>
      <c r="KOD41" s="6"/>
      <c r="KOE41" s="6"/>
      <c r="KOF41" s="6"/>
      <c r="KOG41" s="6"/>
      <c r="KOH41" s="6"/>
      <c r="KOI41" s="6"/>
      <c r="KOJ41" s="6"/>
      <c r="KOK41" s="6"/>
      <c r="KOL41" s="6"/>
      <c r="KOM41" s="6"/>
      <c r="KON41" s="6"/>
      <c r="KOO41" s="6"/>
      <c r="KOP41" s="6"/>
      <c r="KOQ41" s="6"/>
      <c r="KOR41" s="6"/>
      <c r="KOS41" s="6"/>
      <c r="KOT41" s="6"/>
      <c r="KOU41" s="6"/>
      <c r="KOV41" s="6"/>
      <c r="KOW41" s="6"/>
      <c r="KOX41" s="6"/>
      <c r="KOY41" s="6"/>
      <c r="KOZ41" s="6"/>
      <c r="KPA41" s="6"/>
      <c r="KPB41" s="6"/>
      <c r="KPC41" s="6"/>
      <c r="KPD41" s="6"/>
      <c r="KPE41" s="6"/>
      <c r="KPF41" s="6"/>
      <c r="KPG41" s="6"/>
      <c r="KPH41" s="6"/>
      <c r="KPI41" s="6"/>
      <c r="KPJ41" s="6"/>
      <c r="KPK41" s="6"/>
      <c r="KPL41" s="6"/>
      <c r="KPM41" s="6"/>
      <c r="KPN41" s="6"/>
      <c r="KPO41" s="6"/>
      <c r="KPP41" s="6"/>
      <c r="KPQ41" s="6"/>
      <c r="KPR41" s="6"/>
      <c r="KPS41" s="6"/>
      <c r="KPT41" s="6"/>
      <c r="KPU41" s="6"/>
      <c r="KPV41" s="6"/>
      <c r="KPW41" s="6"/>
      <c r="KPX41" s="6"/>
      <c r="KPY41" s="6"/>
      <c r="KPZ41" s="6"/>
      <c r="KQA41" s="6"/>
      <c r="KQB41" s="6"/>
      <c r="KQC41" s="6"/>
      <c r="KQD41" s="6"/>
      <c r="KQE41" s="6"/>
      <c r="KQF41" s="6"/>
      <c r="KQG41" s="6"/>
      <c r="KQH41" s="6"/>
      <c r="KQI41" s="6"/>
      <c r="KQJ41" s="6"/>
      <c r="KQK41" s="6"/>
      <c r="KQL41" s="6"/>
      <c r="KQM41" s="6"/>
      <c r="KQN41" s="6"/>
      <c r="KQO41" s="6"/>
      <c r="KQP41" s="6"/>
      <c r="KQQ41" s="6"/>
      <c r="KQR41" s="6"/>
      <c r="KQS41" s="6"/>
      <c r="KQT41" s="6"/>
      <c r="KQU41" s="6"/>
      <c r="KQV41" s="6"/>
      <c r="KQW41" s="6"/>
      <c r="KQX41" s="6"/>
      <c r="KQY41" s="6"/>
      <c r="KQZ41" s="6"/>
      <c r="KRA41" s="6"/>
      <c r="KRB41" s="6"/>
      <c r="KRC41" s="6"/>
      <c r="KRD41" s="6"/>
      <c r="KRE41" s="6"/>
      <c r="KRF41" s="6"/>
      <c r="KRG41" s="6"/>
      <c r="KRH41" s="6"/>
      <c r="KRI41" s="6"/>
      <c r="KRJ41" s="6"/>
      <c r="KRK41" s="6"/>
      <c r="KRL41" s="6"/>
      <c r="KRM41" s="6"/>
      <c r="KRN41" s="6"/>
      <c r="KRO41" s="6"/>
      <c r="KRP41" s="6"/>
      <c r="KRQ41" s="6"/>
      <c r="KRR41" s="6"/>
      <c r="KRS41" s="6"/>
      <c r="KRT41" s="6"/>
      <c r="KRU41" s="6"/>
      <c r="KRV41" s="6"/>
      <c r="KRW41" s="6"/>
      <c r="KRX41" s="6"/>
      <c r="KRY41" s="6"/>
      <c r="KRZ41" s="6"/>
      <c r="KSA41" s="6"/>
      <c r="KSB41" s="6"/>
      <c r="KSC41" s="6"/>
      <c r="KSD41" s="6"/>
      <c r="KSE41" s="6"/>
      <c r="KSF41" s="6"/>
      <c r="KSG41" s="6"/>
      <c r="KSH41" s="6"/>
      <c r="KSI41" s="6"/>
      <c r="KSJ41" s="6"/>
      <c r="KSK41" s="6"/>
      <c r="KSL41" s="6"/>
      <c r="KSM41" s="6"/>
      <c r="KSN41" s="6"/>
      <c r="KSO41" s="6"/>
      <c r="KSP41" s="6"/>
      <c r="KSQ41" s="6"/>
      <c r="KSR41" s="6"/>
      <c r="KSS41" s="6"/>
      <c r="KST41" s="6"/>
      <c r="KSU41" s="6"/>
      <c r="KSV41" s="6"/>
      <c r="KSW41" s="6"/>
      <c r="KSX41" s="6"/>
      <c r="KSY41" s="6"/>
      <c r="KSZ41" s="6"/>
      <c r="KTA41" s="6"/>
      <c r="KTB41" s="6"/>
      <c r="KTC41" s="6"/>
      <c r="KTD41" s="6"/>
      <c r="KTE41" s="6"/>
      <c r="KTF41" s="6"/>
      <c r="KTG41" s="6"/>
      <c r="KTH41" s="6"/>
      <c r="KTI41" s="6"/>
      <c r="KTJ41" s="6"/>
      <c r="KTK41" s="6"/>
      <c r="KTL41" s="6"/>
      <c r="KTM41" s="6"/>
      <c r="KTN41" s="6"/>
      <c r="KTO41" s="6"/>
      <c r="KTP41" s="6"/>
      <c r="KTQ41" s="6"/>
      <c r="KTR41" s="6"/>
      <c r="KTS41" s="6"/>
      <c r="KTT41" s="6"/>
      <c r="KTU41" s="6"/>
      <c r="KTV41" s="6"/>
      <c r="KTW41" s="6"/>
      <c r="KTX41" s="6"/>
      <c r="KTY41" s="6"/>
      <c r="KTZ41" s="6"/>
      <c r="KUA41" s="6"/>
      <c r="KUB41" s="6"/>
      <c r="KUC41" s="6"/>
      <c r="KUD41" s="6"/>
      <c r="KUE41" s="6"/>
      <c r="KUF41" s="6"/>
      <c r="KUG41" s="6"/>
      <c r="KUH41" s="6"/>
      <c r="KUI41" s="6"/>
      <c r="KUJ41" s="6"/>
      <c r="KUK41" s="6"/>
      <c r="KUL41" s="6"/>
      <c r="KUM41" s="6"/>
      <c r="KUN41" s="6"/>
      <c r="KUO41" s="6"/>
      <c r="KUP41" s="6"/>
      <c r="KUQ41" s="6"/>
      <c r="KUR41" s="6"/>
      <c r="KUS41" s="6"/>
      <c r="KUT41" s="6"/>
      <c r="KUU41" s="6"/>
      <c r="KUV41" s="6"/>
      <c r="KUW41" s="6"/>
      <c r="KUX41" s="6"/>
      <c r="KUY41" s="6"/>
      <c r="KUZ41" s="6"/>
      <c r="KVA41" s="6"/>
      <c r="KVB41" s="6"/>
      <c r="KVC41" s="6"/>
      <c r="KVD41" s="6"/>
      <c r="KVE41" s="6"/>
      <c r="KVF41" s="6"/>
      <c r="KVG41" s="6"/>
      <c r="KVH41" s="6"/>
      <c r="KVI41" s="6"/>
      <c r="KVJ41" s="6"/>
      <c r="KVK41" s="6"/>
      <c r="KVL41" s="6"/>
      <c r="KVM41" s="6"/>
      <c r="KVN41" s="6"/>
      <c r="KVO41" s="6"/>
      <c r="KVP41" s="6"/>
      <c r="KVQ41" s="6"/>
      <c r="KVR41" s="6"/>
      <c r="KVS41" s="6"/>
      <c r="KVT41" s="6"/>
      <c r="KVU41" s="6"/>
      <c r="KVV41" s="6"/>
      <c r="KVW41" s="6"/>
      <c r="KVX41" s="6"/>
      <c r="KVY41" s="6"/>
      <c r="KVZ41" s="6"/>
      <c r="KWA41" s="6"/>
      <c r="KWB41" s="6"/>
      <c r="KWC41" s="6"/>
      <c r="KWD41" s="6"/>
      <c r="KWE41" s="6"/>
      <c r="KWF41" s="6"/>
      <c r="KWG41" s="6"/>
      <c r="KWH41" s="6"/>
      <c r="KWI41" s="6"/>
      <c r="KWJ41" s="6"/>
      <c r="KWK41" s="6"/>
      <c r="KWL41" s="6"/>
      <c r="KWM41" s="6"/>
      <c r="KWN41" s="6"/>
      <c r="KWO41" s="6"/>
      <c r="KWP41" s="6"/>
      <c r="KWQ41" s="6"/>
      <c r="KWR41" s="6"/>
      <c r="KWS41" s="6"/>
      <c r="KWT41" s="6"/>
      <c r="KWU41" s="6"/>
      <c r="KWV41" s="6"/>
      <c r="KWW41" s="6"/>
      <c r="KWX41" s="6"/>
      <c r="KWY41" s="6"/>
      <c r="KWZ41" s="6"/>
      <c r="KXA41" s="6"/>
      <c r="KXB41" s="6"/>
      <c r="KXC41" s="6"/>
      <c r="KXD41" s="6"/>
      <c r="KXE41" s="6"/>
      <c r="KXF41" s="6"/>
      <c r="KXG41" s="6"/>
      <c r="KXH41" s="6"/>
      <c r="KXI41" s="6"/>
      <c r="KXJ41" s="6"/>
      <c r="KXK41" s="6"/>
      <c r="KXL41" s="6"/>
      <c r="KXM41" s="6"/>
      <c r="KXN41" s="6"/>
      <c r="KXO41" s="6"/>
      <c r="KXP41" s="6"/>
      <c r="KXQ41" s="6"/>
      <c r="KXR41" s="6"/>
      <c r="KXS41" s="6"/>
      <c r="KXT41" s="6"/>
      <c r="KXU41" s="6"/>
      <c r="KXV41" s="6"/>
      <c r="KXW41" s="6"/>
      <c r="KXX41" s="6"/>
      <c r="KXY41" s="6"/>
      <c r="KXZ41" s="6"/>
      <c r="KYA41" s="6"/>
      <c r="KYB41" s="6"/>
      <c r="KYC41" s="6"/>
      <c r="KYD41" s="6"/>
      <c r="KYE41" s="6"/>
      <c r="KYF41" s="6"/>
      <c r="KYG41" s="6"/>
      <c r="KYH41" s="6"/>
      <c r="KYI41" s="6"/>
      <c r="KYJ41" s="6"/>
      <c r="KYK41" s="6"/>
      <c r="KYL41" s="6"/>
      <c r="KYM41" s="6"/>
      <c r="KYN41" s="6"/>
      <c r="KYO41" s="6"/>
      <c r="KYP41" s="6"/>
      <c r="KYQ41" s="6"/>
      <c r="KYR41" s="6"/>
      <c r="KYS41" s="6"/>
      <c r="KYT41" s="6"/>
      <c r="KYU41" s="6"/>
      <c r="KYV41" s="6"/>
      <c r="KYW41" s="6"/>
      <c r="KYX41" s="6"/>
      <c r="KYY41" s="6"/>
      <c r="KYZ41" s="6"/>
      <c r="KZA41" s="6"/>
      <c r="KZB41" s="6"/>
      <c r="KZC41" s="6"/>
      <c r="KZD41" s="6"/>
      <c r="KZE41" s="6"/>
      <c r="KZF41" s="6"/>
      <c r="KZG41" s="6"/>
      <c r="KZH41" s="6"/>
      <c r="KZI41" s="6"/>
      <c r="KZJ41" s="6"/>
      <c r="KZK41" s="6"/>
      <c r="KZL41" s="6"/>
      <c r="KZM41" s="6"/>
      <c r="KZN41" s="6"/>
      <c r="KZO41" s="6"/>
      <c r="KZP41" s="6"/>
      <c r="KZQ41" s="6"/>
      <c r="KZR41" s="6"/>
      <c r="KZS41" s="6"/>
      <c r="KZT41" s="6"/>
      <c r="KZU41" s="6"/>
      <c r="KZV41" s="6"/>
      <c r="KZW41" s="6"/>
      <c r="KZX41" s="6"/>
      <c r="KZY41" s="6"/>
      <c r="KZZ41" s="6"/>
      <c r="LAA41" s="6"/>
      <c r="LAB41" s="6"/>
      <c r="LAC41" s="6"/>
      <c r="LAD41" s="6"/>
      <c r="LAE41" s="6"/>
      <c r="LAF41" s="6"/>
      <c r="LAG41" s="6"/>
      <c r="LAH41" s="6"/>
      <c r="LAI41" s="6"/>
      <c r="LAJ41" s="6"/>
      <c r="LAK41" s="6"/>
      <c r="LAL41" s="6"/>
      <c r="LAM41" s="6"/>
      <c r="LAN41" s="6"/>
      <c r="LAO41" s="6"/>
      <c r="LAP41" s="6"/>
      <c r="LAQ41" s="6"/>
      <c r="LAR41" s="6"/>
      <c r="LAS41" s="6"/>
      <c r="LAT41" s="6"/>
      <c r="LAU41" s="6"/>
      <c r="LAV41" s="6"/>
      <c r="LAW41" s="6"/>
      <c r="LAX41" s="6"/>
      <c r="LAY41" s="6"/>
      <c r="LAZ41" s="6"/>
      <c r="LBA41" s="6"/>
      <c r="LBB41" s="6"/>
      <c r="LBC41" s="6"/>
      <c r="LBD41" s="6"/>
      <c r="LBE41" s="6"/>
      <c r="LBF41" s="6"/>
      <c r="LBG41" s="6"/>
      <c r="LBH41" s="6"/>
      <c r="LBI41" s="6"/>
      <c r="LBJ41" s="6"/>
      <c r="LBK41" s="6"/>
      <c r="LBL41" s="6"/>
      <c r="LBM41" s="6"/>
      <c r="LBN41" s="6"/>
      <c r="LBO41" s="6"/>
      <c r="LBP41" s="6"/>
      <c r="LBQ41" s="6"/>
      <c r="LBR41" s="6"/>
      <c r="LBS41" s="6"/>
      <c r="LBT41" s="6"/>
      <c r="LBU41" s="6"/>
      <c r="LBV41" s="6"/>
      <c r="LBW41" s="6"/>
      <c r="LBX41" s="6"/>
      <c r="LBY41" s="6"/>
      <c r="LBZ41" s="6"/>
      <c r="LCA41" s="6"/>
      <c r="LCB41" s="6"/>
      <c r="LCC41" s="6"/>
      <c r="LCD41" s="6"/>
      <c r="LCE41" s="6"/>
      <c r="LCF41" s="6"/>
      <c r="LCG41" s="6"/>
      <c r="LCH41" s="6"/>
      <c r="LCI41" s="6"/>
      <c r="LCJ41" s="6"/>
      <c r="LCK41" s="6"/>
      <c r="LCL41" s="6"/>
      <c r="LCM41" s="6"/>
      <c r="LCN41" s="6"/>
      <c r="LCO41" s="6"/>
      <c r="LCP41" s="6"/>
      <c r="LCQ41" s="6"/>
      <c r="LCR41" s="6"/>
      <c r="LCS41" s="6"/>
      <c r="LCT41" s="6"/>
      <c r="LCU41" s="6"/>
      <c r="LCV41" s="6"/>
      <c r="LCW41" s="6"/>
      <c r="LCX41" s="6"/>
      <c r="LCY41" s="6"/>
      <c r="LCZ41" s="6"/>
      <c r="LDA41" s="6"/>
      <c r="LDB41" s="6"/>
      <c r="LDC41" s="6"/>
      <c r="LDD41" s="6"/>
      <c r="LDE41" s="6"/>
      <c r="LDF41" s="6"/>
      <c r="LDG41" s="6"/>
      <c r="LDH41" s="6"/>
      <c r="LDI41" s="6"/>
      <c r="LDJ41" s="6"/>
      <c r="LDK41" s="6"/>
      <c r="LDL41" s="6"/>
      <c r="LDM41" s="6"/>
      <c r="LDN41" s="6"/>
      <c r="LDO41" s="6"/>
      <c r="LDP41" s="6"/>
      <c r="LDQ41" s="6"/>
      <c r="LDR41" s="6"/>
      <c r="LDS41" s="6"/>
      <c r="LDT41" s="6"/>
      <c r="LDU41" s="6"/>
      <c r="LDV41" s="6"/>
      <c r="LDW41" s="6"/>
      <c r="LDX41" s="6"/>
      <c r="LDY41" s="6"/>
      <c r="LDZ41" s="6"/>
      <c r="LEA41" s="6"/>
      <c r="LEB41" s="6"/>
      <c r="LEC41" s="6"/>
      <c r="LED41" s="6"/>
      <c r="LEE41" s="6"/>
      <c r="LEF41" s="6"/>
      <c r="LEG41" s="6"/>
      <c r="LEH41" s="6"/>
      <c r="LEI41" s="6"/>
      <c r="LEJ41" s="6"/>
      <c r="LEK41" s="6"/>
      <c r="LEL41" s="6"/>
      <c r="LEM41" s="6"/>
      <c r="LEN41" s="6"/>
      <c r="LEO41" s="6"/>
      <c r="LEP41" s="6"/>
      <c r="LEQ41" s="6"/>
      <c r="LER41" s="6"/>
      <c r="LES41" s="6"/>
      <c r="LET41" s="6"/>
      <c r="LEU41" s="6"/>
      <c r="LEV41" s="6"/>
      <c r="LEW41" s="6"/>
      <c r="LEX41" s="6"/>
      <c r="LEY41" s="6"/>
      <c r="LEZ41" s="6"/>
      <c r="LFA41" s="6"/>
      <c r="LFB41" s="6"/>
      <c r="LFC41" s="6"/>
      <c r="LFD41" s="6"/>
      <c r="LFE41" s="6"/>
      <c r="LFF41" s="6"/>
      <c r="LFG41" s="6"/>
      <c r="LFH41" s="6"/>
      <c r="LFI41" s="6"/>
      <c r="LFJ41" s="6"/>
      <c r="LFK41" s="6"/>
      <c r="LFL41" s="6"/>
      <c r="LFM41" s="6"/>
      <c r="LFN41" s="6"/>
      <c r="LFO41" s="6"/>
      <c r="LFP41" s="6"/>
      <c r="LFQ41" s="6"/>
      <c r="LFR41" s="6"/>
      <c r="LFS41" s="6"/>
      <c r="LFT41" s="6"/>
      <c r="LFU41" s="6"/>
      <c r="LFV41" s="6"/>
      <c r="LFW41" s="6"/>
      <c r="LFX41" s="6"/>
      <c r="LFY41" s="6"/>
      <c r="LFZ41" s="6"/>
      <c r="LGA41" s="6"/>
      <c r="LGB41" s="6"/>
      <c r="LGC41" s="6"/>
      <c r="LGD41" s="6"/>
      <c r="LGE41" s="6"/>
      <c r="LGF41" s="6"/>
      <c r="LGG41" s="6"/>
      <c r="LGH41" s="6"/>
      <c r="LGI41" s="6"/>
      <c r="LGJ41" s="6"/>
      <c r="LGK41" s="6"/>
      <c r="LGL41" s="6"/>
      <c r="LGM41" s="6"/>
      <c r="LGN41" s="6"/>
      <c r="LGO41" s="6"/>
      <c r="LGP41" s="6"/>
      <c r="LGQ41" s="6"/>
      <c r="LGR41" s="6"/>
      <c r="LGS41" s="6"/>
      <c r="LGT41" s="6"/>
      <c r="LGU41" s="6"/>
      <c r="LGV41" s="6"/>
      <c r="LGW41" s="6"/>
      <c r="LGX41" s="6"/>
      <c r="LGY41" s="6"/>
      <c r="LGZ41" s="6"/>
      <c r="LHA41" s="6"/>
      <c r="LHB41" s="6"/>
      <c r="LHC41" s="6"/>
      <c r="LHD41" s="6"/>
      <c r="LHE41" s="6"/>
      <c r="LHF41" s="6"/>
      <c r="LHG41" s="6"/>
      <c r="LHH41" s="6"/>
      <c r="LHI41" s="6"/>
      <c r="LHJ41" s="6"/>
      <c r="LHK41" s="6"/>
      <c r="LHL41" s="6"/>
      <c r="LHM41" s="6"/>
      <c r="LHN41" s="6"/>
      <c r="LHO41" s="6"/>
      <c r="LHP41" s="6"/>
      <c r="LHQ41" s="6"/>
      <c r="LHR41" s="6"/>
      <c r="LHS41" s="6"/>
      <c r="LHT41" s="6"/>
      <c r="LHU41" s="6"/>
      <c r="LHV41" s="6"/>
      <c r="LHW41" s="6"/>
      <c r="LHX41" s="6"/>
      <c r="LHY41" s="6"/>
      <c r="LHZ41" s="6"/>
      <c r="LIA41" s="6"/>
      <c r="LIB41" s="6"/>
      <c r="LIC41" s="6"/>
      <c r="LID41" s="6"/>
      <c r="LIE41" s="6"/>
      <c r="LIF41" s="6"/>
      <c r="LIG41" s="6"/>
      <c r="LIH41" s="6"/>
      <c r="LII41" s="6"/>
      <c r="LIJ41" s="6"/>
      <c r="LIK41" s="6"/>
      <c r="LIL41" s="6"/>
      <c r="LIM41" s="6"/>
      <c r="LIN41" s="6"/>
      <c r="LIO41" s="6"/>
      <c r="LIP41" s="6"/>
      <c r="LIQ41" s="6"/>
      <c r="LIR41" s="6"/>
      <c r="LIS41" s="6"/>
      <c r="LIT41" s="6"/>
      <c r="LIU41" s="6"/>
      <c r="LIV41" s="6"/>
      <c r="LIW41" s="6"/>
      <c r="LIX41" s="6"/>
      <c r="LIY41" s="6"/>
      <c r="LIZ41" s="6"/>
      <c r="LJA41" s="6"/>
      <c r="LJB41" s="6"/>
      <c r="LJC41" s="6"/>
      <c r="LJD41" s="6"/>
      <c r="LJE41" s="6"/>
      <c r="LJF41" s="6"/>
      <c r="LJG41" s="6"/>
      <c r="LJH41" s="6"/>
      <c r="LJI41" s="6"/>
      <c r="LJJ41" s="6"/>
      <c r="LJK41" s="6"/>
      <c r="LJL41" s="6"/>
      <c r="LJM41" s="6"/>
      <c r="LJN41" s="6"/>
      <c r="LJO41" s="6"/>
      <c r="LJP41" s="6"/>
      <c r="LJQ41" s="6"/>
      <c r="LJR41" s="6"/>
      <c r="LJS41" s="6"/>
      <c r="LJT41" s="6"/>
      <c r="LJU41" s="6"/>
      <c r="LJV41" s="6"/>
      <c r="LJW41" s="6"/>
      <c r="LJX41" s="6"/>
      <c r="LJY41" s="6"/>
      <c r="LJZ41" s="6"/>
      <c r="LKA41" s="6"/>
      <c r="LKB41" s="6"/>
      <c r="LKC41" s="6"/>
      <c r="LKD41" s="6"/>
      <c r="LKE41" s="6"/>
      <c r="LKF41" s="6"/>
      <c r="LKG41" s="6"/>
      <c r="LKH41" s="6"/>
      <c r="LKI41" s="6"/>
      <c r="LKJ41" s="6"/>
      <c r="LKK41" s="6"/>
      <c r="LKL41" s="6"/>
      <c r="LKM41" s="6"/>
      <c r="LKN41" s="6"/>
      <c r="LKO41" s="6"/>
      <c r="LKP41" s="6"/>
      <c r="LKQ41" s="6"/>
      <c r="LKR41" s="6"/>
      <c r="LKS41" s="6"/>
      <c r="LKT41" s="6"/>
      <c r="LKU41" s="6"/>
      <c r="LKV41" s="6"/>
      <c r="LKW41" s="6"/>
      <c r="LKX41" s="6"/>
      <c r="LKY41" s="6"/>
      <c r="LKZ41" s="6"/>
      <c r="LLA41" s="6"/>
      <c r="LLB41" s="6"/>
      <c r="LLC41" s="6"/>
      <c r="LLD41" s="6"/>
      <c r="LLE41" s="6"/>
      <c r="LLF41" s="6"/>
      <c r="LLG41" s="6"/>
      <c r="LLH41" s="6"/>
      <c r="LLI41" s="6"/>
      <c r="LLJ41" s="6"/>
      <c r="LLK41" s="6"/>
      <c r="LLL41" s="6"/>
      <c r="LLM41" s="6"/>
      <c r="LLN41" s="6"/>
      <c r="LLO41" s="6"/>
      <c r="LLP41" s="6"/>
      <c r="LLQ41" s="6"/>
      <c r="LLR41" s="6"/>
      <c r="LLS41" s="6"/>
      <c r="LLT41" s="6"/>
      <c r="LLU41" s="6"/>
      <c r="LLV41" s="6"/>
      <c r="LLW41" s="6"/>
      <c r="LLX41" s="6"/>
      <c r="LLY41" s="6"/>
      <c r="LLZ41" s="6"/>
      <c r="LMA41" s="6"/>
      <c r="LMB41" s="6"/>
      <c r="LMC41" s="6"/>
      <c r="LMD41" s="6"/>
      <c r="LME41" s="6"/>
      <c r="LMF41" s="6"/>
      <c r="LMG41" s="6"/>
      <c r="LMH41" s="6"/>
      <c r="LMI41" s="6"/>
      <c r="LMJ41" s="6"/>
      <c r="LMK41" s="6"/>
      <c r="LML41" s="6"/>
      <c r="LMM41" s="6"/>
      <c r="LMN41" s="6"/>
      <c r="LMO41" s="6"/>
      <c r="LMP41" s="6"/>
      <c r="LMQ41" s="6"/>
      <c r="LMR41" s="6"/>
      <c r="LMS41" s="6"/>
      <c r="LMT41" s="6"/>
      <c r="LMU41" s="6"/>
      <c r="LMV41" s="6"/>
      <c r="LMW41" s="6"/>
      <c r="LMX41" s="6"/>
      <c r="LMY41" s="6"/>
      <c r="LMZ41" s="6"/>
      <c r="LNA41" s="6"/>
      <c r="LNB41" s="6"/>
      <c r="LNC41" s="6"/>
      <c r="LND41" s="6"/>
      <c r="LNE41" s="6"/>
      <c r="LNF41" s="6"/>
      <c r="LNG41" s="6"/>
      <c r="LNH41" s="6"/>
      <c r="LNI41" s="6"/>
      <c r="LNJ41" s="6"/>
      <c r="LNK41" s="6"/>
      <c r="LNL41" s="6"/>
      <c r="LNM41" s="6"/>
      <c r="LNN41" s="6"/>
      <c r="LNO41" s="6"/>
      <c r="LNP41" s="6"/>
      <c r="LNQ41" s="6"/>
      <c r="LNR41" s="6"/>
      <c r="LNS41" s="6"/>
      <c r="LNT41" s="6"/>
      <c r="LNU41" s="6"/>
      <c r="LNV41" s="6"/>
      <c r="LNW41" s="6"/>
      <c r="LNX41" s="6"/>
      <c r="LNY41" s="6"/>
      <c r="LNZ41" s="6"/>
      <c r="LOA41" s="6"/>
      <c r="LOB41" s="6"/>
      <c r="LOC41" s="6"/>
      <c r="LOD41" s="6"/>
      <c r="LOE41" s="6"/>
      <c r="LOF41" s="6"/>
      <c r="LOG41" s="6"/>
      <c r="LOH41" s="6"/>
      <c r="LOI41" s="6"/>
      <c r="LOJ41" s="6"/>
      <c r="LOK41" s="6"/>
      <c r="LOL41" s="6"/>
      <c r="LOM41" s="6"/>
      <c r="LON41" s="6"/>
      <c r="LOO41" s="6"/>
      <c r="LOP41" s="6"/>
      <c r="LOQ41" s="6"/>
      <c r="LOR41" s="6"/>
      <c r="LOS41" s="6"/>
      <c r="LOT41" s="6"/>
      <c r="LOU41" s="6"/>
      <c r="LOV41" s="6"/>
      <c r="LOW41" s="6"/>
      <c r="LOX41" s="6"/>
      <c r="LOY41" s="6"/>
      <c r="LOZ41" s="6"/>
      <c r="LPA41" s="6"/>
      <c r="LPB41" s="6"/>
      <c r="LPC41" s="6"/>
      <c r="LPD41" s="6"/>
      <c r="LPE41" s="6"/>
      <c r="LPF41" s="6"/>
      <c r="LPG41" s="6"/>
      <c r="LPH41" s="6"/>
      <c r="LPI41" s="6"/>
      <c r="LPJ41" s="6"/>
      <c r="LPK41" s="6"/>
      <c r="LPL41" s="6"/>
      <c r="LPM41" s="6"/>
      <c r="LPN41" s="6"/>
      <c r="LPO41" s="6"/>
      <c r="LPP41" s="6"/>
      <c r="LPQ41" s="6"/>
      <c r="LPR41" s="6"/>
      <c r="LPS41" s="6"/>
      <c r="LPT41" s="6"/>
      <c r="LPU41" s="6"/>
      <c r="LPV41" s="6"/>
      <c r="LPW41" s="6"/>
      <c r="LPX41" s="6"/>
      <c r="LPY41" s="6"/>
      <c r="LPZ41" s="6"/>
      <c r="LQA41" s="6"/>
      <c r="LQB41" s="6"/>
      <c r="LQC41" s="6"/>
      <c r="LQD41" s="6"/>
      <c r="LQE41" s="6"/>
      <c r="LQF41" s="6"/>
      <c r="LQG41" s="6"/>
      <c r="LQH41" s="6"/>
      <c r="LQI41" s="6"/>
      <c r="LQJ41" s="6"/>
      <c r="LQK41" s="6"/>
      <c r="LQL41" s="6"/>
      <c r="LQM41" s="6"/>
      <c r="LQN41" s="6"/>
      <c r="LQO41" s="6"/>
      <c r="LQP41" s="6"/>
      <c r="LQQ41" s="6"/>
      <c r="LQR41" s="6"/>
      <c r="LQS41" s="6"/>
      <c r="LQT41" s="6"/>
      <c r="LQU41" s="6"/>
      <c r="LQV41" s="6"/>
      <c r="LQW41" s="6"/>
      <c r="LQX41" s="6"/>
      <c r="LQY41" s="6"/>
      <c r="LQZ41" s="6"/>
      <c r="LRA41" s="6"/>
      <c r="LRB41" s="6"/>
      <c r="LRC41" s="6"/>
      <c r="LRD41" s="6"/>
      <c r="LRE41" s="6"/>
      <c r="LRF41" s="6"/>
      <c r="LRG41" s="6"/>
      <c r="LRH41" s="6"/>
      <c r="LRI41" s="6"/>
      <c r="LRJ41" s="6"/>
      <c r="LRK41" s="6"/>
      <c r="LRL41" s="6"/>
      <c r="LRM41" s="6"/>
      <c r="LRN41" s="6"/>
      <c r="LRO41" s="6"/>
      <c r="LRP41" s="6"/>
      <c r="LRQ41" s="6"/>
      <c r="LRR41" s="6"/>
      <c r="LRS41" s="6"/>
      <c r="LRT41" s="6"/>
      <c r="LRU41" s="6"/>
      <c r="LRV41" s="6"/>
      <c r="LRW41" s="6"/>
      <c r="LRX41" s="6"/>
      <c r="LRY41" s="6"/>
      <c r="LRZ41" s="6"/>
      <c r="LSA41" s="6"/>
      <c r="LSB41" s="6"/>
      <c r="LSC41" s="6"/>
      <c r="LSD41" s="6"/>
      <c r="LSE41" s="6"/>
      <c r="LSF41" s="6"/>
      <c r="LSG41" s="6"/>
      <c r="LSH41" s="6"/>
      <c r="LSI41" s="6"/>
      <c r="LSJ41" s="6"/>
      <c r="LSK41" s="6"/>
      <c r="LSL41" s="6"/>
      <c r="LSM41" s="6"/>
      <c r="LSN41" s="6"/>
      <c r="LSO41" s="6"/>
      <c r="LSP41" s="6"/>
      <c r="LSQ41" s="6"/>
      <c r="LSR41" s="6"/>
      <c r="LSS41" s="6"/>
      <c r="LST41" s="6"/>
      <c r="LSU41" s="6"/>
      <c r="LSV41" s="6"/>
      <c r="LSW41" s="6"/>
      <c r="LSX41" s="6"/>
      <c r="LSY41" s="6"/>
      <c r="LSZ41" s="6"/>
      <c r="LTA41" s="6"/>
      <c r="LTB41" s="6"/>
      <c r="LTC41" s="6"/>
      <c r="LTD41" s="6"/>
      <c r="LTE41" s="6"/>
      <c r="LTF41" s="6"/>
      <c r="LTG41" s="6"/>
      <c r="LTH41" s="6"/>
      <c r="LTI41" s="6"/>
      <c r="LTJ41" s="6"/>
      <c r="LTK41" s="6"/>
      <c r="LTL41" s="6"/>
      <c r="LTM41" s="6"/>
      <c r="LTN41" s="6"/>
      <c r="LTO41" s="6"/>
      <c r="LTP41" s="6"/>
      <c r="LTQ41" s="6"/>
      <c r="LTR41" s="6"/>
      <c r="LTS41" s="6"/>
      <c r="LTT41" s="6"/>
      <c r="LTU41" s="6"/>
      <c r="LTV41" s="6"/>
      <c r="LTW41" s="6"/>
      <c r="LTX41" s="6"/>
      <c r="LTY41" s="6"/>
      <c r="LTZ41" s="6"/>
      <c r="LUA41" s="6"/>
      <c r="LUB41" s="6"/>
      <c r="LUC41" s="6"/>
      <c r="LUD41" s="6"/>
      <c r="LUE41" s="6"/>
      <c r="LUF41" s="6"/>
      <c r="LUG41" s="6"/>
      <c r="LUH41" s="6"/>
      <c r="LUI41" s="6"/>
      <c r="LUJ41" s="6"/>
      <c r="LUK41" s="6"/>
      <c r="LUL41" s="6"/>
      <c r="LUM41" s="6"/>
      <c r="LUN41" s="6"/>
      <c r="LUO41" s="6"/>
      <c r="LUP41" s="6"/>
      <c r="LUQ41" s="6"/>
      <c r="LUR41" s="6"/>
      <c r="LUS41" s="6"/>
      <c r="LUT41" s="6"/>
      <c r="LUU41" s="6"/>
      <c r="LUV41" s="6"/>
      <c r="LUW41" s="6"/>
      <c r="LUX41" s="6"/>
      <c r="LUY41" s="6"/>
      <c r="LUZ41" s="6"/>
      <c r="LVA41" s="6"/>
      <c r="LVB41" s="6"/>
      <c r="LVC41" s="6"/>
      <c r="LVD41" s="6"/>
      <c r="LVE41" s="6"/>
      <c r="LVF41" s="6"/>
      <c r="LVG41" s="6"/>
      <c r="LVH41" s="6"/>
      <c r="LVI41" s="6"/>
      <c r="LVJ41" s="6"/>
      <c r="LVK41" s="6"/>
      <c r="LVL41" s="6"/>
      <c r="LVM41" s="6"/>
      <c r="LVN41" s="6"/>
      <c r="LVO41" s="6"/>
      <c r="LVP41" s="6"/>
      <c r="LVQ41" s="6"/>
      <c r="LVR41" s="6"/>
      <c r="LVS41" s="6"/>
      <c r="LVT41" s="6"/>
      <c r="LVU41" s="6"/>
      <c r="LVV41" s="6"/>
      <c r="LVW41" s="6"/>
      <c r="LVX41" s="6"/>
      <c r="LVY41" s="6"/>
      <c r="LVZ41" s="6"/>
      <c r="LWA41" s="6"/>
      <c r="LWB41" s="6"/>
      <c r="LWC41" s="6"/>
      <c r="LWD41" s="6"/>
      <c r="LWE41" s="6"/>
      <c r="LWF41" s="6"/>
      <c r="LWG41" s="6"/>
      <c r="LWH41" s="6"/>
      <c r="LWI41" s="6"/>
      <c r="LWJ41" s="6"/>
      <c r="LWK41" s="6"/>
      <c r="LWL41" s="6"/>
      <c r="LWM41" s="6"/>
      <c r="LWN41" s="6"/>
      <c r="LWO41" s="6"/>
      <c r="LWP41" s="6"/>
      <c r="LWQ41" s="6"/>
      <c r="LWR41" s="6"/>
      <c r="LWS41" s="6"/>
      <c r="LWT41" s="6"/>
      <c r="LWU41" s="6"/>
      <c r="LWV41" s="6"/>
      <c r="LWW41" s="6"/>
      <c r="LWX41" s="6"/>
      <c r="LWY41" s="6"/>
      <c r="LWZ41" s="6"/>
      <c r="LXA41" s="6"/>
      <c r="LXB41" s="6"/>
      <c r="LXC41" s="6"/>
      <c r="LXD41" s="6"/>
      <c r="LXE41" s="6"/>
      <c r="LXF41" s="6"/>
      <c r="LXG41" s="6"/>
      <c r="LXH41" s="6"/>
      <c r="LXI41" s="6"/>
      <c r="LXJ41" s="6"/>
      <c r="LXK41" s="6"/>
      <c r="LXL41" s="6"/>
      <c r="LXM41" s="6"/>
      <c r="LXN41" s="6"/>
      <c r="LXO41" s="6"/>
      <c r="LXP41" s="6"/>
      <c r="LXQ41" s="6"/>
      <c r="LXR41" s="6"/>
      <c r="LXS41" s="6"/>
      <c r="LXT41" s="6"/>
      <c r="LXU41" s="6"/>
      <c r="LXV41" s="6"/>
      <c r="LXW41" s="6"/>
      <c r="LXX41" s="6"/>
      <c r="LXY41" s="6"/>
      <c r="LXZ41" s="6"/>
      <c r="LYA41" s="6"/>
      <c r="LYB41" s="6"/>
      <c r="LYC41" s="6"/>
      <c r="LYD41" s="6"/>
      <c r="LYE41" s="6"/>
      <c r="LYF41" s="6"/>
      <c r="LYG41" s="6"/>
      <c r="LYH41" s="6"/>
      <c r="LYI41" s="6"/>
      <c r="LYJ41" s="6"/>
      <c r="LYK41" s="6"/>
      <c r="LYL41" s="6"/>
      <c r="LYM41" s="6"/>
      <c r="LYN41" s="6"/>
      <c r="LYO41" s="6"/>
      <c r="LYP41" s="6"/>
      <c r="LYQ41" s="6"/>
      <c r="LYR41" s="6"/>
      <c r="LYS41" s="6"/>
      <c r="LYT41" s="6"/>
      <c r="LYU41" s="6"/>
      <c r="LYV41" s="6"/>
      <c r="LYW41" s="6"/>
      <c r="LYX41" s="6"/>
      <c r="LYY41" s="6"/>
      <c r="LYZ41" s="6"/>
      <c r="LZA41" s="6"/>
      <c r="LZB41" s="6"/>
      <c r="LZC41" s="6"/>
      <c r="LZD41" s="6"/>
      <c r="LZE41" s="6"/>
      <c r="LZF41" s="6"/>
      <c r="LZG41" s="6"/>
      <c r="LZH41" s="6"/>
      <c r="LZI41" s="6"/>
      <c r="LZJ41" s="6"/>
      <c r="LZK41" s="6"/>
      <c r="LZL41" s="6"/>
      <c r="LZM41" s="6"/>
      <c r="LZN41" s="6"/>
      <c r="LZO41" s="6"/>
      <c r="LZP41" s="6"/>
      <c r="LZQ41" s="6"/>
      <c r="LZR41" s="6"/>
      <c r="LZS41" s="6"/>
      <c r="LZT41" s="6"/>
      <c r="LZU41" s="6"/>
      <c r="LZV41" s="6"/>
      <c r="LZW41" s="6"/>
      <c r="LZX41" s="6"/>
      <c r="LZY41" s="6"/>
      <c r="LZZ41" s="6"/>
      <c r="MAA41" s="6"/>
      <c r="MAB41" s="6"/>
      <c r="MAC41" s="6"/>
      <c r="MAD41" s="6"/>
      <c r="MAE41" s="6"/>
      <c r="MAF41" s="6"/>
      <c r="MAG41" s="6"/>
      <c r="MAH41" s="6"/>
      <c r="MAI41" s="6"/>
      <c r="MAJ41" s="6"/>
      <c r="MAK41" s="6"/>
      <c r="MAL41" s="6"/>
      <c r="MAM41" s="6"/>
      <c r="MAN41" s="6"/>
      <c r="MAO41" s="6"/>
      <c r="MAP41" s="6"/>
      <c r="MAQ41" s="6"/>
      <c r="MAR41" s="6"/>
      <c r="MAS41" s="6"/>
      <c r="MAT41" s="6"/>
      <c r="MAU41" s="6"/>
      <c r="MAV41" s="6"/>
      <c r="MAW41" s="6"/>
      <c r="MAX41" s="6"/>
      <c r="MAY41" s="6"/>
      <c r="MAZ41" s="6"/>
      <c r="MBA41" s="6"/>
      <c r="MBB41" s="6"/>
      <c r="MBC41" s="6"/>
      <c r="MBD41" s="6"/>
      <c r="MBE41" s="6"/>
      <c r="MBF41" s="6"/>
      <c r="MBG41" s="6"/>
      <c r="MBH41" s="6"/>
      <c r="MBI41" s="6"/>
      <c r="MBJ41" s="6"/>
      <c r="MBK41" s="6"/>
      <c r="MBL41" s="6"/>
      <c r="MBM41" s="6"/>
      <c r="MBN41" s="6"/>
      <c r="MBO41" s="6"/>
      <c r="MBP41" s="6"/>
      <c r="MBQ41" s="6"/>
      <c r="MBR41" s="6"/>
      <c r="MBS41" s="6"/>
      <c r="MBT41" s="6"/>
      <c r="MBU41" s="6"/>
      <c r="MBV41" s="6"/>
      <c r="MBW41" s="6"/>
      <c r="MBX41" s="6"/>
      <c r="MBY41" s="6"/>
      <c r="MBZ41" s="6"/>
      <c r="MCA41" s="6"/>
      <c r="MCB41" s="6"/>
      <c r="MCC41" s="6"/>
      <c r="MCD41" s="6"/>
      <c r="MCE41" s="6"/>
      <c r="MCF41" s="6"/>
      <c r="MCG41" s="6"/>
      <c r="MCH41" s="6"/>
      <c r="MCI41" s="6"/>
      <c r="MCJ41" s="6"/>
      <c r="MCK41" s="6"/>
      <c r="MCL41" s="6"/>
      <c r="MCM41" s="6"/>
      <c r="MCN41" s="6"/>
      <c r="MCO41" s="6"/>
      <c r="MCP41" s="6"/>
      <c r="MCQ41" s="6"/>
      <c r="MCR41" s="6"/>
      <c r="MCS41" s="6"/>
      <c r="MCT41" s="6"/>
      <c r="MCU41" s="6"/>
      <c r="MCV41" s="6"/>
      <c r="MCW41" s="6"/>
      <c r="MCX41" s="6"/>
      <c r="MCY41" s="6"/>
      <c r="MCZ41" s="6"/>
      <c r="MDA41" s="6"/>
      <c r="MDB41" s="6"/>
      <c r="MDC41" s="6"/>
      <c r="MDD41" s="6"/>
      <c r="MDE41" s="6"/>
      <c r="MDF41" s="6"/>
      <c r="MDG41" s="6"/>
      <c r="MDH41" s="6"/>
      <c r="MDI41" s="6"/>
      <c r="MDJ41" s="6"/>
      <c r="MDK41" s="6"/>
      <c r="MDL41" s="6"/>
      <c r="MDM41" s="6"/>
      <c r="MDN41" s="6"/>
      <c r="MDO41" s="6"/>
      <c r="MDP41" s="6"/>
      <c r="MDQ41" s="6"/>
      <c r="MDR41" s="6"/>
      <c r="MDS41" s="6"/>
      <c r="MDT41" s="6"/>
      <c r="MDU41" s="6"/>
      <c r="MDV41" s="6"/>
      <c r="MDW41" s="6"/>
      <c r="MDX41" s="6"/>
      <c r="MDY41" s="6"/>
      <c r="MDZ41" s="6"/>
      <c r="MEA41" s="6"/>
      <c r="MEB41" s="6"/>
      <c r="MEC41" s="6"/>
      <c r="MED41" s="6"/>
      <c r="MEE41" s="6"/>
      <c r="MEF41" s="6"/>
      <c r="MEG41" s="6"/>
      <c r="MEH41" s="6"/>
      <c r="MEI41" s="6"/>
      <c r="MEJ41" s="6"/>
      <c r="MEK41" s="6"/>
      <c r="MEL41" s="6"/>
      <c r="MEM41" s="6"/>
      <c r="MEN41" s="6"/>
      <c r="MEO41" s="6"/>
      <c r="MEP41" s="6"/>
      <c r="MEQ41" s="6"/>
      <c r="MER41" s="6"/>
      <c r="MES41" s="6"/>
      <c r="MET41" s="6"/>
      <c r="MEU41" s="6"/>
      <c r="MEV41" s="6"/>
      <c r="MEW41" s="6"/>
      <c r="MEX41" s="6"/>
      <c r="MEY41" s="6"/>
      <c r="MEZ41" s="6"/>
      <c r="MFA41" s="6"/>
      <c r="MFB41" s="6"/>
      <c r="MFC41" s="6"/>
      <c r="MFD41" s="6"/>
      <c r="MFE41" s="6"/>
      <c r="MFF41" s="6"/>
      <c r="MFG41" s="6"/>
      <c r="MFH41" s="6"/>
      <c r="MFI41" s="6"/>
      <c r="MFJ41" s="6"/>
      <c r="MFK41" s="6"/>
      <c r="MFL41" s="6"/>
      <c r="MFM41" s="6"/>
      <c r="MFN41" s="6"/>
      <c r="MFO41" s="6"/>
      <c r="MFP41" s="6"/>
      <c r="MFQ41" s="6"/>
      <c r="MFR41" s="6"/>
      <c r="MFS41" s="6"/>
      <c r="MFT41" s="6"/>
      <c r="MFU41" s="6"/>
      <c r="MFV41" s="6"/>
      <c r="MFW41" s="6"/>
      <c r="MFX41" s="6"/>
      <c r="MFY41" s="6"/>
      <c r="MFZ41" s="6"/>
      <c r="MGA41" s="6"/>
      <c r="MGB41" s="6"/>
      <c r="MGC41" s="6"/>
      <c r="MGD41" s="6"/>
      <c r="MGE41" s="6"/>
      <c r="MGF41" s="6"/>
      <c r="MGG41" s="6"/>
      <c r="MGH41" s="6"/>
      <c r="MGI41" s="6"/>
      <c r="MGJ41" s="6"/>
      <c r="MGK41" s="6"/>
      <c r="MGL41" s="6"/>
      <c r="MGM41" s="6"/>
      <c r="MGN41" s="6"/>
      <c r="MGO41" s="6"/>
      <c r="MGP41" s="6"/>
      <c r="MGQ41" s="6"/>
      <c r="MGR41" s="6"/>
      <c r="MGS41" s="6"/>
      <c r="MGT41" s="6"/>
      <c r="MGU41" s="6"/>
      <c r="MGV41" s="6"/>
      <c r="MGW41" s="6"/>
      <c r="MGX41" s="6"/>
      <c r="MGY41" s="6"/>
      <c r="MGZ41" s="6"/>
      <c r="MHA41" s="6"/>
      <c r="MHB41" s="6"/>
      <c r="MHC41" s="6"/>
      <c r="MHD41" s="6"/>
      <c r="MHE41" s="6"/>
      <c r="MHF41" s="6"/>
      <c r="MHG41" s="6"/>
      <c r="MHH41" s="6"/>
      <c r="MHI41" s="6"/>
      <c r="MHJ41" s="6"/>
      <c r="MHK41" s="6"/>
      <c r="MHL41" s="6"/>
      <c r="MHM41" s="6"/>
      <c r="MHN41" s="6"/>
      <c r="MHO41" s="6"/>
      <c r="MHP41" s="6"/>
      <c r="MHQ41" s="6"/>
      <c r="MHR41" s="6"/>
      <c r="MHS41" s="6"/>
      <c r="MHT41" s="6"/>
      <c r="MHU41" s="6"/>
      <c r="MHV41" s="6"/>
      <c r="MHW41" s="6"/>
      <c r="MHX41" s="6"/>
      <c r="MHY41" s="6"/>
      <c r="MHZ41" s="6"/>
      <c r="MIA41" s="6"/>
      <c r="MIB41" s="6"/>
      <c r="MIC41" s="6"/>
      <c r="MID41" s="6"/>
      <c r="MIE41" s="6"/>
      <c r="MIF41" s="6"/>
      <c r="MIG41" s="6"/>
      <c r="MIH41" s="6"/>
      <c r="MII41" s="6"/>
      <c r="MIJ41" s="6"/>
      <c r="MIK41" s="6"/>
      <c r="MIL41" s="6"/>
      <c r="MIM41" s="6"/>
      <c r="MIN41" s="6"/>
      <c r="MIO41" s="6"/>
      <c r="MIP41" s="6"/>
      <c r="MIQ41" s="6"/>
      <c r="MIR41" s="6"/>
      <c r="MIS41" s="6"/>
      <c r="MIT41" s="6"/>
      <c r="MIU41" s="6"/>
      <c r="MIV41" s="6"/>
      <c r="MIW41" s="6"/>
      <c r="MIX41" s="6"/>
      <c r="MIY41" s="6"/>
      <c r="MIZ41" s="6"/>
      <c r="MJA41" s="6"/>
      <c r="MJB41" s="6"/>
      <c r="MJC41" s="6"/>
      <c r="MJD41" s="6"/>
      <c r="MJE41" s="6"/>
      <c r="MJF41" s="6"/>
      <c r="MJG41" s="6"/>
      <c r="MJH41" s="6"/>
      <c r="MJI41" s="6"/>
      <c r="MJJ41" s="6"/>
      <c r="MJK41" s="6"/>
      <c r="MJL41" s="6"/>
      <c r="MJM41" s="6"/>
      <c r="MJN41" s="6"/>
      <c r="MJO41" s="6"/>
      <c r="MJP41" s="6"/>
      <c r="MJQ41" s="6"/>
      <c r="MJR41" s="6"/>
      <c r="MJS41" s="6"/>
      <c r="MJT41" s="6"/>
      <c r="MJU41" s="6"/>
      <c r="MJV41" s="6"/>
      <c r="MJW41" s="6"/>
      <c r="MJX41" s="6"/>
      <c r="MJY41" s="6"/>
      <c r="MJZ41" s="6"/>
      <c r="MKA41" s="6"/>
      <c r="MKB41" s="6"/>
      <c r="MKC41" s="6"/>
      <c r="MKD41" s="6"/>
      <c r="MKE41" s="6"/>
      <c r="MKF41" s="6"/>
      <c r="MKG41" s="6"/>
      <c r="MKH41" s="6"/>
      <c r="MKI41" s="6"/>
      <c r="MKJ41" s="6"/>
      <c r="MKK41" s="6"/>
      <c r="MKL41" s="6"/>
      <c r="MKM41" s="6"/>
      <c r="MKN41" s="6"/>
      <c r="MKO41" s="6"/>
      <c r="MKP41" s="6"/>
      <c r="MKQ41" s="6"/>
      <c r="MKR41" s="6"/>
      <c r="MKS41" s="6"/>
      <c r="MKT41" s="6"/>
      <c r="MKU41" s="6"/>
      <c r="MKV41" s="6"/>
      <c r="MKW41" s="6"/>
      <c r="MKX41" s="6"/>
      <c r="MKY41" s="6"/>
      <c r="MKZ41" s="6"/>
      <c r="MLA41" s="6"/>
      <c r="MLB41" s="6"/>
      <c r="MLC41" s="6"/>
      <c r="MLD41" s="6"/>
      <c r="MLE41" s="6"/>
      <c r="MLF41" s="6"/>
      <c r="MLG41" s="6"/>
      <c r="MLH41" s="6"/>
      <c r="MLI41" s="6"/>
      <c r="MLJ41" s="6"/>
      <c r="MLK41" s="6"/>
      <c r="MLL41" s="6"/>
      <c r="MLM41" s="6"/>
      <c r="MLN41" s="6"/>
      <c r="MLO41" s="6"/>
      <c r="MLP41" s="6"/>
      <c r="MLQ41" s="6"/>
      <c r="MLR41" s="6"/>
      <c r="MLS41" s="6"/>
      <c r="MLT41" s="6"/>
      <c r="MLU41" s="6"/>
      <c r="MLV41" s="6"/>
      <c r="MLW41" s="6"/>
      <c r="MLX41" s="6"/>
      <c r="MLY41" s="6"/>
      <c r="MLZ41" s="6"/>
      <c r="MMA41" s="6"/>
      <c r="MMB41" s="6"/>
      <c r="MMC41" s="6"/>
      <c r="MMD41" s="6"/>
      <c r="MME41" s="6"/>
      <c r="MMF41" s="6"/>
      <c r="MMG41" s="6"/>
      <c r="MMH41" s="6"/>
      <c r="MMI41" s="6"/>
      <c r="MMJ41" s="6"/>
      <c r="MMK41" s="6"/>
      <c r="MML41" s="6"/>
      <c r="MMM41" s="6"/>
      <c r="MMN41" s="6"/>
      <c r="MMO41" s="6"/>
      <c r="MMP41" s="6"/>
      <c r="MMQ41" s="6"/>
      <c r="MMR41" s="6"/>
      <c r="MMS41" s="6"/>
      <c r="MMT41" s="6"/>
      <c r="MMU41" s="6"/>
      <c r="MMV41" s="6"/>
      <c r="MMW41" s="6"/>
      <c r="MMX41" s="6"/>
      <c r="MMY41" s="6"/>
      <c r="MMZ41" s="6"/>
      <c r="MNA41" s="6"/>
      <c r="MNB41" s="6"/>
      <c r="MNC41" s="6"/>
      <c r="MND41" s="6"/>
      <c r="MNE41" s="6"/>
      <c r="MNF41" s="6"/>
      <c r="MNG41" s="6"/>
      <c r="MNH41" s="6"/>
      <c r="MNI41" s="6"/>
      <c r="MNJ41" s="6"/>
      <c r="MNK41" s="6"/>
      <c r="MNL41" s="6"/>
      <c r="MNM41" s="6"/>
      <c r="MNN41" s="6"/>
      <c r="MNO41" s="6"/>
      <c r="MNP41" s="6"/>
      <c r="MNQ41" s="6"/>
      <c r="MNR41" s="6"/>
      <c r="MNS41" s="6"/>
      <c r="MNT41" s="6"/>
      <c r="MNU41" s="6"/>
      <c r="MNV41" s="6"/>
      <c r="MNW41" s="6"/>
      <c r="MNX41" s="6"/>
      <c r="MNY41" s="6"/>
      <c r="MNZ41" s="6"/>
      <c r="MOA41" s="6"/>
      <c r="MOB41" s="6"/>
      <c r="MOC41" s="6"/>
      <c r="MOD41" s="6"/>
      <c r="MOE41" s="6"/>
      <c r="MOF41" s="6"/>
      <c r="MOG41" s="6"/>
      <c r="MOH41" s="6"/>
      <c r="MOI41" s="6"/>
      <c r="MOJ41" s="6"/>
      <c r="MOK41" s="6"/>
      <c r="MOL41" s="6"/>
      <c r="MOM41" s="6"/>
      <c r="MON41" s="6"/>
      <c r="MOO41" s="6"/>
      <c r="MOP41" s="6"/>
      <c r="MOQ41" s="6"/>
      <c r="MOR41" s="6"/>
      <c r="MOS41" s="6"/>
      <c r="MOT41" s="6"/>
      <c r="MOU41" s="6"/>
      <c r="MOV41" s="6"/>
      <c r="MOW41" s="6"/>
      <c r="MOX41" s="6"/>
      <c r="MOY41" s="6"/>
      <c r="MOZ41" s="6"/>
      <c r="MPA41" s="6"/>
      <c r="MPB41" s="6"/>
      <c r="MPC41" s="6"/>
      <c r="MPD41" s="6"/>
      <c r="MPE41" s="6"/>
      <c r="MPF41" s="6"/>
      <c r="MPG41" s="6"/>
      <c r="MPH41" s="6"/>
      <c r="MPI41" s="6"/>
      <c r="MPJ41" s="6"/>
      <c r="MPK41" s="6"/>
      <c r="MPL41" s="6"/>
      <c r="MPM41" s="6"/>
      <c r="MPN41" s="6"/>
      <c r="MPO41" s="6"/>
      <c r="MPP41" s="6"/>
      <c r="MPQ41" s="6"/>
      <c r="MPR41" s="6"/>
      <c r="MPS41" s="6"/>
      <c r="MPT41" s="6"/>
      <c r="MPU41" s="6"/>
      <c r="MPV41" s="6"/>
      <c r="MPW41" s="6"/>
      <c r="MPX41" s="6"/>
      <c r="MPY41" s="6"/>
      <c r="MPZ41" s="6"/>
      <c r="MQA41" s="6"/>
      <c r="MQB41" s="6"/>
      <c r="MQC41" s="6"/>
      <c r="MQD41" s="6"/>
      <c r="MQE41" s="6"/>
      <c r="MQF41" s="6"/>
      <c r="MQG41" s="6"/>
      <c r="MQH41" s="6"/>
      <c r="MQI41" s="6"/>
      <c r="MQJ41" s="6"/>
      <c r="MQK41" s="6"/>
      <c r="MQL41" s="6"/>
      <c r="MQM41" s="6"/>
      <c r="MQN41" s="6"/>
      <c r="MQO41" s="6"/>
      <c r="MQP41" s="6"/>
      <c r="MQQ41" s="6"/>
      <c r="MQR41" s="6"/>
      <c r="MQS41" s="6"/>
      <c r="MQT41" s="6"/>
      <c r="MQU41" s="6"/>
      <c r="MQV41" s="6"/>
      <c r="MQW41" s="6"/>
      <c r="MQX41" s="6"/>
      <c r="MQY41" s="6"/>
      <c r="MQZ41" s="6"/>
      <c r="MRA41" s="6"/>
      <c r="MRB41" s="6"/>
      <c r="MRC41" s="6"/>
      <c r="MRD41" s="6"/>
      <c r="MRE41" s="6"/>
      <c r="MRF41" s="6"/>
      <c r="MRG41" s="6"/>
      <c r="MRH41" s="6"/>
      <c r="MRI41" s="6"/>
      <c r="MRJ41" s="6"/>
      <c r="MRK41" s="6"/>
      <c r="MRL41" s="6"/>
      <c r="MRM41" s="6"/>
      <c r="MRN41" s="6"/>
      <c r="MRO41" s="6"/>
      <c r="MRP41" s="6"/>
      <c r="MRQ41" s="6"/>
      <c r="MRR41" s="6"/>
      <c r="MRS41" s="6"/>
      <c r="MRT41" s="6"/>
      <c r="MRU41" s="6"/>
      <c r="MRV41" s="6"/>
      <c r="MRW41" s="6"/>
      <c r="MRX41" s="6"/>
      <c r="MRY41" s="6"/>
      <c r="MRZ41" s="6"/>
      <c r="MSA41" s="6"/>
      <c r="MSB41" s="6"/>
      <c r="MSC41" s="6"/>
      <c r="MSD41" s="6"/>
      <c r="MSE41" s="6"/>
      <c r="MSF41" s="6"/>
      <c r="MSG41" s="6"/>
      <c r="MSH41" s="6"/>
      <c r="MSI41" s="6"/>
      <c r="MSJ41" s="6"/>
      <c r="MSK41" s="6"/>
      <c r="MSL41" s="6"/>
      <c r="MSM41" s="6"/>
      <c r="MSN41" s="6"/>
      <c r="MSO41" s="6"/>
      <c r="MSP41" s="6"/>
      <c r="MSQ41" s="6"/>
      <c r="MSR41" s="6"/>
      <c r="MSS41" s="6"/>
      <c r="MST41" s="6"/>
      <c r="MSU41" s="6"/>
      <c r="MSV41" s="6"/>
      <c r="MSW41" s="6"/>
      <c r="MSX41" s="6"/>
      <c r="MSY41" s="6"/>
      <c r="MSZ41" s="6"/>
      <c r="MTA41" s="6"/>
      <c r="MTB41" s="6"/>
      <c r="MTC41" s="6"/>
      <c r="MTD41" s="6"/>
      <c r="MTE41" s="6"/>
      <c r="MTF41" s="6"/>
      <c r="MTG41" s="6"/>
      <c r="MTH41" s="6"/>
      <c r="MTI41" s="6"/>
      <c r="MTJ41" s="6"/>
      <c r="MTK41" s="6"/>
      <c r="MTL41" s="6"/>
      <c r="MTM41" s="6"/>
      <c r="MTN41" s="6"/>
      <c r="MTO41" s="6"/>
      <c r="MTP41" s="6"/>
      <c r="MTQ41" s="6"/>
      <c r="MTR41" s="6"/>
      <c r="MTS41" s="6"/>
      <c r="MTT41" s="6"/>
      <c r="MTU41" s="6"/>
      <c r="MTV41" s="6"/>
      <c r="MTW41" s="6"/>
      <c r="MTX41" s="6"/>
      <c r="MTY41" s="6"/>
      <c r="MTZ41" s="6"/>
      <c r="MUA41" s="6"/>
      <c r="MUB41" s="6"/>
      <c r="MUC41" s="6"/>
      <c r="MUD41" s="6"/>
      <c r="MUE41" s="6"/>
      <c r="MUF41" s="6"/>
      <c r="MUG41" s="6"/>
      <c r="MUH41" s="6"/>
      <c r="MUI41" s="6"/>
      <c r="MUJ41" s="6"/>
      <c r="MUK41" s="6"/>
      <c r="MUL41" s="6"/>
      <c r="MUM41" s="6"/>
      <c r="MUN41" s="6"/>
      <c r="MUO41" s="6"/>
      <c r="MUP41" s="6"/>
      <c r="MUQ41" s="6"/>
      <c r="MUR41" s="6"/>
      <c r="MUS41" s="6"/>
      <c r="MUT41" s="6"/>
      <c r="MUU41" s="6"/>
      <c r="MUV41" s="6"/>
      <c r="MUW41" s="6"/>
      <c r="MUX41" s="6"/>
      <c r="MUY41" s="6"/>
      <c r="MUZ41" s="6"/>
      <c r="MVA41" s="6"/>
      <c r="MVB41" s="6"/>
      <c r="MVC41" s="6"/>
      <c r="MVD41" s="6"/>
      <c r="MVE41" s="6"/>
      <c r="MVF41" s="6"/>
      <c r="MVG41" s="6"/>
      <c r="MVH41" s="6"/>
      <c r="MVI41" s="6"/>
      <c r="MVJ41" s="6"/>
      <c r="MVK41" s="6"/>
      <c r="MVL41" s="6"/>
      <c r="MVM41" s="6"/>
      <c r="MVN41" s="6"/>
      <c r="MVO41" s="6"/>
      <c r="MVP41" s="6"/>
      <c r="MVQ41" s="6"/>
      <c r="MVR41" s="6"/>
      <c r="MVS41" s="6"/>
      <c r="MVT41" s="6"/>
      <c r="MVU41" s="6"/>
      <c r="MVV41" s="6"/>
      <c r="MVW41" s="6"/>
      <c r="MVX41" s="6"/>
      <c r="MVY41" s="6"/>
      <c r="MVZ41" s="6"/>
      <c r="MWA41" s="6"/>
      <c r="MWB41" s="6"/>
      <c r="MWC41" s="6"/>
      <c r="MWD41" s="6"/>
      <c r="MWE41" s="6"/>
      <c r="MWF41" s="6"/>
      <c r="MWG41" s="6"/>
      <c r="MWH41" s="6"/>
      <c r="MWI41" s="6"/>
      <c r="MWJ41" s="6"/>
      <c r="MWK41" s="6"/>
      <c r="MWL41" s="6"/>
      <c r="MWM41" s="6"/>
      <c r="MWN41" s="6"/>
      <c r="MWO41" s="6"/>
      <c r="MWP41" s="6"/>
      <c r="MWQ41" s="6"/>
      <c r="MWR41" s="6"/>
      <c r="MWS41" s="6"/>
      <c r="MWT41" s="6"/>
      <c r="MWU41" s="6"/>
      <c r="MWV41" s="6"/>
      <c r="MWW41" s="6"/>
      <c r="MWX41" s="6"/>
      <c r="MWY41" s="6"/>
      <c r="MWZ41" s="6"/>
      <c r="MXA41" s="6"/>
      <c r="MXB41" s="6"/>
      <c r="MXC41" s="6"/>
      <c r="MXD41" s="6"/>
      <c r="MXE41" s="6"/>
      <c r="MXF41" s="6"/>
      <c r="MXG41" s="6"/>
      <c r="MXH41" s="6"/>
      <c r="MXI41" s="6"/>
      <c r="MXJ41" s="6"/>
      <c r="MXK41" s="6"/>
      <c r="MXL41" s="6"/>
      <c r="MXM41" s="6"/>
      <c r="MXN41" s="6"/>
      <c r="MXO41" s="6"/>
      <c r="MXP41" s="6"/>
      <c r="MXQ41" s="6"/>
      <c r="MXR41" s="6"/>
      <c r="MXS41" s="6"/>
      <c r="MXT41" s="6"/>
      <c r="MXU41" s="6"/>
      <c r="MXV41" s="6"/>
      <c r="MXW41" s="6"/>
      <c r="MXX41" s="6"/>
      <c r="MXY41" s="6"/>
      <c r="MXZ41" s="6"/>
      <c r="MYA41" s="6"/>
      <c r="MYB41" s="6"/>
      <c r="MYC41" s="6"/>
      <c r="MYD41" s="6"/>
      <c r="MYE41" s="6"/>
      <c r="MYF41" s="6"/>
      <c r="MYG41" s="6"/>
      <c r="MYH41" s="6"/>
      <c r="MYI41" s="6"/>
      <c r="MYJ41" s="6"/>
      <c r="MYK41" s="6"/>
      <c r="MYL41" s="6"/>
      <c r="MYM41" s="6"/>
      <c r="MYN41" s="6"/>
      <c r="MYO41" s="6"/>
      <c r="MYP41" s="6"/>
      <c r="MYQ41" s="6"/>
      <c r="MYR41" s="6"/>
      <c r="MYS41" s="6"/>
      <c r="MYT41" s="6"/>
      <c r="MYU41" s="6"/>
      <c r="MYV41" s="6"/>
      <c r="MYW41" s="6"/>
      <c r="MYX41" s="6"/>
      <c r="MYY41" s="6"/>
      <c r="MYZ41" s="6"/>
      <c r="MZA41" s="6"/>
      <c r="MZB41" s="6"/>
      <c r="MZC41" s="6"/>
      <c r="MZD41" s="6"/>
      <c r="MZE41" s="6"/>
      <c r="MZF41" s="6"/>
      <c r="MZG41" s="6"/>
      <c r="MZH41" s="6"/>
      <c r="MZI41" s="6"/>
      <c r="MZJ41" s="6"/>
      <c r="MZK41" s="6"/>
      <c r="MZL41" s="6"/>
      <c r="MZM41" s="6"/>
      <c r="MZN41" s="6"/>
      <c r="MZO41" s="6"/>
      <c r="MZP41" s="6"/>
      <c r="MZQ41" s="6"/>
      <c r="MZR41" s="6"/>
      <c r="MZS41" s="6"/>
      <c r="MZT41" s="6"/>
      <c r="MZU41" s="6"/>
      <c r="MZV41" s="6"/>
      <c r="MZW41" s="6"/>
      <c r="MZX41" s="6"/>
      <c r="MZY41" s="6"/>
      <c r="MZZ41" s="6"/>
      <c r="NAA41" s="6"/>
      <c r="NAB41" s="6"/>
      <c r="NAC41" s="6"/>
      <c r="NAD41" s="6"/>
      <c r="NAE41" s="6"/>
      <c r="NAF41" s="6"/>
      <c r="NAG41" s="6"/>
      <c r="NAH41" s="6"/>
      <c r="NAI41" s="6"/>
      <c r="NAJ41" s="6"/>
      <c r="NAK41" s="6"/>
      <c r="NAL41" s="6"/>
      <c r="NAM41" s="6"/>
      <c r="NAN41" s="6"/>
      <c r="NAO41" s="6"/>
      <c r="NAP41" s="6"/>
      <c r="NAQ41" s="6"/>
      <c r="NAR41" s="6"/>
      <c r="NAS41" s="6"/>
      <c r="NAT41" s="6"/>
      <c r="NAU41" s="6"/>
      <c r="NAV41" s="6"/>
      <c r="NAW41" s="6"/>
      <c r="NAX41" s="6"/>
      <c r="NAY41" s="6"/>
      <c r="NAZ41" s="6"/>
      <c r="NBA41" s="6"/>
      <c r="NBB41" s="6"/>
      <c r="NBC41" s="6"/>
      <c r="NBD41" s="6"/>
      <c r="NBE41" s="6"/>
      <c r="NBF41" s="6"/>
      <c r="NBG41" s="6"/>
      <c r="NBH41" s="6"/>
      <c r="NBI41" s="6"/>
      <c r="NBJ41" s="6"/>
      <c r="NBK41" s="6"/>
      <c r="NBL41" s="6"/>
      <c r="NBM41" s="6"/>
      <c r="NBN41" s="6"/>
      <c r="NBO41" s="6"/>
      <c r="NBP41" s="6"/>
      <c r="NBQ41" s="6"/>
      <c r="NBR41" s="6"/>
      <c r="NBS41" s="6"/>
      <c r="NBT41" s="6"/>
      <c r="NBU41" s="6"/>
      <c r="NBV41" s="6"/>
      <c r="NBW41" s="6"/>
      <c r="NBX41" s="6"/>
      <c r="NBY41" s="6"/>
      <c r="NBZ41" s="6"/>
      <c r="NCA41" s="6"/>
      <c r="NCB41" s="6"/>
      <c r="NCC41" s="6"/>
      <c r="NCD41" s="6"/>
      <c r="NCE41" s="6"/>
      <c r="NCF41" s="6"/>
      <c r="NCG41" s="6"/>
      <c r="NCH41" s="6"/>
      <c r="NCI41" s="6"/>
      <c r="NCJ41" s="6"/>
      <c r="NCK41" s="6"/>
      <c r="NCL41" s="6"/>
      <c r="NCM41" s="6"/>
      <c r="NCN41" s="6"/>
      <c r="NCO41" s="6"/>
      <c r="NCP41" s="6"/>
      <c r="NCQ41" s="6"/>
      <c r="NCR41" s="6"/>
      <c r="NCS41" s="6"/>
      <c r="NCT41" s="6"/>
      <c r="NCU41" s="6"/>
      <c r="NCV41" s="6"/>
      <c r="NCW41" s="6"/>
      <c r="NCX41" s="6"/>
      <c r="NCY41" s="6"/>
      <c r="NCZ41" s="6"/>
      <c r="NDA41" s="6"/>
      <c r="NDB41" s="6"/>
      <c r="NDC41" s="6"/>
      <c r="NDD41" s="6"/>
      <c r="NDE41" s="6"/>
      <c r="NDF41" s="6"/>
      <c r="NDG41" s="6"/>
      <c r="NDH41" s="6"/>
      <c r="NDI41" s="6"/>
      <c r="NDJ41" s="6"/>
      <c r="NDK41" s="6"/>
      <c r="NDL41" s="6"/>
      <c r="NDM41" s="6"/>
      <c r="NDN41" s="6"/>
      <c r="NDO41" s="6"/>
      <c r="NDP41" s="6"/>
      <c r="NDQ41" s="6"/>
      <c r="NDR41" s="6"/>
      <c r="NDS41" s="6"/>
      <c r="NDT41" s="6"/>
      <c r="NDU41" s="6"/>
      <c r="NDV41" s="6"/>
      <c r="NDW41" s="6"/>
      <c r="NDX41" s="6"/>
      <c r="NDY41" s="6"/>
      <c r="NDZ41" s="6"/>
      <c r="NEA41" s="6"/>
      <c r="NEB41" s="6"/>
      <c r="NEC41" s="6"/>
      <c r="NED41" s="6"/>
      <c r="NEE41" s="6"/>
      <c r="NEF41" s="6"/>
      <c r="NEG41" s="6"/>
      <c r="NEH41" s="6"/>
      <c r="NEI41" s="6"/>
      <c r="NEJ41" s="6"/>
      <c r="NEK41" s="6"/>
      <c r="NEL41" s="6"/>
      <c r="NEM41" s="6"/>
      <c r="NEN41" s="6"/>
      <c r="NEO41" s="6"/>
      <c r="NEP41" s="6"/>
      <c r="NEQ41" s="6"/>
      <c r="NER41" s="6"/>
      <c r="NES41" s="6"/>
      <c r="NET41" s="6"/>
      <c r="NEU41" s="6"/>
      <c r="NEV41" s="6"/>
      <c r="NEW41" s="6"/>
      <c r="NEX41" s="6"/>
      <c r="NEY41" s="6"/>
      <c r="NEZ41" s="6"/>
      <c r="NFA41" s="6"/>
      <c r="NFB41" s="6"/>
      <c r="NFC41" s="6"/>
      <c r="NFD41" s="6"/>
      <c r="NFE41" s="6"/>
      <c r="NFF41" s="6"/>
      <c r="NFG41" s="6"/>
      <c r="NFH41" s="6"/>
      <c r="NFI41" s="6"/>
      <c r="NFJ41" s="6"/>
      <c r="NFK41" s="6"/>
      <c r="NFL41" s="6"/>
      <c r="NFM41" s="6"/>
      <c r="NFN41" s="6"/>
      <c r="NFO41" s="6"/>
      <c r="NFP41" s="6"/>
      <c r="NFQ41" s="6"/>
      <c r="NFR41" s="6"/>
      <c r="NFS41" s="6"/>
      <c r="NFT41" s="6"/>
      <c r="NFU41" s="6"/>
      <c r="NFV41" s="6"/>
      <c r="NFW41" s="6"/>
      <c r="NFX41" s="6"/>
      <c r="NFY41" s="6"/>
      <c r="NFZ41" s="6"/>
      <c r="NGA41" s="6"/>
      <c r="NGB41" s="6"/>
      <c r="NGC41" s="6"/>
      <c r="NGD41" s="6"/>
      <c r="NGE41" s="6"/>
      <c r="NGF41" s="6"/>
      <c r="NGG41" s="6"/>
      <c r="NGH41" s="6"/>
      <c r="NGI41" s="6"/>
      <c r="NGJ41" s="6"/>
      <c r="NGK41" s="6"/>
      <c r="NGL41" s="6"/>
      <c r="NGM41" s="6"/>
      <c r="NGN41" s="6"/>
      <c r="NGO41" s="6"/>
      <c r="NGP41" s="6"/>
      <c r="NGQ41" s="6"/>
      <c r="NGR41" s="6"/>
      <c r="NGS41" s="6"/>
      <c r="NGT41" s="6"/>
      <c r="NGU41" s="6"/>
      <c r="NGV41" s="6"/>
      <c r="NGW41" s="6"/>
      <c r="NGX41" s="6"/>
      <c r="NGY41" s="6"/>
      <c r="NGZ41" s="6"/>
      <c r="NHA41" s="6"/>
      <c r="NHB41" s="6"/>
      <c r="NHC41" s="6"/>
      <c r="NHD41" s="6"/>
      <c r="NHE41" s="6"/>
      <c r="NHF41" s="6"/>
      <c r="NHG41" s="6"/>
      <c r="NHH41" s="6"/>
      <c r="NHI41" s="6"/>
      <c r="NHJ41" s="6"/>
      <c r="NHK41" s="6"/>
      <c r="NHL41" s="6"/>
      <c r="NHM41" s="6"/>
      <c r="NHN41" s="6"/>
      <c r="NHO41" s="6"/>
      <c r="NHP41" s="6"/>
      <c r="NHQ41" s="6"/>
      <c r="NHR41" s="6"/>
      <c r="NHS41" s="6"/>
      <c r="NHT41" s="6"/>
      <c r="NHU41" s="6"/>
      <c r="NHV41" s="6"/>
      <c r="NHW41" s="6"/>
      <c r="NHX41" s="6"/>
      <c r="NHY41" s="6"/>
      <c r="NHZ41" s="6"/>
      <c r="NIA41" s="6"/>
      <c r="NIB41" s="6"/>
      <c r="NIC41" s="6"/>
      <c r="NID41" s="6"/>
      <c r="NIE41" s="6"/>
      <c r="NIF41" s="6"/>
      <c r="NIG41" s="6"/>
      <c r="NIH41" s="6"/>
      <c r="NII41" s="6"/>
      <c r="NIJ41" s="6"/>
      <c r="NIK41" s="6"/>
      <c r="NIL41" s="6"/>
      <c r="NIM41" s="6"/>
      <c r="NIN41" s="6"/>
      <c r="NIO41" s="6"/>
      <c r="NIP41" s="6"/>
      <c r="NIQ41" s="6"/>
      <c r="NIR41" s="6"/>
      <c r="NIS41" s="6"/>
      <c r="NIT41" s="6"/>
      <c r="NIU41" s="6"/>
      <c r="NIV41" s="6"/>
      <c r="NIW41" s="6"/>
      <c r="NIX41" s="6"/>
      <c r="NIY41" s="6"/>
      <c r="NIZ41" s="6"/>
      <c r="NJA41" s="6"/>
      <c r="NJB41" s="6"/>
      <c r="NJC41" s="6"/>
      <c r="NJD41" s="6"/>
      <c r="NJE41" s="6"/>
      <c r="NJF41" s="6"/>
      <c r="NJG41" s="6"/>
      <c r="NJH41" s="6"/>
      <c r="NJI41" s="6"/>
      <c r="NJJ41" s="6"/>
      <c r="NJK41" s="6"/>
      <c r="NJL41" s="6"/>
      <c r="NJM41" s="6"/>
      <c r="NJN41" s="6"/>
      <c r="NJO41" s="6"/>
      <c r="NJP41" s="6"/>
      <c r="NJQ41" s="6"/>
      <c r="NJR41" s="6"/>
      <c r="NJS41" s="6"/>
      <c r="NJT41" s="6"/>
      <c r="NJU41" s="6"/>
      <c r="NJV41" s="6"/>
      <c r="NJW41" s="6"/>
      <c r="NJX41" s="6"/>
      <c r="NJY41" s="6"/>
      <c r="NJZ41" s="6"/>
      <c r="NKA41" s="6"/>
      <c r="NKB41" s="6"/>
      <c r="NKC41" s="6"/>
      <c r="NKD41" s="6"/>
      <c r="NKE41" s="6"/>
      <c r="NKF41" s="6"/>
      <c r="NKG41" s="6"/>
      <c r="NKH41" s="6"/>
      <c r="NKI41" s="6"/>
      <c r="NKJ41" s="6"/>
      <c r="NKK41" s="6"/>
      <c r="NKL41" s="6"/>
      <c r="NKM41" s="6"/>
      <c r="NKN41" s="6"/>
      <c r="NKO41" s="6"/>
      <c r="NKP41" s="6"/>
      <c r="NKQ41" s="6"/>
      <c r="NKR41" s="6"/>
      <c r="NKS41" s="6"/>
      <c r="NKT41" s="6"/>
      <c r="NKU41" s="6"/>
      <c r="NKV41" s="6"/>
      <c r="NKW41" s="6"/>
      <c r="NKX41" s="6"/>
      <c r="NKY41" s="6"/>
      <c r="NKZ41" s="6"/>
      <c r="NLA41" s="6"/>
      <c r="NLB41" s="6"/>
      <c r="NLC41" s="6"/>
      <c r="NLD41" s="6"/>
      <c r="NLE41" s="6"/>
      <c r="NLF41" s="6"/>
      <c r="NLG41" s="6"/>
      <c r="NLH41" s="6"/>
      <c r="NLI41" s="6"/>
      <c r="NLJ41" s="6"/>
      <c r="NLK41" s="6"/>
      <c r="NLL41" s="6"/>
      <c r="NLM41" s="6"/>
      <c r="NLN41" s="6"/>
      <c r="NLO41" s="6"/>
      <c r="NLP41" s="6"/>
      <c r="NLQ41" s="6"/>
      <c r="NLR41" s="6"/>
      <c r="NLS41" s="6"/>
      <c r="NLT41" s="6"/>
      <c r="NLU41" s="6"/>
      <c r="NLV41" s="6"/>
      <c r="NLW41" s="6"/>
      <c r="NLX41" s="6"/>
      <c r="NLY41" s="6"/>
      <c r="NLZ41" s="6"/>
      <c r="NMA41" s="6"/>
      <c r="NMB41" s="6"/>
      <c r="NMC41" s="6"/>
      <c r="NMD41" s="6"/>
      <c r="NME41" s="6"/>
      <c r="NMF41" s="6"/>
      <c r="NMG41" s="6"/>
      <c r="NMH41" s="6"/>
      <c r="NMI41" s="6"/>
      <c r="NMJ41" s="6"/>
      <c r="NMK41" s="6"/>
      <c r="NML41" s="6"/>
      <c r="NMM41" s="6"/>
      <c r="NMN41" s="6"/>
      <c r="NMO41" s="6"/>
      <c r="NMP41" s="6"/>
      <c r="NMQ41" s="6"/>
      <c r="NMR41" s="6"/>
      <c r="NMS41" s="6"/>
      <c r="NMT41" s="6"/>
      <c r="NMU41" s="6"/>
      <c r="NMV41" s="6"/>
      <c r="NMW41" s="6"/>
      <c r="NMX41" s="6"/>
      <c r="NMY41" s="6"/>
      <c r="NMZ41" s="6"/>
      <c r="NNA41" s="6"/>
      <c r="NNB41" s="6"/>
      <c r="NNC41" s="6"/>
      <c r="NND41" s="6"/>
      <c r="NNE41" s="6"/>
      <c r="NNF41" s="6"/>
      <c r="NNG41" s="6"/>
      <c r="NNH41" s="6"/>
      <c r="NNI41" s="6"/>
      <c r="NNJ41" s="6"/>
      <c r="NNK41" s="6"/>
      <c r="NNL41" s="6"/>
      <c r="NNM41" s="6"/>
      <c r="NNN41" s="6"/>
      <c r="NNO41" s="6"/>
      <c r="NNP41" s="6"/>
      <c r="NNQ41" s="6"/>
      <c r="NNR41" s="6"/>
      <c r="NNS41" s="6"/>
      <c r="NNT41" s="6"/>
      <c r="NNU41" s="6"/>
      <c r="NNV41" s="6"/>
      <c r="NNW41" s="6"/>
      <c r="NNX41" s="6"/>
      <c r="NNY41" s="6"/>
      <c r="NNZ41" s="6"/>
      <c r="NOA41" s="6"/>
      <c r="NOB41" s="6"/>
      <c r="NOC41" s="6"/>
      <c r="NOD41" s="6"/>
      <c r="NOE41" s="6"/>
      <c r="NOF41" s="6"/>
      <c r="NOG41" s="6"/>
      <c r="NOH41" s="6"/>
      <c r="NOI41" s="6"/>
      <c r="NOJ41" s="6"/>
      <c r="NOK41" s="6"/>
      <c r="NOL41" s="6"/>
      <c r="NOM41" s="6"/>
      <c r="NON41" s="6"/>
      <c r="NOO41" s="6"/>
      <c r="NOP41" s="6"/>
      <c r="NOQ41" s="6"/>
      <c r="NOR41" s="6"/>
      <c r="NOS41" s="6"/>
      <c r="NOT41" s="6"/>
      <c r="NOU41" s="6"/>
      <c r="NOV41" s="6"/>
      <c r="NOW41" s="6"/>
      <c r="NOX41" s="6"/>
      <c r="NOY41" s="6"/>
      <c r="NOZ41" s="6"/>
      <c r="NPA41" s="6"/>
      <c r="NPB41" s="6"/>
      <c r="NPC41" s="6"/>
      <c r="NPD41" s="6"/>
      <c r="NPE41" s="6"/>
      <c r="NPF41" s="6"/>
      <c r="NPG41" s="6"/>
      <c r="NPH41" s="6"/>
      <c r="NPI41" s="6"/>
      <c r="NPJ41" s="6"/>
      <c r="NPK41" s="6"/>
      <c r="NPL41" s="6"/>
      <c r="NPM41" s="6"/>
      <c r="NPN41" s="6"/>
      <c r="NPO41" s="6"/>
      <c r="NPP41" s="6"/>
      <c r="NPQ41" s="6"/>
      <c r="NPR41" s="6"/>
      <c r="NPS41" s="6"/>
      <c r="NPT41" s="6"/>
      <c r="NPU41" s="6"/>
      <c r="NPV41" s="6"/>
      <c r="NPW41" s="6"/>
      <c r="NPX41" s="6"/>
      <c r="NPY41" s="6"/>
      <c r="NPZ41" s="6"/>
      <c r="NQA41" s="6"/>
      <c r="NQB41" s="6"/>
      <c r="NQC41" s="6"/>
      <c r="NQD41" s="6"/>
      <c r="NQE41" s="6"/>
      <c r="NQF41" s="6"/>
      <c r="NQG41" s="6"/>
      <c r="NQH41" s="6"/>
      <c r="NQI41" s="6"/>
      <c r="NQJ41" s="6"/>
      <c r="NQK41" s="6"/>
      <c r="NQL41" s="6"/>
      <c r="NQM41" s="6"/>
      <c r="NQN41" s="6"/>
      <c r="NQO41" s="6"/>
      <c r="NQP41" s="6"/>
      <c r="NQQ41" s="6"/>
      <c r="NQR41" s="6"/>
      <c r="NQS41" s="6"/>
      <c r="NQT41" s="6"/>
      <c r="NQU41" s="6"/>
      <c r="NQV41" s="6"/>
      <c r="NQW41" s="6"/>
      <c r="NQX41" s="6"/>
      <c r="NQY41" s="6"/>
      <c r="NQZ41" s="6"/>
      <c r="NRA41" s="6"/>
      <c r="NRB41" s="6"/>
      <c r="NRC41" s="6"/>
      <c r="NRD41" s="6"/>
      <c r="NRE41" s="6"/>
      <c r="NRF41" s="6"/>
      <c r="NRG41" s="6"/>
      <c r="NRH41" s="6"/>
      <c r="NRI41" s="6"/>
      <c r="NRJ41" s="6"/>
      <c r="NRK41" s="6"/>
      <c r="NRL41" s="6"/>
      <c r="NRM41" s="6"/>
      <c r="NRN41" s="6"/>
      <c r="NRO41" s="6"/>
      <c r="NRP41" s="6"/>
      <c r="NRQ41" s="6"/>
      <c r="NRR41" s="6"/>
      <c r="NRS41" s="6"/>
      <c r="NRT41" s="6"/>
      <c r="NRU41" s="6"/>
      <c r="NRV41" s="6"/>
      <c r="NRW41" s="6"/>
      <c r="NRX41" s="6"/>
      <c r="NRY41" s="6"/>
      <c r="NRZ41" s="6"/>
      <c r="NSA41" s="6"/>
      <c r="NSB41" s="6"/>
      <c r="NSC41" s="6"/>
      <c r="NSD41" s="6"/>
      <c r="NSE41" s="6"/>
      <c r="NSF41" s="6"/>
      <c r="NSG41" s="6"/>
      <c r="NSH41" s="6"/>
      <c r="NSI41" s="6"/>
      <c r="NSJ41" s="6"/>
      <c r="NSK41" s="6"/>
      <c r="NSL41" s="6"/>
      <c r="NSM41" s="6"/>
      <c r="NSN41" s="6"/>
      <c r="NSO41" s="6"/>
      <c r="NSP41" s="6"/>
      <c r="NSQ41" s="6"/>
      <c r="NSR41" s="6"/>
      <c r="NSS41" s="6"/>
      <c r="NST41" s="6"/>
      <c r="NSU41" s="6"/>
      <c r="NSV41" s="6"/>
      <c r="NSW41" s="6"/>
      <c r="NSX41" s="6"/>
      <c r="NSY41" s="6"/>
      <c r="NSZ41" s="6"/>
      <c r="NTA41" s="6"/>
      <c r="NTB41" s="6"/>
      <c r="NTC41" s="6"/>
      <c r="NTD41" s="6"/>
      <c r="NTE41" s="6"/>
      <c r="NTF41" s="6"/>
      <c r="NTG41" s="6"/>
      <c r="NTH41" s="6"/>
      <c r="NTI41" s="6"/>
      <c r="NTJ41" s="6"/>
      <c r="NTK41" s="6"/>
      <c r="NTL41" s="6"/>
      <c r="NTM41" s="6"/>
      <c r="NTN41" s="6"/>
      <c r="NTO41" s="6"/>
      <c r="NTP41" s="6"/>
      <c r="NTQ41" s="6"/>
      <c r="NTR41" s="6"/>
      <c r="NTS41" s="6"/>
      <c r="NTT41" s="6"/>
      <c r="NTU41" s="6"/>
      <c r="NTV41" s="6"/>
      <c r="NTW41" s="6"/>
      <c r="NTX41" s="6"/>
      <c r="NTY41" s="6"/>
      <c r="NTZ41" s="6"/>
      <c r="NUA41" s="6"/>
      <c r="NUB41" s="6"/>
      <c r="NUC41" s="6"/>
      <c r="NUD41" s="6"/>
      <c r="NUE41" s="6"/>
      <c r="NUF41" s="6"/>
      <c r="NUG41" s="6"/>
      <c r="NUH41" s="6"/>
      <c r="NUI41" s="6"/>
      <c r="NUJ41" s="6"/>
      <c r="NUK41" s="6"/>
      <c r="NUL41" s="6"/>
      <c r="NUM41" s="6"/>
      <c r="NUN41" s="6"/>
      <c r="NUO41" s="6"/>
      <c r="NUP41" s="6"/>
      <c r="NUQ41" s="6"/>
      <c r="NUR41" s="6"/>
      <c r="NUS41" s="6"/>
      <c r="NUT41" s="6"/>
      <c r="NUU41" s="6"/>
      <c r="NUV41" s="6"/>
      <c r="NUW41" s="6"/>
      <c r="NUX41" s="6"/>
      <c r="NUY41" s="6"/>
      <c r="NUZ41" s="6"/>
      <c r="NVA41" s="6"/>
      <c r="NVB41" s="6"/>
      <c r="NVC41" s="6"/>
      <c r="NVD41" s="6"/>
      <c r="NVE41" s="6"/>
      <c r="NVF41" s="6"/>
      <c r="NVG41" s="6"/>
      <c r="NVH41" s="6"/>
      <c r="NVI41" s="6"/>
      <c r="NVJ41" s="6"/>
      <c r="NVK41" s="6"/>
      <c r="NVL41" s="6"/>
      <c r="NVM41" s="6"/>
      <c r="NVN41" s="6"/>
      <c r="NVO41" s="6"/>
      <c r="NVP41" s="6"/>
      <c r="NVQ41" s="6"/>
      <c r="NVR41" s="6"/>
      <c r="NVS41" s="6"/>
      <c r="NVT41" s="6"/>
      <c r="NVU41" s="6"/>
      <c r="NVV41" s="6"/>
      <c r="NVW41" s="6"/>
      <c r="NVX41" s="6"/>
      <c r="NVY41" s="6"/>
      <c r="NVZ41" s="6"/>
      <c r="NWA41" s="6"/>
      <c r="NWB41" s="6"/>
      <c r="NWC41" s="6"/>
      <c r="NWD41" s="6"/>
      <c r="NWE41" s="6"/>
      <c r="NWF41" s="6"/>
      <c r="NWG41" s="6"/>
      <c r="NWH41" s="6"/>
      <c r="NWI41" s="6"/>
      <c r="NWJ41" s="6"/>
      <c r="NWK41" s="6"/>
      <c r="NWL41" s="6"/>
      <c r="NWM41" s="6"/>
      <c r="NWN41" s="6"/>
      <c r="NWO41" s="6"/>
      <c r="NWP41" s="6"/>
      <c r="NWQ41" s="6"/>
      <c r="NWR41" s="6"/>
      <c r="NWS41" s="6"/>
      <c r="NWT41" s="6"/>
      <c r="NWU41" s="6"/>
      <c r="NWV41" s="6"/>
      <c r="NWW41" s="6"/>
      <c r="NWX41" s="6"/>
      <c r="NWY41" s="6"/>
      <c r="NWZ41" s="6"/>
      <c r="NXA41" s="6"/>
      <c r="NXB41" s="6"/>
      <c r="NXC41" s="6"/>
      <c r="NXD41" s="6"/>
      <c r="NXE41" s="6"/>
      <c r="NXF41" s="6"/>
      <c r="NXG41" s="6"/>
      <c r="NXH41" s="6"/>
      <c r="NXI41" s="6"/>
      <c r="NXJ41" s="6"/>
      <c r="NXK41" s="6"/>
      <c r="NXL41" s="6"/>
      <c r="NXM41" s="6"/>
      <c r="NXN41" s="6"/>
      <c r="NXO41" s="6"/>
      <c r="NXP41" s="6"/>
      <c r="NXQ41" s="6"/>
      <c r="NXR41" s="6"/>
      <c r="NXS41" s="6"/>
      <c r="NXT41" s="6"/>
      <c r="NXU41" s="6"/>
      <c r="NXV41" s="6"/>
      <c r="NXW41" s="6"/>
      <c r="NXX41" s="6"/>
      <c r="NXY41" s="6"/>
      <c r="NXZ41" s="6"/>
      <c r="NYA41" s="6"/>
      <c r="NYB41" s="6"/>
      <c r="NYC41" s="6"/>
      <c r="NYD41" s="6"/>
      <c r="NYE41" s="6"/>
      <c r="NYF41" s="6"/>
      <c r="NYG41" s="6"/>
      <c r="NYH41" s="6"/>
      <c r="NYI41" s="6"/>
      <c r="NYJ41" s="6"/>
      <c r="NYK41" s="6"/>
      <c r="NYL41" s="6"/>
      <c r="NYM41" s="6"/>
      <c r="NYN41" s="6"/>
      <c r="NYO41" s="6"/>
      <c r="NYP41" s="6"/>
      <c r="NYQ41" s="6"/>
      <c r="NYR41" s="6"/>
      <c r="NYS41" s="6"/>
      <c r="NYT41" s="6"/>
      <c r="NYU41" s="6"/>
      <c r="NYV41" s="6"/>
      <c r="NYW41" s="6"/>
      <c r="NYX41" s="6"/>
      <c r="NYY41" s="6"/>
      <c r="NYZ41" s="6"/>
      <c r="NZA41" s="6"/>
      <c r="NZB41" s="6"/>
      <c r="NZC41" s="6"/>
      <c r="NZD41" s="6"/>
      <c r="NZE41" s="6"/>
      <c r="NZF41" s="6"/>
      <c r="NZG41" s="6"/>
      <c r="NZH41" s="6"/>
      <c r="NZI41" s="6"/>
      <c r="NZJ41" s="6"/>
      <c r="NZK41" s="6"/>
      <c r="NZL41" s="6"/>
      <c r="NZM41" s="6"/>
      <c r="NZN41" s="6"/>
      <c r="NZO41" s="6"/>
      <c r="NZP41" s="6"/>
      <c r="NZQ41" s="6"/>
      <c r="NZR41" s="6"/>
      <c r="NZS41" s="6"/>
      <c r="NZT41" s="6"/>
      <c r="NZU41" s="6"/>
      <c r="NZV41" s="6"/>
      <c r="NZW41" s="6"/>
      <c r="NZX41" s="6"/>
      <c r="NZY41" s="6"/>
      <c r="NZZ41" s="6"/>
      <c r="OAA41" s="6"/>
      <c r="OAB41" s="6"/>
      <c r="OAC41" s="6"/>
      <c r="OAD41" s="6"/>
      <c r="OAE41" s="6"/>
      <c r="OAF41" s="6"/>
      <c r="OAG41" s="6"/>
      <c r="OAH41" s="6"/>
      <c r="OAI41" s="6"/>
      <c r="OAJ41" s="6"/>
      <c r="OAK41" s="6"/>
      <c r="OAL41" s="6"/>
      <c r="OAM41" s="6"/>
      <c r="OAN41" s="6"/>
      <c r="OAO41" s="6"/>
      <c r="OAP41" s="6"/>
      <c r="OAQ41" s="6"/>
      <c r="OAR41" s="6"/>
      <c r="OAS41" s="6"/>
      <c r="OAT41" s="6"/>
      <c r="OAU41" s="6"/>
      <c r="OAV41" s="6"/>
      <c r="OAW41" s="6"/>
      <c r="OAX41" s="6"/>
      <c r="OAY41" s="6"/>
      <c r="OAZ41" s="6"/>
      <c r="OBA41" s="6"/>
      <c r="OBB41" s="6"/>
      <c r="OBC41" s="6"/>
      <c r="OBD41" s="6"/>
      <c r="OBE41" s="6"/>
      <c r="OBF41" s="6"/>
      <c r="OBG41" s="6"/>
      <c r="OBH41" s="6"/>
      <c r="OBI41" s="6"/>
      <c r="OBJ41" s="6"/>
      <c r="OBK41" s="6"/>
      <c r="OBL41" s="6"/>
      <c r="OBM41" s="6"/>
      <c r="OBN41" s="6"/>
      <c r="OBO41" s="6"/>
      <c r="OBP41" s="6"/>
      <c r="OBQ41" s="6"/>
      <c r="OBR41" s="6"/>
      <c r="OBS41" s="6"/>
      <c r="OBT41" s="6"/>
      <c r="OBU41" s="6"/>
      <c r="OBV41" s="6"/>
      <c r="OBW41" s="6"/>
      <c r="OBX41" s="6"/>
      <c r="OBY41" s="6"/>
      <c r="OBZ41" s="6"/>
      <c r="OCA41" s="6"/>
      <c r="OCB41" s="6"/>
      <c r="OCC41" s="6"/>
      <c r="OCD41" s="6"/>
      <c r="OCE41" s="6"/>
      <c r="OCF41" s="6"/>
      <c r="OCG41" s="6"/>
      <c r="OCH41" s="6"/>
      <c r="OCI41" s="6"/>
      <c r="OCJ41" s="6"/>
      <c r="OCK41" s="6"/>
      <c r="OCL41" s="6"/>
      <c r="OCM41" s="6"/>
      <c r="OCN41" s="6"/>
      <c r="OCO41" s="6"/>
      <c r="OCP41" s="6"/>
      <c r="OCQ41" s="6"/>
      <c r="OCR41" s="6"/>
      <c r="OCS41" s="6"/>
      <c r="OCT41" s="6"/>
      <c r="OCU41" s="6"/>
      <c r="OCV41" s="6"/>
      <c r="OCW41" s="6"/>
      <c r="OCX41" s="6"/>
      <c r="OCY41" s="6"/>
      <c r="OCZ41" s="6"/>
      <c r="ODA41" s="6"/>
      <c r="ODB41" s="6"/>
      <c r="ODC41" s="6"/>
      <c r="ODD41" s="6"/>
      <c r="ODE41" s="6"/>
      <c r="ODF41" s="6"/>
      <c r="ODG41" s="6"/>
      <c r="ODH41" s="6"/>
      <c r="ODI41" s="6"/>
      <c r="ODJ41" s="6"/>
      <c r="ODK41" s="6"/>
      <c r="ODL41" s="6"/>
      <c r="ODM41" s="6"/>
      <c r="ODN41" s="6"/>
      <c r="ODO41" s="6"/>
      <c r="ODP41" s="6"/>
      <c r="ODQ41" s="6"/>
      <c r="ODR41" s="6"/>
      <c r="ODS41" s="6"/>
      <c r="ODT41" s="6"/>
      <c r="ODU41" s="6"/>
      <c r="ODV41" s="6"/>
      <c r="ODW41" s="6"/>
      <c r="ODX41" s="6"/>
      <c r="ODY41" s="6"/>
      <c r="ODZ41" s="6"/>
      <c r="OEA41" s="6"/>
      <c r="OEB41" s="6"/>
      <c r="OEC41" s="6"/>
      <c r="OED41" s="6"/>
      <c r="OEE41" s="6"/>
      <c r="OEF41" s="6"/>
      <c r="OEG41" s="6"/>
      <c r="OEH41" s="6"/>
      <c r="OEI41" s="6"/>
      <c r="OEJ41" s="6"/>
      <c r="OEK41" s="6"/>
      <c r="OEL41" s="6"/>
      <c r="OEM41" s="6"/>
      <c r="OEN41" s="6"/>
      <c r="OEO41" s="6"/>
      <c r="OEP41" s="6"/>
      <c r="OEQ41" s="6"/>
      <c r="OER41" s="6"/>
      <c r="OES41" s="6"/>
      <c r="OET41" s="6"/>
      <c r="OEU41" s="6"/>
      <c r="OEV41" s="6"/>
      <c r="OEW41" s="6"/>
      <c r="OEX41" s="6"/>
      <c r="OEY41" s="6"/>
      <c r="OEZ41" s="6"/>
      <c r="OFA41" s="6"/>
      <c r="OFB41" s="6"/>
      <c r="OFC41" s="6"/>
      <c r="OFD41" s="6"/>
      <c r="OFE41" s="6"/>
      <c r="OFF41" s="6"/>
      <c r="OFG41" s="6"/>
      <c r="OFH41" s="6"/>
      <c r="OFI41" s="6"/>
      <c r="OFJ41" s="6"/>
      <c r="OFK41" s="6"/>
      <c r="OFL41" s="6"/>
      <c r="OFM41" s="6"/>
      <c r="OFN41" s="6"/>
      <c r="OFO41" s="6"/>
      <c r="OFP41" s="6"/>
      <c r="OFQ41" s="6"/>
      <c r="OFR41" s="6"/>
      <c r="OFS41" s="6"/>
      <c r="OFT41" s="6"/>
      <c r="OFU41" s="6"/>
      <c r="OFV41" s="6"/>
      <c r="OFW41" s="6"/>
      <c r="OFX41" s="6"/>
      <c r="OFY41" s="6"/>
      <c r="OFZ41" s="6"/>
      <c r="OGA41" s="6"/>
      <c r="OGB41" s="6"/>
      <c r="OGC41" s="6"/>
      <c r="OGD41" s="6"/>
      <c r="OGE41" s="6"/>
      <c r="OGF41" s="6"/>
      <c r="OGG41" s="6"/>
      <c r="OGH41" s="6"/>
      <c r="OGI41" s="6"/>
      <c r="OGJ41" s="6"/>
      <c r="OGK41" s="6"/>
      <c r="OGL41" s="6"/>
      <c r="OGM41" s="6"/>
      <c r="OGN41" s="6"/>
      <c r="OGO41" s="6"/>
      <c r="OGP41" s="6"/>
      <c r="OGQ41" s="6"/>
      <c r="OGR41" s="6"/>
      <c r="OGS41" s="6"/>
      <c r="OGT41" s="6"/>
      <c r="OGU41" s="6"/>
      <c r="OGV41" s="6"/>
      <c r="OGW41" s="6"/>
      <c r="OGX41" s="6"/>
      <c r="OGY41" s="6"/>
      <c r="OGZ41" s="6"/>
      <c r="OHA41" s="6"/>
      <c r="OHB41" s="6"/>
      <c r="OHC41" s="6"/>
      <c r="OHD41" s="6"/>
      <c r="OHE41" s="6"/>
      <c r="OHF41" s="6"/>
      <c r="OHG41" s="6"/>
      <c r="OHH41" s="6"/>
      <c r="OHI41" s="6"/>
      <c r="OHJ41" s="6"/>
      <c r="OHK41" s="6"/>
      <c r="OHL41" s="6"/>
      <c r="OHM41" s="6"/>
      <c r="OHN41" s="6"/>
      <c r="OHO41" s="6"/>
      <c r="OHP41" s="6"/>
      <c r="OHQ41" s="6"/>
      <c r="OHR41" s="6"/>
      <c r="OHS41" s="6"/>
      <c r="OHT41" s="6"/>
      <c r="OHU41" s="6"/>
      <c r="OHV41" s="6"/>
      <c r="OHW41" s="6"/>
      <c r="OHX41" s="6"/>
      <c r="OHY41" s="6"/>
      <c r="OHZ41" s="6"/>
      <c r="OIA41" s="6"/>
      <c r="OIB41" s="6"/>
      <c r="OIC41" s="6"/>
      <c r="OID41" s="6"/>
      <c r="OIE41" s="6"/>
      <c r="OIF41" s="6"/>
      <c r="OIG41" s="6"/>
      <c r="OIH41" s="6"/>
      <c r="OII41" s="6"/>
      <c r="OIJ41" s="6"/>
      <c r="OIK41" s="6"/>
      <c r="OIL41" s="6"/>
      <c r="OIM41" s="6"/>
      <c r="OIN41" s="6"/>
      <c r="OIO41" s="6"/>
      <c r="OIP41" s="6"/>
      <c r="OIQ41" s="6"/>
      <c r="OIR41" s="6"/>
      <c r="OIS41" s="6"/>
      <c r="OIT41" s="6"/>
      <c r="OIU41" s="6"/>
      <c r="OIV41" s="6"/>
      <c r="OIW41" s="6"/>
      <c r="OIX41" s="6"/>
      <c r="OIY41" s="6"/>
      <c r="OIZ41" s="6"/>
      <c r="OJA41" s="6"/>
      <c r="OJB41" s="6"/>
      <c r="OJC41" s="6"/>
      <c r="OJD41" s="6"/>
      <c r="OJE41" s="6"/>
      <c r="OJF41" s="6"/>
      <c r="OJG41" s="6"/>
      <c r="OJH41" s="6"/>
      <c r="OJI41" s="6"/>
      <c r="OJJ41" s="6"/>
      <c r="OJK41" s="6"/>
      <c r="OJL41" s="6"/>
      <c r="OJM41" s="6"/>
      <c r="OJN41" s="6"/>
      <c r="OJO41" s="6"/>
      <c r="OJP41" s="6"/>
      <c r="OJQ41" s="6"/>
      <c r="OJR41" s="6"/>
      <c r="OJS41" s="6"/>
      <c r="OJT41" s="6"/>
      <c r="OJU41" s="6"/>
      <c r="OJV41" s="6"/>
      <c r="OJW41" s="6"/>
      <c r="OJX41" s="6"/>
      <c r="OJY41" s="6"/>
      <c r="OJZ41" s="6"/>
      <c r="OKA41" s="6"/>
      <c r="OKB41" s="6"/>
      <c r="OKC41" s="6"/>
      <c r="OKD41" s="6"/>
      <c r="OKE41" s="6"/>
      <c r="OKF41" s="6"/>
      <c r="OKG41" s="6"/>
      <c r="OKH41" s="6"/>
      <c r="OKI41" s="6"/>
      <c r="OKJ41" s="6"/>
      <c r="OKK41" s="6"/>
      <c r="OKL41" s="6"/>
      <c r="OKM41" s="6"/>
      <c r="OKN41" s="6"/>
      <c r="OKO41" s="6"/>
      <c r="OKP41" s="6"/>
      <c r="OKQ41" s="6"/>
      <c r="OKR41" s="6"/>
      <c r="OKS41" s="6"/>
      <c r="OKT41" s="6"/>
      <c r="OKU41" s="6"/>
      <c r="OKV41" s="6"/>
      <c r="OKW41" s="6"/>
      <c r="OKX41" s="6"/>
      <c r="OKY41" s="6"/>
      <c r="OKZ41" s="6"/>
      <c r="OLA41" s="6"/>
      <c r="OLB41" s="6"/>
      <c r="OLC41" s="6"/>
      <c r="OLD41" s="6"/>
      <c r="OLE41" s="6"/>
      <c r="OLF41" s="6"/>
      <c r="OLG41" s="6"/>
      <c r="OLH41" s="6"/>
      <c r="OLI41" s="6"/>
      <c r="OLJ41" s="6"/>
      <c r="OLK41" s="6"/>
      <c r="OLL41" s="6"/>
      <c r="OLM41" s="6"/>
      <c r="OLN41" s="6"/>
      <c r="OLO41" s="6"/>
      <c r="OLP41" s="6"/>
      <c r="OLQ41" s="6"/>
      <c r="OLR41" s="6"/>
      <c r="OLS41" s="6"/>
      <c r="OLT41" s="6"/>
      <c r="OLU41" s="6"/>
      <c r="OLV41" s="6"/>
      <c r="OLW41" s="6"/>
      <c r="OLX41" s="6"/>
      <c r="OLY41" s="6"/>
      <c r="OLZ41" s="6"/>
      <c r="OMA41" s="6"/>
      <c r="OMB41" s="6"/>
      <c r="OMC41" s="6"/>
      <c r="OMD41" s="6"/>
      <c r="OME41" s="6"/>
      <c r="OMF41" s="6"/>
      <c r="OMG41" s="6"/>
      <c r="OMH41" s="6"/>
      <c r="OMI41" s="6"/>
      <c r="OMJ41" s="6"/>
      <c r="OMK41" s="6"/>
      <c r="OML41" s="6"/>
      <c r="OMM41" s="6"/>
      <c r="OMN41" s="6"/>
      <c r="OMO41" s="6"/>
      <c r="OMP41" s="6"/>
      <c r="OMQ41" s="6"/>
      <c r="OMR41" s="6"/>
      <c r="OMS41" s="6"/>
      <c r="OMT41" s="6"/>
      <c r="OMU41" s="6"/>
      <c r="OMV41" s="6"/>
      <c r="OMW41" s="6"/>
      <c r="OMX41" s="6"/>
      <c r="OMY41" s="6"/>
      <c r="OMZ41" s="6"/>
      <c r="ONA41" s="6"/>
      <c r="ONB41" s="6"/>
      <c r="ONC41" s="6"/>
      <c r="OND41" s="6"/>
      <c r="ONE41" s="6"/>
      <c r="ONF41" s="6"/>
      <c r="ONG41" s="6"/>
      <c r="ONH41" s="6"/>
      <c r="ONI41" s="6"/>
      <c r="ONJ41" s="6"/>
      <c r="ONK41" s="6"/>
      <c r="ONL41" s="6"/>
      <c r="ONM41" s="6"/>
      <c r="ONN41" s="6"/>
      <c r="ONO41" s="6"/>
      <c r="ONP41" s="6"/>
      <c r="ONQ41" s="6"/>
      <c r="ONR41" s="6"/>
      <c r="ONS41" s="6"/>
      <c r="ONT41" s="6"/>
      <c r="ONU41" s="6"/>
      <c r="ONV41" s="6"/>
      <c r="ONW41" s="6"/>
      <c r="ONX41" s="6"/>
      <c r="ONY41" s="6"/>
      <c r="ONZ41" s="6"/>
      <c r="OOA41" s="6"/>
      <c r="OOB41" s="6"/>
      <c r="OOC41" s="6"/>
      <c r="OOD41" s="6"/>
      <c r="OOE41" s="6"/>
      <c r="OOF41" s="6"/>
      <c r="OOG41" s="6"/>
      <c r="OOH41" s="6"/>
      <c r="OOI41" s="6"/>
      <c r="OOJ41" s="6"/>
      <c r="OOK41" s="6"/>
      <c r="OOL41" s="6"/>
      <c r="OOM41" s="6"/>
      <c r="OON41" s="6"/>
      <c r="OOO41" s="6"/>
      <c r="OOP41" s="6"/>
      <c r="OOQ41" s="6"/>
      <c r="OOR41" s="6"/>
      <c r="OOS41" s="6"/>
      <c r="OOT41" s="6"/>
      <c r="OOU41" s="6"/>
      <c r="OOV41" s="6"/>
      <c r="OOW41" s="6"/>
      <c r="OOX41" s="6"/>
      <c r="OOY41" s="6"/>
      <c r="OOZ41" s="6"/>
      <c r="OPA41" s="6"/>
      <c r="OPB41" s="6"/>
      <c r="OPC41" s="6"/>
      <c r="OPD41" s="6"/>
      <c r="OPE41" s="6"/>
      <c r="OPF41" s="6"/>
      <c r="OPG41" s="6"/>
      <c r="OPH41" s="6"/>
      <c r="OPI41" s="6"/>
      <c r="OPJ41" s="6"/>
      <c r="OPK41" s="6"/>
      <c r="OPL41" s="6"/>
      <c r="OPM41" s="6"/>
      <c r="OPN41" s="6"/>
      <c r="OPO41" s="6"/>
      <c r="OPP41" s="6"/>
      <c r="OPQ41" s="6"/>
      <c r="OPR41" s="6"/>
      <c r="OPS41" s="6"/>
      <c r="OPT41" s="6"/>
      <c r="OPU41" s="6"/>
      <c r="OPV41" s="6"/>
      <c r="OPW41" s="6"/>
      <c r="OPX41" s="6"/>
      <c r="OPY41" s="6"/>
      <c r="OPZ41" s="6"/>
      <c r="OQA41" s="6"/>
      <c r="OQB41" s="6"/>
      <c r="OQC41" s="6"/>
      <c r="OQD41" s="6"/>
      <c r="OQE41" s="6"/>
      <c r="OQF41" s="6"/>
      <c r="OQG41" s="6"/>
      <c r="OQH41" s="6"/>
      <c r="OQI41" s="6"/>
      <c r="OQJ41" s="6"/>
      <c r="OQK41" s="6"/>
      <c r="OQL41" s="6"/>
      <c r="OQM41" s="6"/>
      <c r="OQN41" s="6"/>
      <c r="OQO41" s="6"/>
      <c r="OQP41" s="6"/>
      <c r="OQQ41" s="6"/>
      <c r="OQR41" s="6"/>
      <c r="OQS41" s="6"/>
      <c r="OQT41" s="6"/>
      <c r="OQU41" s="6"/>
      <c r="OQV41" s="6"/>
      <c r="OQW41" s="6"/>
      <c r="OQX41" s="6"/>
      <c r="OQY41" s="6"/>
      <c r="OQZ41" s="6"/>
      <c r="ORA41" s="6"/>
      <c r="ORB41" s="6"/>
      <c r="ORC41" s="6"/>
      <c r="ORD41" s="6"/>
      <c r="ORE41" s="6"/>
      <c r="ORF41" s="6"/>
      <c r="ORG41" s="6"/>
      <c r="ORH41" s="6"/>
      <c r="ORI41" s="6"/>
      <c r="ORJ41" s="6"/>
      <c r="ORK41" s="6"/>
      <c r="ORL41" s="6"/>
      <c r="ORM41" s="6"/>
      <c r="ORN41" s="6"/>
      <c r="ORO41" s="6"/>
      <c r="ORP41" s="6"/>
      <c r="ORQ41" s="6"/>
      <c r="ORR41" s="6"/>
      <c r="ORS41" s="6"/>
      <c r="ORT41" s="6"/>
      <c r="ORU41" s="6"/>
      <c r="ORV41" s="6"/>
      <c r="ORW41" s="6"/>
      <c r="ORX41" s="6"/>
      <c r="ORY41" s="6"/>
      <c r="ORZ41" s="6"/>
      <c r="OSA41" s="6"/>
      <c r="OSB41" s="6"/>
      <c r="OSC41" s="6"/>
      <c r="OSD41" s="6"/>
      <c r="OSE41" s="6"/>
      <c r="OSF41" s="6"/>
      <c r="OSG41" s="6"/>
      <c r="OSH41" s="6"/>
      <c r="OSI41" s="6"/>
      <c r="OSJ41" s="6"/>
      <c r="OSK41" s="6"/>
      <c r="OSL41" s="6"/>
      <c r="OSM41" s="6"/>
      <c r="OSN41" s="6"/>
      <c r="OSO41" s="6"/>
      <c r="OSP41" s="6"/>
      <c r="OSQ41" s="6"/>
      <c r="OSR41" s="6"/>
      <c r="OSS41" s="6"/>
      <c r="OST41" s="6"/>
      <c r="OSU41" s="6"/>
      <c r="OSV41" s="6"/>
      <c r="OSW41" s="6"/>
      <c r="OSX41" s="6"/>
      <c r="OSY41" s="6"/>
      <c r="OSZ41" s="6"/>
      <c r="OTA41" s="6"/>
      <c r="OTB41" s="6"/>
      <c r="OTC41" s="6"/>
      <c r="OTD41" s="6"/>
      <c r="OTE41" s="6"/>
      <c r="OTF41" s="6"/>
      <c r="OTG41" s="6"/>
      <c r="OTH41" s="6"/>
      <c r="OTI41" s="6"/>
      <c r="OTJ41" s="6"/>
      <c r="OTK41" s="6"/>
      <c r="OTL41" s="6"/>
      <c r="OTM41" s="6"/>
      <c r="OTN41" s="6"/>
      <c r="OTO41" s="6"/>
      <c r="OTP41" s="6"/>
      <c r="OTQ41" s="6"/>
      <c r="OTR41" s="6"/>
      <c r="OTS41" s="6"/>
      <c r="OTT41" s="6"/>
      <c r="OTU41" s="6"/>
      <c r="OTV41" s="6"/>
      <c r="OTW41" s="6"/>
      <c r="OTX41" s="6"/>
      <c r="OTY41" s="6"/>
      <c r="OTZ41" s="6"/>
      <c r="OUA41" s="6"/>
      <c r="OUB41" s="6"/>
      <c r="OUC41" s="6"/>
      <c r="OUD41" s="6"/>
      <c r="OUE41" s="6"/>
      <c r="OUF41" s="6"/>
      <c r="OUG41" s="6"/>
      <c r="OUH41" s="6"/>
      <c r="OUI41" s="6"/>
      <c r="OUJ41" s="6"/>
      <c r="OUK41" s="6"/>
      <c r="OUL41" s="6"/>
      <c r="OUM41" s="6"/>
      <c r="OUN41" s="6"/>
      <c r="OUO41" s="6"/>
      <c r="OUP41" s="6"/>
      <c r="OUQ41" s="6"/>
      <c r="OUR41" s="6"/>
      <c r="OUS41" s="6"/>
      <c r="OUT41" s="6"/>
      <c r="OUU41" s="6"/>
      <c r="OUV41" s="6"/>
      <c r="OUW41" s="6"/>
      <c r="OUX41" s="6"/>
      <c r="OUY41" s="6"/>
      <c r="OUZ41" s="6"/>
      <c r="OVA41" s="6"/>
      <c r="OVB41" s="6"/>
      <c r="OVC41" s="6"/>
      <c r="OVD41" s="6"/>
      <c r="OVE41" s="6"/>
      <c r="OVF41" s="6"/>
      <c r="OVG41" s="6"/>
      <c r="OVH41" s="6"/>
      <c r="OVI41" s="6"/>
      <c r="OVJ41" s="6"/>
      <c r="OVK41" s="6"/>
      <c r="OVL41" s="6"/>
      <c r="OVM41" s="6"/>
      <c r="OVN41" s="6"/>
      <c r="OVO41" s="6"/>
      <c r="OVP41" s="6"/>
      <c r="OVQ41" s="6"/>
      <c r="OVR41" s="6"/>
      <c r="OVS41" s="6"/>
      <c r="OVT41" s="6"/>
      <c r="OVU41" s="6"/>
      <c r="OVV41" s="6"/>
      <c r="OVW41" s="6"/>
      <c r="OVX41" s="6"/>
      <c r="OVY41" s="6"/>
      <c r="OVZ41" s="6"/>
      <c r="OWA41" s="6"/>
      <c r="OWB41" s="6"/>
      <c r="OWC41" s="6"/>
      <c r="OWD41" s="6"/>
      <c r="OWE41" s="6"/>
      <c r="OWF41" s="6"/>
      <c r="OWG41" s="6"/>
      <c r="OWH41" s="6"/>
      <c r="OWI41" s="6"/>
      <c r="OWJ41" s="6"/>
      <c r="OWK41" s="6"/>
      <c r="OWL41" s="6"/>
      <c r="OWM41" s="6"/>
      <c r="OWN41" s="6"/>
      <c r="OWO41" s="6"/>
      <c r="OWP41" s="6"/>
      <c r="OWQ41" s="6"/>
      <c r="OWR41" s="6"/>
      <c r="OWS41" s="6"/>
      <c r="OWT41" s="6"/>
      <c r="OWU41" s="6"/>
      <c r="OWV41" s="6"/>
      <c r="OWW41" s="6"/>
      <c r="OWX41" s="6"/>
      <c r="OWY41" s="6"/>
      <c r="OWZ41" s="6"/>
      <c r="OXA41" s="6"/>
      <c r="OXB41" s="6"/>
      <c r="OXC41" s="6"/>
      <c r="OXD41" s="6"/>
      <c r="OXE41" s="6"/>
      <c r="OXF41" s="6"/>
      <c r="OXG41" s="6"/>
      <c r="OXH41" s="6"/>
      <c r="OXI41" s="6"/>
      <c r="OXJ41" s="6"/>
      <c r="OXK41" s="6"/>
      <c r="OXL41" s="6"/>
      <c r="OXM41" s="6"/>
      <c r="OXN41" s="6"/>
      <c r="OXO41" s="6"/>
      <c r="OXP41" s="6"/>
      <c r="OXQ41" s="6"/>
      <c r="OXR41" s="6"/>
      <c r="OXS41" s="6"/>
      <c r="OXT41" s="6"/>
      <c r="OXU41" s="6"/>
      <c r="OXV41" s="6"/>
      <c r="OXW41" s="6"/>
      <c r="OXX41" s="6"/>
      <c r="OXY41" s="6"/>
      <c r="OXZ41" s="6"/>
      <c r="OYA41" s="6"/>
      <c r="OYB41" s="6"/>
      <c r="OYC41" s="6"/>
      <c r="OYD41" s="6"/>
      <c r="OYE41" s="6"/>
      <c r="OYF41" s="6"/>
      <c r="OYG41" s="6"/>
      <c r="OYH41" s="6"/>
      <c r="OYI41" s="6"/>
      <c r="OYJ41" s="6"/>
      <c r="OYK41" s="6"/>
      <c r="OYL41" s="6"/>
      <c r="OYM41" s="6"/>
      <c r="OYN41" s="6"/>
      <c r="OYO41" s="6"/>
      <c r="OYP41" s="6"/>
      <c r="OYQ41" s="6"/>
      <c r="OYR41" s="6"/>
      <c r="OYS41" s="6"/>
      <c r="OYT41" s="6"/>
      <c r="OYU41" s="6"/>
      <c r="OYV41" s="6"/>
      <c r="OYW41" s="6"/>
      <c r="OYX41" s="6"/>
      <c r="OYY41" s="6"/>
      <c r="OYZ41" s="6"/>
      <c r="OZA41" s="6"/>
      <c r="OZB41" s="6"/>
      <c r="OZC41" s="6"/>
      <c r="OZD41" s="6"/>
      <c r="OZE41" s="6"/>
      <c r="OZF41" s="6"/>
      <c r="OZG41" s="6"/>
      <c r="OZH41" s="6"/>
      <c r="OZI41" s="6"/>
      <c r="OZJ41" s="6"/>
      <c r="OZK41" s="6"/>
      <c r="OZL41" s="6"/>
      <c r="OZM41" s="6"/>
      <c r="OZN41" s="6"/>
      <c r="OZO41" s="6"/>
      <c r="OZP41" s="6"/>
      <c r="OZQ41" s="6"/>
      <c r="OZR41" s="6"/>
      <c r="OZS41" s="6"/>
      <c r="OZT41" s="6"/>
      <c r="OZU41" s="6"/>
      <c r="OZV41" s="6"/>
      <c r="OZW41" s="6"/>
      <c r="OZX41" s="6"/>
      <c r="OZY41" s="6"/>
      <c r="OZZ41" s="6"/>
      <c r="PAA41" s="6"/>
      <c r="PAB41" s="6"/>
      <c r="PAC41" s="6"/>
      <c r="PAD41" s="6"/>
      <c r="PAE41" s="6"/>
      <c r="PAF41" s="6"/>
      <c r="PAG41" s="6"/>
      <c r="PAH41" s="6"/>
      <c r="PAI41" s="6"/>
      <c r="PAJ41" s="6"/>
      <c r="PAK41" s="6"/>
      <c r="PAL41" s="6"/>
      <c r="PAM41" s="6"/>
      <c r="PAN41" s="6"/>
      <c r="PAO41" s="6"/>
      <c r="PAP41" s="6"/>
      <c r="PAQ41" s="6"/>
      <c r="PAR41" s="6"/>
      <c r="PAS41" s="6"/>
      <c r="PAT41" s="6"/>
      <c r="PAU41" s="6"/>
      <c r="PAV41" s="6"/>
      <c r="PAW41" s="6"/>
      <c r="PAX41" s="6"/>
      <c r="PAY41" s="6"/>
      <c r="PAZ41" s="6"/>
      <c r="PBA41" s="6"/>
      <c r="PBB41" s="6"/>
      <c r="PBC41" s="6"/>
      <c r="PBD41" s="6"/>
      <c r="PBE41" s="6"/>
      <c r="PBF41" s="6"/>
      <c r="PBG41" s="6"/>
      <c r="PBH41" s="6"/>
      <c r="PBI41" s="6"/>
      <c r="PBJ41" s="6"/>
      <c r="PBK41" s="6"/>
      <c r="PBL41" s="6"/>
      <c r="PBM41" s="6"/>
      <c r="PBN41" s="6"/>
      <c r="PBO41" s="6"/>
      <c r="PBP41" s="6"/>
      <c r="PBQ41" s="6"/>
      <c r="PBR41" s="6"/>
      <c r="PBS41" s="6"/>
      <c r="PBT41" s="6"/>
      <c r="PBU41" s="6"/>
      <c r="PBV41" s="6"/>
      <c r="PBW41" s="6"/>
      <c r="PBX41" s="6"/>
      <c r="PBY41" s="6"/>
      <c r="PBZ41" s="6"/>
      <c r="PCA41" s="6"/>
      <c r="PCB41" s="6"/>
      <c r="PCC41" s="6"/>
      <c r="PCD41" s="6"/>
      <c r="PCE41" s="6"/>
      <c r="PCF41" s="6"/>
      <c r="PCG41" s="6"/>
      <c r="PCH41" s="6"/>
      <c r="PCI41" s="6"/>
      <c r="PCJ41" s="6"/>
      <c r="PCK41" s="6"/>
      <c r="PCL41" s="6"/>
      <c r="PCM41" s="6"/>
      <c r="PCN41" s="6"/>
      <c r="PCO41" s="6"/>
      <c r="PCP41" s="6"/>
      <c r="PCQ41" s="6"/>
      <c r="PCR41" s="6"/>
      <c r="PCS41" s="6"/>
      <c r="PCT41" s="6"/>
      <c r="PCU41" s="6"/>
      <c r="PCV41" s="6"/>
      <c r="PCW41" s="6"/>
      <c r="PCX41" s="6"/>
      <c r="PCY41" s="6"/>
      <c r="PCZ41" s="6"/>
      <c r="PDA41" s="6"/>
      <c r="PDB41" s="6"/>
      <c r="PDC41" s="6"/>
      <c r="PDD41" s="6"/>
      <c r="PDE41" s="6"/>
      <c r="PDF41" s="6"/>
      <c r="PDG41" s="6"/>
      <c r="PDH41" s="6"/>
      <c r="PDI41" s="6"/>
      <c r="PDJ41" s="6"/>
      <c r="PDK41" s="6"/>
      <c r="PDL41" s="6"/>
      <c r="PDM41" s="6"/>
      <c r="PDN41" s="6"/>
      <c r="PDO41" s="6"/>
      <c r="PDP41" s="6"/>
      <c r="PDQ41" s="6"/>
      <c r="PDR41" s="6"/>
      <c r="PDS41" s="6"/>
      <c r="PDT41" s="6"/>
      <c r="PDU41" s="6"/>
      <c r="PDV41" s="6"/>
      <c r="PDW41" s="6"/>
      <c r="PDX41" s="6"/>
      <c r="PDY41" s="6"/>
      <c r="PDZ41" s="6"/>
      <c r="PEA41" s="6"/>
      <c r="PEB41" s="6"/>
      <c r="PEC41" s="6"/>
      <c r="PED41" s="6"/>
      <c r="PEE41" s="6"/>
      <c r="PEF41" s="6"/>
      <c r="PEG41" s="6"/>
      <c r="PEH41" s="6"/>
      <c r="PEI41" s="6"/>
      <c r="PEJ41" s="6"/>
      <c r="PEK41" s="6"/>
      <c r="PEL41" s="6"/>
      <c r="PEM41" s="6"/>
      <c r="PEN41" s="6"/>
      <c r="PEO41" s="6"/>
      <c r="PEP41" s="6"/>
      <c r="PEQ41" s="6"/>
      <c r="PER41" s="6"/>
      <c r="PES41" s="6"/>
      <c r="PET41" s="6"/>
      <c r="PEU41" s="6"/>
      <c r="PEV41" s="6"/>
      <c r="PEW41" s="6"/>
      <c r="PEX41" s="6"/>
      <c r="PEY41" s="6"/>
      <c r="PEZ41" s="6"/>
      <c r="PFA41" s="6"/>
      <c r="PFB41" s="6"/>
      <c r="PFC41" s="6"/>
      <c r="PFD41" s="6"/>
      <c r="PFE41" s="6"/>
      <c r="PFF41" s="6"/>
      <c r="PFG41" s="6"/>
      <c r="PFH41" s="6"/>
      <c r="PFI41" s="6"/>
      <c r="PFJ41" s="6"/>
      <c r="PFK41" s="6"/>
      <c r="PFL41" s="6"/>
      <c r="PFM41" s="6"/>
      <c r="PFN41" s="6"/>
      <c r="PFO41" s="6"/>
      <c r="PFP41" s="6"/>
      <c r="PFQ41" s="6"/>
      <c r="PFR41" s="6"/>
      <c r="PFS41" s="6"/>
      <c r="PFT41" s="6"/>
      <c r="PFU41" s="6"/>
      <c r="PFV41" s="6"/>
      <c r="PFW41" s="6"/>
      <c r="PFX41" s="6"/>
      <c r="PFY41" s="6"/>
      <c r="PFZ41" s="6"/>
      <c r="PGA41" s="6"/>
      <c r="PGB41" s="6"/>
      <c r="PGC41" s="6"/>
      <c r="PGD41" s="6"/>
      <c r="PGE41" s="6"/>
      <c r="PGF41" s="6"/>
      <c r="PGG41" s="6"/>
      <c r="PGH41" s="6"/>
      <c r="PGI41" s="6"/>
      <c r="PGJ41" s="6"/>
      <c r="PGK41" s="6"/>
      <c r="PGL41" s="6"/>
      <c r="PGM41" s="6"/>
      <c r="PGN41" s="6"/>
      <c r="PGO41" s="6"/>
      <c r="PGP41" s="6"/>
      <c r="PGQ41" s="6"/>
      <c r="PGR41" s="6"/>
      <c r="PGS41" s="6"/>
      <c r="PGT41" s="6"/>
      <c r="PGU41" s="6"/>
      <c r="PGV41" s="6"/>
      <c r="PGW41" s="6"/>
      <c r="PGX41" s="6"/>
      <c r="PGY41" s="6"/>
      <c r="PGZ41" s="6"/>
      <c r="PHA41" s="6"/>
      <c r="PHB41" s="6"/>
      <c r="PHC41" s="6"/>
      <c r="PHD41" s="6"/>
      <c r="PHE41" s="6"/>
      <c r="PHF41" s="6"/>
      <c r="PHG41" s="6"/>
      <c r="PHH41" s="6"/>
      <c r="PHI41" s="6"/>
      <c r="PHJ41" s="6"/>
      <c r="PHK41" s="6"/>
      <c r="PHL41" s="6"/>
      <c r="PHM41" s="6"/>
      <c r="PHN41" s="6"/>
      <c r="PHO41" s="6"/>
      <c r="PHP41" s="6"/>
      <c r="PHQ41" s="6"/>
      <c r="PHR41" s="6"/>
      <c r="PHS41" s="6"/>
      <c r="PHT41" s="6"/>
      <c r="PHU41" s="6"/>
      <c r="PHV41" s="6"/>
      <c r="PHW41" s="6"/>
      <c r="PHX41" s="6"/>
      <c r="PHY41" s="6"/>
      <c r="PHZ41" s="6"/>
      <c r="PIA41" s="6"/>
      <c r="PIB41" s="6"/>
      <c r="PIC41" s="6"/>
      <c r="PID41" s="6"/>
      <c r="PIE41" s="6"/>
      <c r="PIF41" s="6"/>
      <c r="PIG41" s="6"/>
      <c r="PIH41" s="6"/>
      <c r="PII41" s="6"/>
      <c r="PIJ41" s="6"/>
      <c r="PIK41" s="6"/>
      <c r="PIL41" s="6"/>
      <c r="PIM41" s="6"/>
      <c r="PIN41" s="6"/>
      <c r="PIO41" s="6"/>
      <c r="PIP41" s="6"/>
      <c r="PIQ41" s="6"/>
      <c r="PIR41" s="6"/>
      <c r="PIS41" s="6"/>
      <c r="PIT41" s="6"/>
      <c r="PIU41" s="6"/>
      <c r="PIV41" s="6"/>
      <c r="PIW41" s="6"/>
      <c r="PIX41" s="6"/>
      <c r="PIY41" s="6"/>
      <c r="PIZ41" s="6"/>
      <c r="PJA41" s="6"/>
      <c r="PJB41" s="6"/>
      <c r="PJC41" s="6"/>
      <c r="PJD41" s="6"/>
      <c r="PJE41" s="6"/>
      <c r="PJF41" s="6"/>
      <c r="PJG41" s="6"/>
      <c r="PJH41" s="6"/>
      <c r="PJI41" s="6"/>
      <c r="PJJ41" s="6"/>
      <c r="PJK41" s="6"/>
      <c r="PJL41" s="6"/>
      <c r="PJM41" s="6"/>
      <c r="PJN41" s="6"/>
      <c r="PJO41" s="6"/>
      <c r="PJP41" s="6"/>
      <c r="PJQ41" s="6"/>
      <c r="PJR41" s="6"/>
      <c r="PJS41" s="6"/>
      <c r="PJT41" s="6"/>
      <c r="PJU41" s="6"/>
      <c r="PJV41" s="6"/>
      <c r="PJW41" s="6"/>
      <c r="PJX41" s="6"/>
      <c r="PJY41" s="6"/>
      <c r="PJZ41" s="6"/>
      <c r="PKA41" s="6"/>
      <c r="PKB41" s="6"/>
      <c r="PKC41" s="6"/>
      <c r="PKD41" s="6"/>
      <c r="PKE41" s="6"/>
      <c r="PKF41" s="6"/>
      <c r="PKG41" s="6"/>
      <c r="PKH41" s="6"/>
      <c r="PKI41" s="6"/>
      <c r="PKJ41" s="6"/>
      <c r="PKK41" s="6"/>
      <c r="PKL41" s="6"/>
      <c r="PKM41" s="6"/>
      <c r="PKN41" s="6"/>
      <c r="PKO41" s="6"/>
      <c r="PKP41" s="6"/>
      <c r="PKQ41" s="6"/>
      <c r="PKR41" s="6"/>
      <c r="PKS41" s="6"/>
      <c r="PKT41" s="6"/>
      <c r="PKU41" s="6"/>
      <c r="PKV41" s="6"/>
      <c r="PKW41" s="6"/>
      <c r="PKX41" s="6"/>
      <c r="PKY41" s="6"/>
      <c r="PKZ41" s="6"/>
      <c r="PLA41" s="6"/>
      <c r="PLB41" s="6"/>
      <c r="PLC41" s="6"/>
      <c r="PLD41" s="6"/>
      <c r="PLE41" s="6"/>
      <c r="PLF41" s="6"/>
      <c r="PLG41" s="6"/>
      <c r="PLH41" s="6"/>
      <c r="PLI41" s="6"/>
      <c r="PLJ41" s="6"/>
      <c r="PLK41" s="6"/>
      <c r="PLL41" s="6"/>
      <c r="PLM41" s="6"/>
      <c r="PLN41" s="6"/>
      <c r="PLO41" s="6"/>
      <c r="PLP41" s="6"/>
      <c r="PLQ41" s="6"/>
      <c r="PLR41" s="6"/>
      <c r="PLS41" s="6"/>
      <c r="PLT41" s="6"/>
      <c r="PLU41" s="6"/>
      <c r="PLV41" s="6"/>
      <c r="PLW41" s="6"/>
      <c r="PLX41" s="6"/>
      <c r="PLY41" s="6"/>
      <c r="PLZ41" s="6"/>
      <c r="PMA41" s="6"/>
      <c r="PMB41" s="6"/>
      <c r="PMC41" s="6"/>
      <c r="PMD41" s="6"/>
      <c r="PME41" s="6"/>
      <c r="PMF41" s="6"/>
      <c r="PMG41" s="6"/>
      <c r="PMH41" s="6"/>
      <c r="PMI41" s="6"/>
      <c r="PMJ41" s="6"/>
      <c r="PMK41" s="6"/>
      <c r="PML41" s="6"/>
      <c r="PMM41" s="6"/>
      <c r="PMN41" s="6"/>
      <c r="PMO41" s="6"/>
      <c r="PMP41" s="6"/>
      <c r="PMQ41" s="6"/>
      <c r="PMR41" s="6"/>
      <c r="PMS41" s="6"/>
      <c r="PMT41" s="6"/>
      <c r="PMU41" s="6"/>
      <c r="PMV41" s="6"/>
      <c r="PMW41" s="6"/>
      <c r="PMX41" s="6"/>
      <c r="PMY41" s="6"/>
      <c r="PMZ41" s="6"/>
      <c r="PNA41" s="6"/>
      <c r="PNB41" s="6"/>
      <c r="PNC41" s="6"/>
      <c r="PND41" s="6"/>
      <c r="PNE41" s="6"/>
      <c r="PNF41" s="6"/>
      <c r="PNG41" s="6"/>
      <c r="PNH41" s="6"/>
      <c r="PNI41" s="6"/>
      <c r="PNJ41" s="6"/>
      <c r="PNK41" s="6"/>
      <c r="PNL41" s="6"/>
      <c r="PNM41" s="6"/>
      <c r="PNN41" s="6"/>
      <c r="PNO41" s="6"/>
      <c r="PNP41" s="6"/>
      <c r="PNQ41" s="6"/>
      <c r="PNR41" s="6"/>
      <c r="PNS41" s="6"/>
      <c r="PNT41" s="6"/>
      <c r="PNU41" s="6"/>
      <c r="PNV41" s="6"/>
      <c r="PNW41" s="6"/>
      <c r="PNX41" s="6"/>
      <c r="PNY41" s="6"/>
      <c r="PNZ41" s="6"/>
      <c r="POA41" s="6"/>
      <c r="POB41" s="6"/>
      <c r="POC41" s="6"/>
      <c r="POD41" s="6"/>
      <c r="POE41" s="6"/>
      <c r="POF41" s="6"/>
      <c r="POG41" s="6"/>
      <c r="POH41" s="6"/>
      <c r="POI41" s="6"/>
      <c r="POJ41" s="6"/>
      <c r="POK41" s="6"/>
      <c r="POL41" s="6"/>
      <c r="POM41" s="6"/>
      <c r="PON41" s="6"/>
      <c r="POO41" s="6"/>
      <c r="POP41" s="6"/>
      <c r="POQ41" s="6"/>
      <c r="POR41" s="6"/>
      <c r="POS41" s="6"/>
      <c r="POT41" s="6"/>
      <c r="POU41" s="6"/>
      <c r="POV41" s="6"/>
      <c r="POW41" s="6"/>
      <c r="POX41" s="6"/>
      <c r="POY41" s="6"/>
      <c r="POZ41" s="6"/>
      <c r="PPA41" s="6"/>
      <c r="PPB41" s="6"/>
      <c r="PPC41" s="6"/>
      <c r="PPD41" s="6"/>
      <c r="PPE41" s="6"/>
      <c r="PPF41" s="6"/>
      <c r="PPG41" s="6"/>
      <c r="PPH41" s="6"/>
      <c r="PPI41" s="6"/>
      <c r="PPJ41" s="6"/>
      <c r="PPK41" s="6"/>
      <c r="PPL41" s="6"/>
      <c r="PPM41" s="6"/>
      <c r="PPN41" s="6"/>
      <c r="PPO41" s="6"/>
      <c r="PPP41" s="6"/>
      <c r="PPQ41" s="6"/>
      <c r="PPR41" s="6"/>
      <c r="PPS41" s="6"/>
      <c r="PPT41" s="6"/>
      <c r="PPU41" s="6"/>
      <c r="PPV41" s="6"/>
      <c r="PPW41" s="6"/>
      <c r="PPX41" s="6"/>
      <c r="PPY41" s="6"/>
      <c r="PPZ41" s="6"/>
      <c r="PQA41" s="6"/>
      <c r="PQB41" s="6"/>
      <c r="PQC41" s="6"/>
      <c r="PQD41" s="6"/>
      <c r="PQE41" s="6"/>
      <c r="PQF41" s="6"/>
      <c r="PQG41" s="6"/>
      <c r="PQH41" s="6"/>
      <c r="PQI41" s="6"/>
      <c r="PQJ41" s="6"/>
      <c r="PQK41" s="6"/>
      <c r="PQL41" s="6"/>
      <c r="PQM41" s="6"/>
      <c r="PQN41" s="6"/>
      <c r="PQO41" s="6"/>
      <c r="PQP41" s="6"/>
      <c r="PQQ41" s="6"/>
      <c r="PQR41" s="6"/>
      <c r="PQS41" s="6"/>
      <c r="PQT41" s="6"/>
      <c r="PQU41" s="6"/>
      <c r="PQV41" s="6"/>
      <c r="PQW41" s="6"/>
      <c r="PQX41" s="6"/>
      <c r="PQY41" s="6"/>
      <c r="PQZ41" s="6"/>
      <c r="PRA41" s="6"/>
      <c r="PRB41" s="6"/>
      <c r="PRC41" s="6"/>
      <c r="PRD41" s="6"/>
      <c r="PRE41" s="6"/>
      <c r="PRF41" s="6"/>
      <c r="PRG41" s="6"/>
      <c r="PRH41" s="6"/>
      <c r="PRI41" s="6"/>
      <c r="PRJ41" s="6"/>
      <c r="PRK41" s="6"/>
      <c r="PRL41" s="6"/>
      <c r="PRM41" s="6"/>
      <c r="PRN41" s="6"/>
      <c r="PRO41" s="6"/>
      <c r="PRP41" s="6"/>
      <c r="PRQ41" s="6"/>
      <c r="PRR41" s="6"/>
      <c r="PRS41" s="6"/>
      <c r="PRT41" s="6"/>
      <c r="PRU41" s="6"/>
      <c r="PRV41" s="6"/>
      <c r="PRW41" s="6"/>
      <c r="PRX41" s="6"/>
      <c r="PRY41" s="6"/>
      <c r="PRZ41" s="6"/>
      <c r="PSA41" s="6"/>
      <c r="PSB41" s="6"/>
      <c r="PSC41" s="6"/>
      <c r="PSD41" s="6"/>
      <c r="PSE41" s="6"/>
      <c r="PSF41" s="6"/>
      <c r="PSG41" s="6"/>
      <c r="PSH41" s="6"/>
      <c r="PSI41" s="6"/>
      <c r="PSJ41" s="6"/>
      <c r="PSK41" s="6"/>
      <c r="PSL41" s="6"/>
      <c r="PSM41" s="6"/>
      <c r="PSN41" s="6"/>
      <c r="PSO41" s="6"/>
      <c r="PSP41" s="6"/>
      <c r="PSQ41" s="6"/>
      <c r="PSR41" s="6"/>
      <c r="PSS41" s="6"/>
      <c r="PST41" s="6"/>
      <c r="PSU41" s="6"/>
      <c r="PSV41" s="6"/>
      <c r="PSW41" s="6"/>
      <c r="PSX41" s="6"/>
      <c r="PSY41" s="6"/>
      <c r="PSZ41" s="6"/>
      <c r="PTA41" s="6"/>
      <c r="PTB41" s="6"/>
      <c r="PTC41" s="6"/>
      <c r="PTD41" s="6"/>
      <c r="PTE41" s="6"/>
      <c r="PTF41" s="6"/>
      <c r="PTG41" s="6"/>
      <c r="PTH41" s="6"/>
      <c r="PTI41" s="6"/>
      <c r="PTJ41" s="6"/>
      <c r="PTK41" s="6"/>
      <c r="PTL41" s="6"/>
      <c r="PTM41" s="6"/>
      <c r="PTN41" s="6"/>
      <c r="PTO41" s="6"/>
      <c r="PTP41" s="6"/>
      <c r="PTQ41" s="6"/>
      <c r="PTR41" s="6"/>
      <c r="PTS41" s="6"/>
      <c r="PTT41" s="6"/>
      <c r="PTU41" s="6"/>
      <c r="PTV41" s="6"/>
      <c r="PTW41" s="6"/>
      <c r="PTX41" s="6"/>
      <c r="PTY41" s="6"/>
      <c r="PTZ41" s="6"/>
      <c r="PUA41" s="6"/>
      <c r="PUB41" s="6"/>
      <c r="PUC41" s="6"/>
      <c r="PUD41" s="6"/>
      <c r="PUE41" s="6"/>
      <c r="PUF41" s="6"/>
      <c r="PUG41" s="6"/>
      <c r="PUH41" s="6"/>
      <c r="PUI41" s="6"/>
      <c r="PUJ41" s="6"/>
      <c r="PUK41" s="6"/>
      <c r="PUL41" s="6"/>
      <c r="PUM41" s="6"/>
      <c r="PUN41" s="6"/>
      <c r="PUO41" s="6"/>
      <c r="PUP41" s="6"/>
      <c r="PUQ41" s="6"/>
      <c r="PUR41" s="6"/>
      <c r="PUS41" s="6"/>
      <c r="PUT41" s="6"/>
      <c r="PUU41" s="6"/>
      <c r="PUV41" s="6"/>
      <c r="PUW41" s="6"/>
      <c r="PUX41" s="6"/>
      <c r="PUY41" s="6"/>
      <c r="PUZ41" s="6"/>
      <c r="PVA41" s="6"/>
      <c r="PVB41" s="6"/>
      <c r="PVC41" s="6"/>
      <c r="PVD41" s="6"/>
      <c r="PVE41" s="6"/>
      <c r="PVF41" s="6"/>
      <c r="PVG41" s="6"/>
      <c r="PVH41" s="6"/>
      <c r="PVI41" s="6"/>
      <c r="PVJ41" s="6"/>
      <c r="PVK41" s="6"/>
      <c r="PVL41" s="6"/>
      <c r="PVM41" s="6"/>
      <c r="PVN41" s="6"/>
      <c r="PVO41" s="6"/>
      <c r="PVP41" s="6"/>
      <c r="PVQ41" s="6"/>
      <c r="PVR41" s="6"/>
      <c r="PVS41" s="6"/>
      <c r="PVT41" s="6"/>
      <c r="PVU41" s="6"/>
      <c r="PVV41" s="6"/>
      <c r="PVW41" s="6"/>
      <c r="PVX41" s="6"/>
      <c r="PVY41" s="6"/>
      <c r="PVZ41" s="6"/>
      <c r="PWA41" s="6"/>
      <c r="PWB41" s="6"/>
      <c r="PWC41" s="6"/>
      <c r="PWD41" s="6"/>
      <c r="PWE41" s="6"/>
      <c r="PWF41" s="6"/>
      <c r="PWG41" s="6"/>
      <c r="PWH41" s="6"/>
      <c r="PWI41" s="6"/>
      <c r="PWJ41" s="6"/>
      <c r="PWK41" s="6"/>
      <c r="PWL41" s="6"/>
      <c r="PWM41" s="6"/>
      <c r="PWN41" s="6"/>
      <c r="PWO41" s="6"/>
      <c r="PWP41" s="6"/>
      <c r="PWQ41" s="6"/>
      <c r="PWR41" s="6"/>
      <c r="PWS41" s="6"/>
      <c r="PWT41" s="6"/>
      <c r="PWU41" s="6"/>
      <c r="PWV41" s="6"/>
      <c r="PWW41" s="6"/>
      <c r="PWX41" s="6"/>
      <c r="PWY41" s="6"/>
      <c r="PWZ41" s="6"/>
      <c r="PXA41" s="6"/>
      <c r="PXB41" s="6"/>
      <c r="PXC41" s="6"/>
      <c r="PXD41" s="6"/>
      <c r="PXE41" s="6"/>
      <c r="PXF41" s="6"/>
      <c r="PXG41" s="6"/>
      <c r="PXH41" s="6"/>
      <c r="PXI41" s="6"/>
      <c r="PXJ41" s="6"/>
      <c r="PXK41" s="6"/>
      <c r="PXL41" s="6"/>
      <c r="PXM41" s="6"/>
      <c r="PXN41" s="6"/>
      <c r="PXO41" s="6"/>
      <c r="PXP41" s="6"/>
      <c r="PXQ41" s="6"/>
      <c r="PXR41" s="6"/>
      <c r="PXS41" s="6"/>
      <c r="PXT41" s="6"/>
      <c r="PXU41" s="6"/>
      <c r="PXV41" s="6"/>
      <c r="PXW41" s="6"/>
      <c r="PXX41" s="6"/>
      <c r="PXY41" s="6"/>
      <c r="PXZ41" s="6"/>
      <c r="PYA41" s="6"/>
      <c r="PYB41" s="6"/>
      <c r="PYC41" s="6"/>
      <c r="PYD41" s="6"/>
      <c r="PYE41" s="6"/>
      <c r="PYF41" s="6"/>
      <c r="PYG41" s="6"/>
      <c r="PYH41" s="6"/>
      <c r="PYI41" s="6"/>
      <c r="PYJ41" s="6"/>
      <c r="PYK41" s="6"/>
      <c r="PYL41" s="6"/>
      <c r="PYM41" s="6"/>
      <c r="PYN41" s="6"/>
      <c r="PYO41" s="6"/>
      <c r="PYP41" s="6"/>
      <c r="PYQ41" s="6"/>
      <c r="PYR41" s="6"/>
      <c r="PYS41" s="6"/>
      <c r="PYT41" s="6"/>
      <c r="PYU41" s="6"/>
      <c r="PYV41" s="6"/>
      <c r="PYW41" s="6"/>
      <c r="PYX41" s="6"/>
      <c r="PYY41" s="6"/>
      <c r="PYZ41" s="6"/>
      <c r="PZA41" s="6"/>
      <c r="PZB41" s="6"/>
      <c r="PZC41" s="6"/>
      <c r="PZD41" s="6"/>
      <c r="PZE41" s="6"/>
      <c r="PZF41" s="6"/>
      <c r="PZG41" s="6"/>
      <c r="PZH41" s="6"/>
      <c r="PZI41" s="6"/>
      <c r="PZJ41" s="6"/>
      <c r="PZK41" s="6"/>
      <c r="PZL41" s="6"/>
      <c r="PZM41" s="6"/>
      <c r="PZN41" s="6"/>
      <c r="PZO41" s="6"/>
      <c r="PZP41" s="6"/>
      <c r="PZQ41" s="6"/>
      <c r="PZR41" s="6"/>
      <c r="PZS41" s="6"/>
      <c r="PZT41" s="6"/>
      <c r="PZU41" s="6"/>
      <c r="PZV41" s="6"/>
      <c r="PZW41" s="6"/>
      <c r="PZX41" s="6"/>
      <c r="PZY41" s="6"/>
      <c r="PZZ41" s="6"/>
      <c r="QAA41" s="6"/>
      <c r="QAB41" s="6"/>
      <c r="QAC41" s="6"/>
      <c r="QAD41" s="6"/>
      <c r="QAE41" s="6"/>
      <c r="QAF41" s="6"/>
      <c r="QAG41" s="6"/>
      <c r="QAH41" s="6"/>
      <c r="QAI41" s="6"/>
      <c r="QAJ41" s="6"/>
      <c r="QAK41" s="6"/>
      <c r="QAL41" s="6"/>
      <c r="QAM41" s="6"/>
      <c r="QAN41" s="6"/>
      <c r="QAO41" s="6"/>
      <c r="QAP41" s="6"/>
      <c r="QAQ41" s="6"/>
      <c r="QAR41" s="6"/>
      <c r="QAS41" s="6"/>
      <c r="QAT41" s="6"/>
      <c r="QAU41" s="6"/>
      <c r="QAV41" s="6"/>
      <c r="QAW41" s="6"/>
      <c r="QAX41" s="6"/>
      <c r="QAY41" s="6"/>
      <c r="QAZ41" s="6"/>
      <c r="QBA41" s="6"/>
      <c r="QBB41" s="6"/>
      <c r="QBC41" s="6"/>
      <c r="QBD41" s="6"/>
      <c r="QBE41" s="6"/>
      <c r="QBF41" s="6"/>
      <c r="QBG41" s="6"/>
      <c r="QBH41" s="6"/>
      <c r="QBI41" s="6"/>
      <c r="QBJ41" s="6"/>
      <c r="QBK41" s="6"/>
      <c r="QBL41" s="6"/>
      <c r="QBM41" s="6"/>
      <c r="QBN41" s="6"/>
      <c r="QBO41" s="6"/>
      <c r="QBP41" s="6"/>
      <c r="QBQ41" s="6"/>
      <c r="QBR41" s="6"/>
      <c r="QBS41" s="6"/>
      <c r="QBT41" s="6"/>
      <c r="QBU41" s="6"/>
      <c r="QBV41" s="6"/>
      <c r="QBW41" s="6"/>
      <c r="QBX41" s="6"/>
      <c r="QBY41" s="6"/>
      <c r="QBZ41" s="6"/>
      <c r="QCA41" s="6"/>
      <c r="QCB41" s="6"/>
      <c r="QCC41" s="6"/>
      <c r="QCD41" s="6"/>
      <c r="QCE41" s="6"/>
      <c r="QCF41" s="6"/>
      <c r="QCG41" s="6"/>
      <c r="QCH41" s="6"/>
      <c r="QCI41" s="6"/>
      <c r="QCJ41" s="6"/>
      <c r="QCK41" s="6"/>
      <c r="QCL41" s="6"/>
      <c r="QCM41" s="6"/>
      <c r="QCN41" s="6"/>
      <c r="QCO41" s="6"/>
      <c r="QCP41" s="6"/>
      <c r="QCQ41" s="6"/>
      <c r="QCR41" s="6"/>
      <c r="QCS41" s="6"/>
      <c r="QCT41" s="6"/>
      <c r="QCU41" s="6"/>
      <c r="QCV41" s="6"/>
      <c r="QCW41" s="6"/>
      <c r="QCX41" s="6"/>
      <c r="QCY41" s="6"/>
      <c r="QCZ41" s="6"/>
      <c r="QDA41" s="6"/>
      <c r="QDB41" s="6"/>
      <c r="QDC41" s="6"/>
      <c r="QDD41" s="6"/>
      <c r="QDE41" s="6"/>
      <c r="QDF41" s="6"/>
      <c r="QDG41" s="6"/>
      <c r="QDH41" s="6"/>
      <c r="QDI41" s="6"/>
      <c r="QDJ41" s="6"/>
      <c r="QDK41" s="6"/>
      <c r="QDL41" s="6"/>
      <c r="QDM41" s="6"/>
      <c r="QDN41" s="6"/>
      <c r="QDO41" s="6"/>
      <c r="QDP41" s="6"/>
      <c r="QDQ41" s="6"/>
      <c r="QDR41" s="6"/>
      <c r="QDS41" s="6"/>
      <c r="QDT41" s="6"/>
      <c r="QDU41" s="6"/>
      <c r="QDV41" s="6"/>
      <c r="QDW41" s="6"/>
      <c r="QDX41" s="6"/>
      <c r="QDY41" s="6"/>
      <c r="QDZ41" s="6"/>
      <c r="QEA41" s="6"/>
      <c r="QEB41" s="6"/>
      <c r="QEC41" s="6"/>
      <c r="QED41" s="6"/>
      <c r="QEE41" s="6"/>
      <c r="QEF41" s="6"/>
      <c r="QEG41" s="6"/>
      <c r="QEH41" s="6"/>
      <c r="QEI41" s="6"/>
      <c r="QEJ41" s="6"/>
      <c r="QEK41" s="6"/>
      <c r="QEL41" s="6"/>
      <c r="QEM41" s="6"/>
      <c r="QEN41" s="6"/>
      <c r="QEO41" s="6"/>
      <c r="QEP41" s="6"/>
      <c r="QEQ41" s="6"/>
      <c r="QER41" s="6"/>
      <c r="QES41" s="6"/>
      <c r="QET41" s="6"/>
      <c r="QEU41" s="6"/>
      <c r="QEV41" s="6"/>
      <c r="QEW41" s="6"/>
      <c r="QEX41" s="6"/>
      <c r="QEY41" s="6"/>
      <c r="QEZ41" s="6"/>
      <c r="QFA41" s="6"/>
      <c r="QFB41" s="6"/>
      <c r="QFC41" s="6"/>
      <c r="QFD41" s="6"/>
      <c r="QFE41" s="6"/>
      <c r="QFF41" s="6"/>
      <c r="QFG41" s="6"/>
      <c r="QFH41" s="6"/>
      <c r="QFI41" s="6"/>
      <c r="QFJ41" s="6"/>
      <c r="QFK41" s="6"/>
      <c r="QFL41" s="6"/>
      <c r="QFM41" s="6"/>
      <c r="QFN41" s="6"/>
      <c r="QFO41" s="6"/>
      <c r="QFP41" s="6"/>
      <c r="QFQ41" s="6"/>
      <c r="QFR41" s="6"/>
      <c r="QFS41" s="6"/>
      <c r="QFT41" s="6"/>
      <c r="QFU41" s="6"/>
      <c r="QFV41" s="6"/>
      <c r="QFW41" s="6"/>
      <c r="QFX41" s="6"/>
      <c r="QFY41" s="6"/>
      <c r="QFZ41" s="6"/>
      <c r="QGA41" s="6"/>
      <c r="QGB41" s="6"/>
      <c r="QGC41" s="6"/>
      <c r="QGD41" s="6"/>
      <c r="QGE41" s="6"/>
      <c r="QGF41" s="6"/>
      <c r="QGG41" s="6"/>
      <c r="QGH41" s="6"/>
      <c r="QGI41" s="6"/>
      <c r="QGJ41" s="6"/>
      <c r="QGK41" s="6"/>
      <c r="QGL41" s="6"/>
      <c r="QGM41" s="6"/>
      <c r="QGN41" s="6"/>
      <c r="QGO41" s="6"/>
      <c r="QGP41" s="6"/>
      <c r="QGQ41" s="6"/>
      <c r="QGR41" s="6"/>
      <c r="QGS41" s="6"/>
      <c r="QGT41" s="6"/>
      <c r="QGU41" s="6"/>
      <c r="QGV41" s="6"/>
      <c r="QGW41" s="6"/>
      <c r="QGX41" s="6"/>
      <c r="QGY41" s="6"/>
      <c r="QGZ41" s="6"/>
      <c r="QHA41" s="6"/>
      <c r="QHB41" s="6"/>
      <c r="QHC41" s="6"/>
      <c r="QHD41" s="6"/>
      <c r="QHE41" s="6"/>
      <c r="QHF41" s="6"/>
      <c r="QHG41" s="6"/>
      <c r="QHH41" s="6"/>
      <c r="QHI41" s="6"/>
      <c r="QHJ41" s="6"/>
      <c r="QHK41" s="6"/>
      <c r="QHL41" s="6"/>
      <c r="QHM41" s="6"/>
      <c r="QHN41" s="6"/>
      <c r="QHO41" s="6"/>
      <c r="QHP41" s="6"/>
      <c r="QHQ41" s="6"/>
      <c r="QHR41" s="6"/>
      <c r="QHS41" s="6"/>
      <c r="QHT41" s="6"/>
      <c r="QHU41" s="6"/>
      <c r="QHV41" s="6"/>
      <c r="QHW41" s="6"/>
      <c r="QHX41" s="6"/>
      <c r="QHY41" s="6"/>
      <c r="QHZ41" s="6"/>
      <c r="QIA41" s="6"/>
      <c r="QIB41" s="6"/>
      <c r="QIC41" s="6"/>
      <c r="QID41" s="6"/>
      <c r="QIE41" s="6"/>
      <c r="QIF41" s="6"/>
      <c r="QIG41" s="6"/>
      <c r="QIH41" s="6"/>
      <c r="QII41" s="6"/>
      <c r="QIJ41" s="6"/>
      <c r="QIK41" s="6"/>
      <c r="QIL41" s="6"/>
      <c r="QIM41" s="6"/>
      <c r="QIN41" s="6"/>
      <c r="QIO41" s="6"/>
      <c r="QIP41" s="6"/>
      <c r="QIQ41" s="6"/>
      <c r="QIR41" s="6"/>
      <c r="QIS41" s="6"/>
      <c r="QIT41" s="6"/>
      <c r="QIU41" s="6"/>
      <c r="QIV41" s="6"/>
      <c r="QIW41" s="6"/>
      <c r="QIX41" s="6"/>
      <c r="QIY41" s="6"/>
      <c r="QIZ41" s="6"/>
      <c r="QJA41" s="6"/>
      <c r="QJB41" s="6"/>
      <c r="QJC41" s="6"/>
      <c r="QJD41" s="6"/>
      <c r="QJE41" s="6"/>
      <c r="QJF41" s="6"/>
      <c r="QJG41" s="6"/>
      <c r="QJH41" s="6"/>
      <c r="QJI41" s="6"/>
      <c r="QJJ41" s="6"/>
      <c r="QJK41" s="6"/>
      <c r="QJL41" s="6"/>
      <c r="QJM41" s="6"/>
      <c r="QJN41" s="6"/>
      <c r="QJO41" s="6"/>
      <c r="QJP41" s="6"/>
      <c r="QJQ41" s="6"/>
      <c r="QJR41" s="6"/>
      <c r="QJS41" s="6"/>
      <c r="QJT41" s="6"/>
      <c r="QJU41" s="6"/>
      <c r="QJV41" s="6"/>
      <c r="QJW41" s="6"/>
      <c r="QJX41" s="6"/>
      <c r="QJY41" s="6"/>
      <c r="QJZ41" s="6"/>
      <c r="QKA41" s="6"/>
      <c r="QKB41" s="6"/>
      <c r="QKC41" s="6"/>
      <c r="QKD41" s="6"/>
      <c r="QKE41" s="6"/>
      <c r="QKF41" s="6"/>
      <c r="QKG41" s="6"/>
      <c r="QKH41" s="6"/>
      <c r="QKI41" s="6"/>
      <c r="QKJ41" s="6"/>
      <c r="QKK41" s="6"/>
      <c r="QKL41" s="6"/>
      <c r="QKM41" s="6"/>
      <c r="QKN41" s="6"/>
      <c r="QKO41" s="6"/>
      <c r="QKP41" s="6"/>
      <c r="QKQ41" s="6"/>
      <c r="QKR41" s="6"/>
      <c r="QKS41" s="6"/>
      <c r="QKT41" s="6"/>
      <c r="QKU41" s="6"/>
      <c r="QKV41" s="6"/>
      <c r="QKW41" s="6"/>
      <c r="QKX41" s="6"/>
      <c r="QKY41" s="6"/>
      <c r="QKZ41" s="6"/>
      <c r="QLA41" s="6"/>
      <c r="QLB41" s="6"/>
      <c r="QLC41" s="6"/>
      <c r="QLD41" s="6"/>
      <c r="QLE41" s="6"/>
      <c r="QLF41" s="6"/>
      <c r="QLG41" s="6"/>
      <c r="QLH41" s="6"/>
      <c r="QLI41" s="6"/>
      <c r="QLJ41" s="6"/>
      <c r="QLK41" s="6"/>
      <c r="QLL41" s="6"/>
      <c r="QLM41" s="6"/>
      <c r="QLN41" s="6"/>
      <c r="QLO41" s="6"/>
      <c r="QLP41" s="6"/>
      <c r="QLQ41" s="6"/>
      <c r="QLR41" s="6"/>
      <c r="QLS41" s="6"/>
      <c r="QLT41" s="6"/>
      <c r="QLU41" s="6"/>
      <c r="QLV41" s="6"/>
      <c r="QLW41" s="6"/>
      <c r="QLX41" s="6"/>
      <c r="QLY41" s="6"/>
      <c r="QLZ41" s="6"/>
      <c r="QMA41" s="6"/>
      <c r="QMB41" s="6"/>
      <c r="QMC41" s="6"/>
      <c r="QMD41" s="6"/>
      <c r="QME41" s="6"/>
      <c r="QMF41" s="6"/>
      <c r="QMG41" s="6"/>
      <c r="QMH41" s="6"/>
      <c r="QMI41" s="6"/>
      <c r="QMJ41" s="6"/>
      <c r="QMK41" s="6"/>
      <c r="QML41" s="6"/>
      <c r="QMM41" s="6"/>
      <c r="QMN41" s="6"/>
      <c r="QMO41" s="6"/>
      <c r="QMP41" s="6"/>
      <c r="QMQ41" s="6"/>
      <c r="QMR41" s="6"/>
      <c r="QMS41" s="6"/>
      <c r="QMT41" s="6"/>
      <c r="QMU41" s="6"/>
      <c r="QMV41" s="6"/>
      <c r="QMW41" s="6"/>
      <c r="QMX41" s="6"/>
      <c r="QMY41" s="6"/>
      <c r="QMZ41" s="6"/>
      <c r="QNA41" s="6"/>
      <c r="QNB41" s="6"/>
      <c r="QNC41" s="6"/>
      <c r="QND41" s="6"/>
      <c r="QNE41" s="6"/>
      <c r="QNF41" s="6"/>
      <c r="QNG41" s="6"/>
      <c r="QNH41" s="6"/>
      <c r="QNI41" s="6"/>
      <c r="QNJ41" s="6"/>
      <c r="QNK41" s="6"/>
      <c r="QNL41" s="6"/>
      <c r="QNM41" s="6"/>
      <c r="QNN41" s="6"/>
      <c r="QNO41" s="6"/>
      <c r="QNP41" s="6"/>
      <c r="QNQ41" s="6"/>
      <c r="QNR41" s="6"/>
      <c r="QNS41" s="6"/>
      <c r="QNT41" s="6"/>
      <c r="QNU41" s="6"/>
      <c r="QNV41" s="6"/>
      <c r="QNW41" s="6"/>
      <c r="QNX41" s="6"/>
      <c r="QNY41" s="6"/>
      <c r="QNZ41" s="6"/>
      <c r="QOA41" s="6"/>
      <c r="QOB41" s="6"/>
      <c r="QOC41" s="6"/>
      <c r="QOD41" s="6"/>
      <c r="QOE41" s="6"/>
      <c r="QOF41" s="6"/>
      <c r="QOG41" s="6"/>
      <c r="QOH41" s="6"/>
      <c r="QOI41" s="6"/>
      <c r="QOJ41" s="6"/>
      <c r="QOK41" s="6"/>
      <c r="QOL41" s="6"/>
      <c r="QOM41" s="6"/>
      <c r="QON41" s="6"/>
      <c r="QOO41" s="6"/>
      <c r="QOP41" s="6"/>
      <c r="QOQ41" s="6"/>
      <c r="QOR41" s="6"/>
      <c r="QOS41" s="6"/>
      <c r="QOT41" s="6"/>
      <c r="QOU41" s="6"/>
      <c r="QOV41" s="6"/>
      <c r="QOW41" s="6"/>
      <c r="QOX41" s="6"/>
      <c r="QOY41" s="6"/>
      <c r="QOZ41" s="6"/>
      <c r="QPA41" s="6"/>
      <c r="QPB41" s="6"/>
      <c r="QPC41" s="6"/>
      <c r="QPD41" s="6"/>
      <c r="QPE41" s="6"/>
      <c r="QPF41" s="6"/>
      <c r="QPG41" s="6"/>
      <c r="QPH41" s="6"/>
      <c r="QPI41" s="6"/>
      <c r="QPJ41" s="6"/>
      <c r="QPK41" s="6"/>
      <c r="QPL41" s="6"/>
      <c r="QPM41" s="6"/>
      <c r="QPN41" s="6"/>
      <c r="QPO41" s="6"/>
      <c r="QPP41" s="6"/>
      <c r="QPQ41" s="6"/>
      <c r="QPR41" s="6"/>
      <c r="QPS41" s="6"/>
      <c r="QPT41" s="6"/>
      <c r="QPU41" s="6"/>
      <c r="QPV41" s="6"/>
      <c r="QPW41" s="6"/>
      <c r="QPX41" s="6"/>
      <c r="QPY41" s="6"/>
      <c r="QPZ41" s="6"/>
      <c r="QQA41" s="6"/>
      <c r="QQB41" s="6"/>
      <c r="QQC41" s="6"/>
      <c r="QQD41" s="6"/>
      <c r="QQE41" s="6"/>
      <c r="QQF41" s="6"/>
      <c r="QQG41" s="6"/>
      <c r="QQH41" s="6"/>
      <c r="QQI41" s="6"/>
      <c r="QQJ41" s="6"/>
      <c r="QQK41" s="6"/>
      <c r="QQL41" s="6"/>
      <c r="QQM41" s="6"/>
      <c r="QQN41" s="6"/>
      <c r="QQO41" s="6"/>
      <c r="QQP41" s="6"/>
      <c r="QQQ41" s="6"/>
      <c r="QQR41" s="6"/>
      <c r="QQS41" s="6"/>
      <c r="QQT41" s="6"/>
      <c r="QQU41" s="6"/>
      <c r="QQV41" s="6"/>
      <c r="QQW41" s="6"/>
      <c r="QQX41" s="6"/>
      <c r="QQY41" s="6"/>
      <c r="QQZ41" s="6"/>
      <c r="QRA41" s="6"/>
      <c r="QRB41" s="6"/>
      <c r="QRC41" s="6"/>
      <c r="QRD41" s="6"/>
      <c r="QRE41" s="6"/>
      <c r="QRF41" s="6"/>
      <c r="QRG41" s="6"/>
      <c r="QRH41" s="6"/>
      <c r="QRI41" s="6"/>
      <c r="QRJ41" s="6"/>
      <c r="QRK41" s="6"/>
      <c r="QRL41" s="6"/>
      <c r="QRM41" s="6"/>
      <c r="QRN41" s="6"/>
      <c r="QRO41" s="6"/>
      <c r="QRP41" s="6"/>
      <c r="QRQ41" s="6"/>
      <c r="QRR41" s="6"/>
      <c r="QRS41" s="6"/>
      <c r="QRT41" s="6"/>
      <c r="QRU41" s="6"/>
      <c r="QRV41" s="6"/>
      <c r="QRW41" s="6"/>
      <c r="QRX41" s="6"/>
      <c r="QRY41" s="6"/>
      <c r="QRZ41" s="6"/>
      <c r="QSA41" s="6"/>
      <c r="QSB41" s="6"/>
      <c r="QSC41" s="6"/>
      <c r="QSD41" s="6"/>
      <c r="QSE41" s="6"/>
      <c r="QSF41" s="6"/>
      <c r="QSG41" s="6"/>
      <c r="QSH41" s="6"/>
      <c r="QSI41" s="6"/>
      <c r="QSJ41" s="6"/>
      <c r="QSK41" s="6"/>
      <c r="QSL41" s="6"/>
      <c r="QSM41" s="6"/>
      <c r="QSN41" s="6"/>
      <c r="QSO41" s="6"/>
      <c r="QSP41" s="6"/>
      <c r="QSQ41" s="6"/>
      <c r="QSR41" s="6"/>
      <c r="QSS41" s="6"/>
      <c r="QST41" s="6"/>
      <c r="QSU41" s="6"/>
      <c r="QSV41" s="6"/>
      <c r="QSW41" s="6"/>
      <c r="QSX41" s="6"/>
      <c r="QSY41" s="6"/>
      <c r="QSZ41" s="6"/>
      <c r="QTA41" s="6"/>
      <c r="QTB41" s="6"/>
      <c r="QTC41" s="6"/>
      <c r="QTD41" s="6"/>
      <c r="QTE41" s="6"/>
      <c r="QTF41" s="6"/>
      <c r="QTG41" s="6"/>
      <c r="QTH41" s="6"/>
      <c r="QTI41" s="6"/>
      <c r="QTJ41" s="6"/>
      <c r="QTK41" s="6"/>
      <c r="QTL41" s="6"/>
      <c r="QTM41" s="6"/>
      <c r="QTN41" s="6"/>
      <c r="QTO41" s="6"/>
      <c r="QTP41" s="6"/>
      <c r="QTQ41" s="6"/>
      <c r="QTR41" s="6"/>
      <c r="QTS41" s="6"/>
      <c r="QTT41" s="6"/>
      <c r="QTU41" s="6"/>
      <c r="QTV41" s="6"/>
      <c r="QTW41" s="6"/>
      <c r="QTX41" s="6"/>
      <c r="QTY41" s="6"/>
      <c r="QTZ41" s="6"/>
      <c r="QUA41" s="6"/>
      <c r="QUB41" s="6"/>
      <c r="QUC41" s="6"/>
      <c r="QUD41" s="6"/>
      <c r="QUE41" s="6"/>
      <c r="QUF41" s="6"/>
      <c r="QUG41" s="6"/>
      <c r="QUH41" s="6"/>
      <c r="QUI41" s="6"/>
      <c r="QUJ41" s="6"/>
      <c r="QUK41" s="6"/>
      <c r="QUL41" s="6"/>
      <c r="QUM41" s="6"/>
      <c r="QUN41" s="6"/>
      <c r="QUO41" s="6"/>
      <c r="QUP41" s="6"/>
      <c r="QUQ41" s="6"/>
      <c r="QUR41" s="6"/>
      <c r="QUS41" s="6"/>
      <c r="QUT41" s="6"/>
      <c r="QUU41" s="6"/>
      <c r="QUV41" s="6"/>
      <c r="QUW41" s="6"/>
      <c r="QUX41" s="6"/>
      <c r="QUY41" s="6"/>
      <c r="QUZ41" s="6"/>
      <c r="QVA41" s="6"/>
      <c r="QVB41" s="6"/>
      <c r="QVC41" s="6"/>
      <c r="QVD41" s="6"/>
      <c r="QVE41" s="6"/>
      <c r="QVF41" s="6"/>
      <c r="QVG41" s="6"/>
      <c r="QVH41" s="6"/>
      <c r="QVI41" s="6"/>
      <c r="QVJ41" s="6"/>
      <c r="QVK41" s="6"/>
      <c r="QVL41" s="6"/>
      <c r="QVM41" s="6"/>
      <c r="QVN41" s="6"/>
      <c r="QVO41" s="6"/>
      <c r="QVP41" s="6"/>
      <c r="QVQ41" s="6"/>
      <c r="QVR41" s="6"/>
      <c r="QVS41" s="6"/>
      <c r="QVT41" s="6"/>
      <c r="QVU41" s="6"/>
      <c r="QVV41" s="6"/>
      <c r="QVW41" s="6"/>
      <c r="QVX41" s="6"/>
      <c r="QVY41" s="6"/>
      <c r="QVZ41" s="6"/>
      <c r="QWA41" s="6"/>
      <c r="QWB41" s="6"/>
      <c r="QWC41" s="6"/>
      <c r="QWD41" s="6"/>
      <c r="QWE41" s="6"/>
      <c r="QWF41" s="6"/>
      <c r="QWG41" s="6"/>
      <c r="QWH41" s="6"/>
      <c r="QWI41" s="6"/>
      <c r="QWJ41" s="6"/>
      <c r="QWK41" s="6"/>
      <c r="QWL41" s="6"/>
      <c r="QWM41" s="6"/>
      <c r="QWN41" s="6"/>
      <c r="QWO41" s="6"/>
      <c r="QWP41" s="6"/>
      <c r="QWQ41" s="6"/>
      <c r="QWR41" s="6"/>
      <c r="QWS41" s="6"/>
      <c r="QWT41" s="6"/>
      <c r="QWU41" s="6"/>
      <c r="QWV41" s="6"/>
      <c r="QWW41" s="6"/>
      <c r="QWX41" s="6"/>
      <c r="QWY41" s="6"/>
      <c r="QWZ41" s="6"/>
      <c r="QXA41" s="6"/>
      <c r="QXB41" s="6"/>
      <c r="QXC41" s="6"/>
      <c r="QXD41" s="6"/>
      <c r="QXE41" s="6"/>
      <c r="QXF41" s="6"/>
      <c r="QXG41" s="6"/>
      <c r="QXH41" s="6"/>
      <c r="QXI41" s="6"/>
      <c r="QXJ41" s="6"/>
      <c r="QXK41" s="6"/>
      <c r="QXL41" s="6"/>
      <c r="QXM41" s="6"/>
      <c r="QXN41" s="6"/>
      <c r="QXO41" s="6"/>
      <c r="QXP41" s="6"/>
      <c r="QXQ41" s="6"/>
      <c r="QXR41" s="6"/>
      <c r="QXS41" s="6"/>
      <c r="QXT41" s="6"/>
      <c r="QXU41" s="6"/>
      <c r="QXV41" s="6"/>
      <c r="QXW41" s="6"/>
      <c r="QXX41" s="6"/>
      <c r="QXY41" s="6"/>
      <c r="QXZ41" s="6"/>
      <c r="QYA41" s="6"/>
      <c r="QYB41" s="6"/>
      <c r="QYC41" s="6"/>
      <c r="QYD41" s="6"/>
      <c r="QYE41" s="6"/>
      <c r="QYF41" s="6"/>
      <c r="QYG41" s="6"/>
      <c r="QYH41" s="6"/>
      <c r="QYI41" s="6"/>
      <c r="QYJ41" s="6"/>
      <c r="QYK41" s="6"/>
      <c r="QYL41" s="6"/>
      <c r="QYM41" s="6"/>
      <c r="QYN41" s="6"/>
      <c r="QYO41" s="6"/>
      <c r="QYP41" s="6"/>
      <c r="QYQ41" s="6"/>
      <c r="QYR41" s="6"/>
      <c r="QYS41" s="6"/>
      <c r="QYT41" s="6"/>
      <c r="QYU41" s="6"/>
      <c r="QYV41" s="6"/>
      <c r="QYW41" s="6"/>
      <c r="QYX41" s="6"/>
      <c r="QYY41" s="6"/>
      <c r="QYZ41" s="6"/>
      <c r="QZA41" s="6"/>
      <c r="QZB41" s="6"/>
      <c r="QZC41" s="6"/>
      <c r="QZD41" s="6"/>
      <c r="QZE41" s="6"/>
      <c r="QZF41" s="6"/>
      <c r="QZG41" s="6"/>
      <c r="QZH41" s="6"/>
      <c r="QZI41" s="6"/>
      <c r="QZJ41" s="6"/>
      <c r="QZK41" s="6"/>
      <c r="QZL41" s="6"/>
      <c r="QZM41" s="6"/>
      <c r="QZN41" s="6"/>
      <c r="QZO41" s="6"/>
      <c r="QZP41" s="6"/>
      <c r="QZQ41" s="6"/>
      <c r="QZR41" s="6"/>
      <c r="QZS41" s="6"/>
      <c r="QZT41" s="6"/>
      <c r="QZU41" s="6"/>
      <c r="QZV41" s="6"/>
      <c r="QZW41" s="6"/>
      <c r="QZX41" s="6"/>
      <c r="QZY41" s="6"/>
      <c r="QZZ41" s="6"/>
      <c r="RAA41" s="6"/>
      <c r="RAB41" s="6"/>
      <c r="RAC41" s="6"/>
      <c r="RAD41" s="6"/>
      <c r="RAE41" s="6"/>
      <c r="RAF41" s="6"/>
      <c r="RAG41" s="6"/>
      <c r="RAH41" s="6"/>
      <c r="RAI41" s="6"/>
      <c r="RAJ41" s="6"/>
      <c r="RAK41" s="6"/>
      <c r="RAL41" s="6"/>
      <c r="RAM41" s="6"/>
      <c r="RAN41" s="6"/>
      <c r="RAO41" s="6"/>
      <c r="RAP41" s="6"/>
      <c r="RAQ41" s="6"/>
      <c r="RAR41" s="6"/>
      <c r="RAS41" s="6"/>
      <c r="RAT41" s="6"/>
      <c r="RAU41" s="6"/>
      <c r="RAV41" s="6"/>
      <c r="RAW41" s="6"/>
      <c r="RAX41" s="6"/>
      <c r="RAY41" s="6"/>
      <c r="RAZ41" s="6"/>
      <c r="RBA41" s="6"/>
      <c r="RBB41" s="6"/>
      <c r="RBC41" s="6"/>
      <c r="RBD41" s="6"/>
      <c r="RBE41" s="6"/>
      <c r="RBF41" s="6"/>
      <c r="RBG41" s="6"/>
      <c r="RBH41" s="6"/>
      <c r="RBI41" s="6"/>
      <c r="RBJ41" s="6"/>
      <c r="RBK41" s="6"/>
      <c r="RBL41" s="6"/>
      <c r="RBM41" s="6"/>
      <c r="RBN41" s="6"/>
      <c r="RBO41" s="6"/>
      <c r="RBP41" s="6"/>
      <c r="RBQ41" s="6"/>
      <c r="RBR41" s="6"/>
      <c r="RBS41" s="6"/>
      <c r="RBT41" s="6"/>
      <c r="RBU41" s="6"/>
      <c r="RBV41" s="6"/>
      <c r="RBW41" s="6"/>
      <c r="RBX41" s="6"/>
      <c r="RBY41" s="6"/>
      <c r="RBZ41" s="6"/>
      <c r="RCA41" s="6"/>
      <c r="RCB41" s="6"/>
      <c r="RCC41" s="6"/>
      <c r="RCD41" s="6"/>
      <c r="RCE41" s="6"/>
      <c r="RCF41" s="6"/>
      <c r="RCG41" s="6"/>
      <c r="RCH41" s="6"/>
      <c r="RCI41" s="6"/>
      <c r="RCJ41" s="6"/>
      <c r="RCK41" s="6"/>
      <c r="RCL41" s="6"/>
      <c r="RCM41" s="6"/>
      <c r="RCN41" s="6"/>
      <c r="RCO41" s="6"/>
      <c r="RCP41" s="6"/>
      <c r="RCQ41" s="6"/>
      <c r="RCR41" s="6"/>
      <c r="RCS41" s="6"/>
      <c r="RCT41" s="6"/>
      <c r="RCU41" s="6"/>
      <c r="RCV41" s="6"/>
      <c r="RCW41" s="6"/>
      <c r="RCX41" s="6"/>
      <c r="RCY41" s="6"/>
      <c r="RCZ41" s="6"/>
      <c r="RDA41" s="6"/>
      <c r="RDB41" s="6"/>
      <c r="RDC41" s="6"/>
      <c r="RDD41" s="6"/>
      <c r="RDE41" s="6"/>
      <c r="RDF41" s="6"/>
      <c r="RDG41" s="6"/>
      <c r="RDH41" s="6"/>
      <c r="RDI41" s="6"/>
      <c r="RDJ41" s="6"/>
      <c r="RDK41" s="6"/>
      <c r="RDL41" s="6"/>
      <c r="RDM41" s="6"/>
      <c r="RDN41" s="6"/>
      <c r="RDO41" s="6"/>
      <c r="RDP41" s="6"/>
      <c r="RDQ41" s="6"/>
      <c r="RDR41" s="6"/>
      <c r="RDS41" s="6"/>
      <c r="RDT41" s="6"/>
      <c r="RDU41" s="6"/>
      <c r="RDV41" s="6"/>
      <c r="RDW41" s="6"/>
      <c r="RDX41" s="6"/>
      <c r="RDY41" s="6"/>
      <c r="RDZ41" s="6"/>
      <c r="REA41" s="6"/>
      <c r="REB41" s="6"/>
      <c r="REC41" s="6"/>
      <c r="RED41" s="6"/>
      <c r="REE41" s="6"/>
      <c r="REF41" s="6"/>
      <c r="REG41" s="6"/>
      <c r="REH41" s="6"/>
      <c r="REI41" s="6"/>
      <c r="REJ41" s="6"/>
      <c r="REK41" s="6"/>
      <c r="REL41" s="6"/>
      <c r="REM41" s="6"/>
      <c r="REN41" s="6"/>
      <c r="REO41" s="6"/>
      <c r="REP41" s="6"/>
      <c r="REQ41" s="6"/>
      <c r="RER41" s="6"/>
      <c r="RES41" s="6"/>
      <c r="RET41" s="6"/>
      <c r="REU41" s="6"/>
      <c r="REV41" s="6"/>
      <c r="REW41" s="6"/>
      <c r="REX41" s="6"/>
      <c r="REY41" s="6"/>
      <c r="REZ41" s="6"/>
      <c r="RFA41" s="6"/>
      <c r="RFB41" s="6"/>
      <c r="RFC41" s="6"/>
      <c r="RFD41" s="6"/>
      <c r="RFE41" s="6"/>
      <c r="RFF41" s="6"/>
      <c r="RFG41" s="6"/>
      <c r="RFH41" s="6"/>
      <c r="RFI41" s="6"/>
      <c r="RFJ41" s="6"/>
      <c r="RFK41" s="6"/>
      <c r="RFL41" s="6"/>
      <c r="RFM41" s="6"/>
      <c r="RFN41" s="6"/>
      <c r="RFO41" s="6"/>
      <c r="RFP41" s="6"/>
      <c r="RFQ41" s="6"/>
      <c r="RFR41" s="6"/>
      <c r="RFS41" s="6"/>
      <c r="RFT41" s="6"/>
      <c r="RFU41" s="6"/>
      <c r="RFV41" s="6"/>
      <c r="RFW41" s="6"/>
      <c r="RFX41" s="6"/>
      <c r="RFY41" s="6"/>
      <c r="RFZ41" s="6"/>
      <c r="RGA41" s="6"/>
      <c r="RGB41" s="6"/>
      <c r="RGC41" s="6"/>
      <c r="RGD41" s="6"/>
      <c r="RGE41" s="6"/>
      <c r="RGF41" s="6"/>
      <c r="RGG41" s="6"/>
      <c r="RGH41" s="6"/>
      <c r="RGI41" s="6"/>
      <c r="RGJ41" s="6"/>
      <c r="RGK41" s="6"/>
      <c r="RGL41" s="6"/>
      <c r="RGM41" s="6"/>
      <c r="RGN41" s="6"/>
      <c r="RGO41" s="6"/>
      <c r="RGP41" s="6"/>
      <c r="RGQ41" s="6"/>
      <c r="RGR41" s="6"/>
      <c r="RGS41" s="6"/>
      <c r="RGT41" s="6"/>
      <c r="RGU41" s="6"/>
      <c r="RGV41" s="6"/>
      <c r="RGW41" s="6"/>
      <c r="RGX41" s="6"/>
      <c r="RGY41" s="6"/>
      <c r="RGZ41" s="6"/>
      <c r="RHA41" s="6"/>
      <c r="RHB41" s="6"/>
      <c r="RHC41" s="6"/>
      <c r="RHD41" s="6"/>
      <c r="RHE41" s="6"/>
      <c r="RHF41" s="6"/>
      <c r="RHG41" s="6"/>
      <c r="RHH41" s="6"/>
      <c r="RHI41" s="6"/>
      <c r="RHJ41" s="6"/>
      <c r="RHK41" s="6"/>
      <c r="RHL41" s="6"/>
      <c r="RHM41" s="6"/>
      <c r="RHN41" s="6"/>
      <c r="RHO41" s="6"/>
      <c r="RHP41" s="6"/>
      <c r="RHQ41" s="6"/>
      <c r="RHR41" s="6"/>
      <c r="RHS41" s="6"/>
      <c r="RHT41" s="6"/>
      <c r="RHU41" s="6"/>
      <c r="RHV41" s="6"/>
      <c r="RHW41" s="6"/>
      <c r="RHX41" s="6"/>
      <c r="RHY41" s="6"/>
      <c r="RHZ41" s="6"/>
      <c r="RIA41" s="6"/>
      <c r="RIB41" s="6"/>
      <c r="RIC41" s="6"/>
      <c r="RID41" s="6"/>
      <c r="RIE41" s="6"/>
      <c r="RIF41" s="6"/>
      <c r="RIG41" s="6"/>
      <c r="RIH41" s="6"/>
      <c r="RII41" s="6"/>
      <c r="RIJ41" s="6"/>
      <c r="RIK41" s="6"/>
      <c r="RIL41" s="6"/>
      <c r="RIM41" s="6"/>
      <c r="RIN41" s="6"/>
      <c r="RIO41" s="6"/>
      <c r="RIP41" s="6"/>
      <c r="RIQ41" s="6"/>
      <c r="RIR41" s="6"/>
      <c r="RIS41" s="6"/>
      <c r="RIT41" s="6"/>
      <c r="RIU41" s="6"/>
      <c r="RIV41" s="6"/>
      <c r="RIW41" s="6"/>
      <c r="RIX41" s="6"/>
      <c r="RIY41" s="6"/>
      <c r="RIZ41" s="6"/>
      <c r="RJA41" s="6"/>
      <c r="RJB41" s="6"/>
      <c r="RJC41" s="6"/>
      <c r="RJD41" s="6"/>
      <c r="RJE41" s="6"/>
      <c r="RJF41" s="6"/>
      <c r="RJG41" s="6"/>
      <c r="RJH41" s="6"/>
      <c r="RJI41" s="6"/>
      <c r="RJJ41" s="6"/>
      <c r="RJK41" s="6"/>
      <c r="RJL41" s="6"/>
      <c r="RJM41" s="6"/>
      <c r="RJN41" s="6"/>
      <c r="RJO41" s="6"/>
      <c r="RJP41" s="6"/>
      <c r="RJQ41" s="6"/>
      <c r="RJR41" s="6"/>
      <c r="RJS41" s="6"/>
      <c r="RJT41" s="6"/>
      <c r="RJU41" s="6"/>
      <c r="RJV41" s="6"/>
      <c r="RJW41" s="6"/>
      <c r="RJX41" s="6"/>
      <c r="RJY41" s="6"/>
      <c r="RJZ41" s="6"/>
      <c r="RKA41" s="6"/>
      <c r="RKB41" s="6"/>
      <c r="RKC41" s="6"/>
      <c r="RKD41" s="6"/>
      <c r="RKE41" s="6"/>
      <c r="RKF41" s="6"/>
      <c r="RKG41" s="6"/>
      <c r="RKH41" s="6"/>
      <c r="RKI41" s="6"/>
      <c r="RKJ41" s="6"/>
      <c r="RKK41" s="6"/>
      <c r="RKL41" s="6"/>
      <c r="RKM41" s="6"/>
      <c r="RKN41" s="6"/>
      <c r="RKO41" s="6"/>
      <c r="RKP41" s="6"/>
      <c r="RKQ41" s="6"/>
      <c r="RKR41" s="6"/>
      <c r="RKS41" s="6"/>
      <c r="RKT41" s="6"/>
      <c r="RKU41" s="6"/>
      <c r="RKV41" s="6"/>
      <c r="RKW41" s="6"/>
      <c r="RKX41" s="6"/>
      <c r="RKY41" s="6"/>
      <c r="RKZ41" s="6"/>
      <c r="RLA41" s="6"/>
      <c r="RLB41" s="6"/>
      <c r="RLC41" s="6"/>
      <c r="RLD41" s="6"/>
      <c r="RLE41" s="6"/>
      <c r="RLF41" s="6"/>
      <c r="RLG41" s="6"/>
      <c r="RLH41" s="6"/>
      <c r="RLI41" s="6"/>
      <c r="RLJ41" s="6"/>
      <c r="RLK41" s="6"/>
      <c r="RLL41" s="6"/>
      <c r="RLM41" s="6"/>
      <c r="RLN41" s="6"/>
      <c r="RLO41" s="6"/>
      <c r="RLP41" s="6"/>
      <c r="RLQ41" s="6"/>
      <c r="RLR41" s="6"/>
      <c r="RLS41" s="6"/>
      <c r="RLT41" s="6"/>
      <c r="RLU41" s="6"/>
      <c r="RLV41" s="6"/>
      <c r="RLW41" s="6"/>
      <c r="RLX41" s="6"/>
      <c r="RLY41" s="6"/>
      <c r="RLZ41" s="6"/>
      <c r="RMA41" s="6"/>
      <c r="RMB41" s="6"/>
      <c r="RMC41" s="6"/>
      <c r="RMD41" s="6"/>
      <c r="RME41" s="6"/>
      <c r="RMF41" s="6"/>
      <c r="RMG41" s="6"/>
      <c r="RMH41" s="6"/>
      <c r="RMI41" s="6"/>
      <c r="RMJ41" s="6"/>
      <c r="RMK41" s="6"/>
      <c r="RML41" s="6"/>
      <c r="RMM41" s="6"/>
      <c r="RMN41" s="6"/>
      <c r="RMO41" s="6"/>
      <c r="RMP41" s="6"/>
      <c r="RMQ41" s="6"/>
      <c r="RMR41" s="6"/>
      <c r="RMS41" s="6"/>
      <c r="RMT41" s="6"/>
      <c r="RMU41" s="6"/>
      <c r="RMV41" s="6"/>
      <c r="RMW41" s="6"/>
      <c r="RMX41" s="6"/>
      <c r="RMY41" s="6"/>
      <c r="RMZ41" s="6"/>
      <c r="RNA41" s="6"/>
      <c r="RNB41" s="6"/>
      <c r="RNC41" s="6"/>
      <c r="RND41" s="6"/>
      <c r="RNE41" s="6"/>
      <c r="RNF41" s="6"/>
      <c r="RNG41" s="6"/>
      <c r="RNH41" s="6"/>
      <c r="RNI41" s="6"/>
      <c r="RNJ41" s="6"/>
      <c r="RNK41" s="6"/>
      <c r="RNL41" s="6"/>
      <c r="RNM41" s="6"/>
      <c r="RNN41" s="6"/>
      <c r="RNO41" s="6"/>
      <c r="RNP41" s="6"/>
      <c r="RNQ41" s="6"/>
      <c r="RNR41" s="6"/>
      <c r="RNS41" s="6"/>
      <c r="RNT41" s="6"/>
      <c r="RNU41" s="6"/>
      <c r="RNV41" s="6"/>
      <c r="RNW41" s="6"/>
      <c r="RNX41" s="6"/>
      <c r="RNY41" s="6"/>
      <c r="RNZ41" s="6"/>
      <c r="ROA41" s="6"/>
      <c r="ROB41" s="6"/>
      <c r="ROC41" s="6"/>
      <c r="ROD41" s="6"/>
      <c r="ROE41" s="6"/>
      <c r="ROF41" s="6"/>
      <c r="ROG41" s="6"/>
      <c r="ROH41" s="6"/>
      <c r="ROI41" s="6"/>
      <c r="ROJ41" s="6"/>
      <c r="ROK41" s="6"/>
      <c r="ROL41" s="6"/>
      <c r="ROM41" s="6"/>
      <c r="RON41" s="6"/>
      <c r="ROO41" s="6"/>
      <c r="ROP41" s="6"/>
      <c r="ROQ41" s="6"/>
      <c r="ROR41" s="6"/>
      <c r="ROS41" s="6"/>
      <c r="ROT41" s="6"/>
      <c r="ROU41" s="6"/>
      <c r="ROV41" s="6"/>
      <c r="ROW41" s="6"/>
      <c r="ROX41" s="6"/>
      <c r="ROY41" s="6"/>
      <c r="ROZ41" s="6"/>
      <c r="RPA41" s="6"/>
      <c r="RPB41" s="6"/>
      <c r="RPC41" s="6"/>
      <c r="RPD41" s="6"/>
      <c r="RPE41" s="6"/>
      <c r="RPF41" s="6"/>
      <c r="RPG41" s="6"/>
      <c r="RPH41" s="6"/>
      <c r="RPI41" s="6"/>
      <c r="RPJ41" s="6"/>
      <c r="RPK41" s="6"/>
      <c r="RPL41" s="6"/>
      <c r="RPM41" s="6"/>
      <c r="RPN41" s="6"/>
      <c r="RPO41" s="6"/>
      <c r="RPP41" s="6"/>
      <c r="RPQ41" s="6"/>
      <c r="RPR41" s="6"/>
      <c r="RPS41" s="6"/>
      <c r="RPT41" s="6"/>
      <c r="RPU41" s="6"/>
      <c r="RPV41" s="6"/>
      <c r="RPW41" s="6"/>
      <c r="RPX41" s="6"/>
      <c r="RPY41" s="6"/>
      <c r="RPZ41" s="6"/>
      <c r="RQA41" s="6"/>
      <c r="RQB41" s="6"/>
      <c r="RQC41" s="6"/>
      <c r="RQD41" s="6"/>
      <c r="RQE41" s="6"/>
      <c r="RQF41" s="6"/>
      <c r="RQG41" s="6"/>
      <c r="RQH41" s="6"/>
      <c r="RQI41" s="6"/>
      <c r="RQJ41" s="6"/>
      <c r="RQK41" s="6"/>
      <c r="RQL41" s="6"/>
      <c r="RQM41" s="6"/>
      <c r="RQN41" s="6"/>
      <c r="RQO41" s="6"/>
      <c r="RQP41" s="6"/>
      <c r="RQQ41" s="6"/>
      <c r="RQR41" s="6"/>
      <c r="RQS41" s="6"/>
      <c r="RQT41" s="6"/>
      <c r="RQU41" s="6"/>
      <c r="RQV41" s="6"/>
      <c r="RQW41" s="6"/>
      <c r="RQX41" s="6"/>
      <c r="RQY41" s="6"/>
      <c r="RQZ41" s="6"/>
      <c r="RRA41" s="6"/>
      <c r="RRB41" s="6"/>
      <c r="RRC41" s="6"/>
      <c r="RRD41" s="6"/>
      <c r="RRE41" s="6"/>
      <c r="RRF41" s="6"/>
      <c r="RRG41" s="6"/>
      <c r="RRH41" s="6"/>
      <c r="RRI41" s="6"/>
      <c r="RRJ41" s="6"/>
      <c r="RRK41" s="6"/>
      <c r="RRL41" s="6"/>
      <c r="RRM41" s="6"/>
      <c r="RRN41" s="6"/>
      <c r="RRO41" s="6"/>
      <c r="RRP41" s="6"/>
      <c r="RRQ41" s="6"/>
      <c r="RRR41" s="6"/>
      <c r="RRS41" s="6"/>
      <c r="RRT41" s="6"/>
      <c r="RRU41" s="6"/>
      <c r="RRV41" s="6"/>
      <c r="RRW41" s="6"/>
      <c r="RRX41" s="6"/>
      <c r="RRY41" s="6"/>
      <c r="RRZ41" s="6"/>
      <c r="RSA41" s="6"/>
      <c r="RSB41" s="6"/>
      <c r="RSC41" s="6"/>
      <c r="RSD41" s="6"/>
      <c r="RSE41" s="6"/>
      <c r="RSF41" s="6"/>
      <c r="RSG41" s="6"/>
      <c r="RSH41" s="6"/>
      <c r="RSI41" s="6"/>
      <c r="RSJ41" s="6"/>
      <c r="RSK41" s="6"/>
      <c r="RSL41" s="6"/>
      <c r="RSM41" s="6"/>
      <c r="RSN41" s="6"/>
      <c r="RSO41" s="6"/>
      <c r="RSP41" s="6"/>
      <c r="RSQ41" s="6"/>
      <c r="RSR41" s="6"/>
      <c r="RSS41" s="6"/>
      <c r="RST41" s="6"/>
      <c r="RSU41" s="6"/>
      <c r="RSV41" s="6"/>
      <c r="RSW41" s="6"/>
      <c r="RSX41" s="6"/>
      <c r="RSY41" s="6"/>
      <c r="RSZ41" s="6"/>
      <c r="RTA41" s="6"/>
      <c r="RTB41" s="6"/>
      <c r="RTC41" s="6"/>
      <c r="RTD41" s="6"/>
      <c r="RTE41" s="6"/>
      <c r="RTF41" s="6"/>
      <c r="RTG41" s="6"/>
      <c r="RTH41" s="6"/>
      <c r="RTI41" s="6"/>
      <c r="RTJ41" s="6"/>
      <c r="RTK41" s="6"/>
      <c r="RTL41" s="6"/>
      <c r="RTM41" s="6"/>
      <c r="RTN41" s="6"/>
      <c r="RTO41" s="6"/>
      <c r="RTP41" s="6"/>
      <c r="RTQ41" s="6"/>
      <c r="RTR41" s="6"/>
      <c r="RTS41" s="6"/>
      <c r="RTT41" s="6"/>
      <c r="RTU41" s="6"/>
      <c r="RTV41" s="6"/>
      <c r="RTW41" s="6"/>
      <c r="RTX41" s="6"/>
      <c r="RTY41" s="6"/>
      <c r="RTZ41" s="6"/>
      <c r="RUA41" s="6"/>
      <c r="RUB41" s="6"/>
      <c r="RUC41" s="6"/>
      <c r="RUD41" s="6"/>
      <c r="RUE41" s="6"/>
      <c r="RUF41" s="6"/>
      <c r="RUG41" s="6"/>
      <c r="RUH41" s="6"/>
      <c r="RUI41" s="6"/>
      <c r="RUJ41" s="6"/>
      <c r="RUK41" s="6"/>
      <c r="RUL41" s="6"/>
      <c r="RUM41" s="6"/>
      <c r="RUN41" s="6"/>
      <c r="RUO41" s="6"/>
      <c r="RUP41" s="6"/>
      <c r="RUQ41" s="6"/>
      <c r="RUR41" s="6"/>
      <c r="RUS41" s="6"/>
      <c r="RUT41" s="6"/>
      <c r="RUU41" s="6"/>
      <c r="RUV41" s="6"/>
      <c r="RUW41" s="6"/>
      <c r="RUX41" s="6"/>
      <c r="RUY41" s="6"/>
      <c r="RUZ41" s="6"/>
      <c r="RVA41" s="6"/>
      <c r="RVB41" s="6"/>
      <c r="RVC41" s="6"/>
      <c r="RVD41" s="6"/>
      <c r="RVE41" s="6"/>
      <c r="RVF41" s="6"/>
      <c r="RVG41" s="6"/>
      <c r="RVH41" s="6"/>
      <c r="RVI41" s="6"/>
      <c r="RVJ41" s="6"/>
      <c r="RVK41" s="6"/>
      <c r="RVL41" s="6"/>
      <c r="RVM41" s="6"/>
      <c r="RVN41" s="6"/>
      <c r="RVO41" s="6"/>
      <c r="RVP41" s="6"/>
      <c r="RVQ41" s="6"/>
      <c r="RVR41" s="6"/>
      <c r="RVS41" s="6"/>
      <c r="RVT41" s="6"/>
      <c r="RVU41" s="6"/>
      <c r="RVV41" s="6"/>
      <c r="RVW41" s="6"/>
      <c r="RVX41" s="6"/>
      <c r="RVY41" s="6"/>
      <c r="RVZ41" s="6"/>
      <c r="RWA41" s="6"/>
      <c r="RWB41" s="6"/>
      <c r="RWC41" s="6"/>
      <c r="RWD41" s="6"/>
      <c r="RWE41" s="6"/>
      <c r="RWF41" s="6"/>
      <c r="RWG41" s="6"/>
      <c r="RWH41" s="6"/>
      <c r="RWI41" s="6"/>
      <c r="RWJ41" s="6"/>
      <c r="RWK41" s="6"/>
      <c r="RWL41" s="6"/>
      <c r="RWM41" s="6"/>
      <c r="RWN41" s="6"/>
      <c r="RWO41" s="6"/>
      <c r="RWP41" s="6"/>
      <c r="RWQ41" s="6"/>
      <c r="RWR41" s="6"/>
      <c r="RWS41" s="6"/>
      <c r="RWT41" s="6"/>
      <c r="RWU41" s="6"/>
      <c r="RWV41" s="6"/>
      <c r="RWW41" s="6"/>
      <c r="RWX41" s="6"/>
      <c r="RWY41" s="6"/>
      <c r="RWZ41" s="6"/>
      <c r="RXA41" s="6"/>
      <c r="RXB41" s="6"/>
      <c r="RXC41" s="6"/>
      <c r="RXD41" s="6"/>
      <c r="RXE41" s="6"/>
      <c r="RXF41" s="6"/>
      <c r="RXG41" s="6"/>
      <c r="RXH41" s="6"/>
      <c r="RXI41" s="6"/>
      <c r="RXJ41" s="6"/>
      <c r="RXK41" s="6"/>
      <c r="RXL41" s="6"/>
      <c r="RXM41" s="6"/>
      <c r="RXN41" s="6"/>
      <c r="RXO41" s="6"/>
      <c r="RXP41" s="6"/>
      <c r="RXQ41" s="6"/>
      <c r="RXR41" s="6"/>
      <c r="RXS41" s="6"/>
      <c r="RXT41" s="6"/>
      <c r="RXU41" s="6"/>
      <c r="RXV41" s="6"/>
      <c r="RXW41" s="6"/>
      <c r="RXX41" s="6"/>
      <c r="RXY41" s="6"/>
      <c r="RXZ41" s="6"/>
      <c r="RYA41" s="6"/>
      <c r="RYB41" s="6"/>
      <c r="RYC41" s="6"/>
      <c r="RYD41" s="6"/>
      <c r="RYE41" s="6"/>
      <c r="RYF41" s="6"/>
      <c r="RYG41" s="6"/>
      <c r="RYH41" s="6"/>
      <c r="RYI41" s="6"/>
      <c r="RYJ41" s="6"/>
      <c r="RYK41" s="6"/>
      <c r="RYL41" s="6"/>
      <c r="RYM41" s="6"/>
      <c r="RYN41" s="6"/>
      <c r="RYO41" s="6"/>
      <c r="RYP41" s="6"/>
      <c r="RYQ41" s="6"/>
      <c r="RYR41" s="6"/>
      <c r="RYS41" s="6"/>
      <c r="RYT41" s="6"/>
      <c r="RYU41" s="6"/>
      <c r="RYV41" s="6"/>
      <c r="RYW41" s="6"/>
      <c r="RYX41" s="6"/>
      <c r="RYY41" s="6"/>
      <c r="RYZ41" s="6"/>
      <c r="RZA41" s="6"/>
      <c r="RZB41" s="6"/>
      <c r="RZC41" s="6"/>
      <c r="RZD41" s="6"/>
      <c r="RZE41" s="6"/>
      <c r="RZF41" s="6"/>
      <c r="RZG41" s="6"/>
      <c r="RZH41" s="6"/>
      <c r="RZI41" s="6"/>
      <c r="RZJ41" s="6"/>
      <c r="RZK41" s="6"/>
      <c r="RZL41" s="6"/>
      <c r="RZM41" s="6"/>
      <c r="RZN41" s="6"/>
      <c r="RZO41" s="6"/>
      <c r="RZP41" s="6"/>
      <c r="RZQ41" s="6"/>
      <c r="RZR41" s="6"/>
      <c r="RZS41" s="6"/>
      <c r="RZT41" s="6"/>
      <c r="RZU41" s="6"/>
      <c r="RZV41" s="6"/>
      <c r="RZW41" s="6"/>
      <c r="RZX41" s="6"/>
      <c r="RZY41" s="6"/>
      <c r="RZZ41" s="6"/>
      <c r="SAA41" s="6"/>
      <c r="SAB41" s="6"/>
      <c r="SAC41" s="6"/>
      <c r="SAD41" s="6"/>
      <c r="SAE41" s="6"/>
      <c r="SAF41" s="6"/>
      <c r="SAG41" s="6"/>
      <c r="SAH41" s="6"/>
      <c r="SAI41" s="6"/>
      <c r="SAJ41" s="6"/>
      <c r="SAK41" s="6"/>
      <c r="SAL41" s="6"/>
      <c r="SAM41" s="6"/>
      <c r="SAN41" s="6"/>
      <c r="SAO41" s="6"/>
      <c r="SAP41" s="6"/>
      <c r="SAQ41" s="6"/>
      <c r="SAR41" s="6"/>
      <c r="SAS41" s="6"/>
      <c r="SAT41" s="6"/>
      <c r="SAU41" s="6"/>
      <c r="SAV41" s="6"/>
      <c r="SAW41" s="6"/>
      <c r="SAX41" s="6"/>
      <c r="SAY41" s="6"/>
      <c r="SAZ41" s="6"/>
      <c r="SBA41" s="6"/>
      <c r="SBB41" s="6"/>
      <c r="SBC41" s="6"/>
      <c r="SBD41" s="6"/>
      <c r="SBE41" s="6"/>
      <c r="SBF41" s="6"/>
      <c r="SBG41" s="6"/>
      <c r="SBH41" s="6"/>
      <c r="SBI41" s="6"/>
      <c r="SBJ41" s="6"/>
      <c r="SBK41" s="6"/>
      <c r="SBL41" s="6"/>
      <c r="SBM41" s="6"/>
      <c r="SBN41" s="6"/>
      <c r="SBO41" s="6"/>
      <c r="SBP41" s="6"/>
      <c r="SBQ41" s="6"/>
      <c r="SBR41" s="6"/>
      <c r="SBS41" s="6"/>
      <c r="SBT41" s="6"/>
      <c r="SBU41" s="6"/>
      <c r="SBV41" s="6"/>
      <c r="SBW41" s="6"/>
      <c r="SBX41" s="6"/>
      <c r="SBY41" s="6"/>
      <c r="SBZ41" s="6"/>
      <c r="SCA41" s="6"/>
      <c r="SCB41" s="6"/>
      <c r="SCC41" s="6"/>
      <c r="SCD41" s="6"/>
      <c r="SCE41" s="6"/>
      <c r="SCF41" s="6"/>
      <c r="SCG41" s="6"/>
      <c r="SCH41" s="6"/>
      <c r="SCI41" s="6"/>
      <c r="SCJ41" s="6"/>
      <c r="SCK41" s="6"/>
      <c r="SCL41" s="6"/>
      <c r="SCM41" s="6"/>
      <c r="SCN41" s="6"/>
      <c r="SCO41" s="6"/>
      <c r="SCP41" s="6"/>
      <c r="SCQ41" s="6"/>
      <c r="SCR41" s="6"/>
      <c r="SCS41" s="6"/>
      <c r="SCT41" s="6"/>
      <c r="SCU41" s="6"/>
      <c r="SCV41" s="6"/>
      <c r="SCW41" s="6"/>
      <c r="SCX41" s="6"/>
      <c r="SCY41" s="6"/>
      <c r="SCZ41" s="6"/>
      <c r="SDA41" s="6"/>
      <c r="SDB41" s="6"/>
      <c r="SDC41" s="6"/>
      <c r="SDD41" s="6"/>
      <c r="SDE41" s="6"/>
      <c r="SDF41" s="6"/>
      <c r="SDG41" s="6"/>
      <c r="SDH41" s="6"/>
      <c r="SDI41" s="6"/>
      <c r="SDJ41" s="6"/>
      <c r="SDK41" s="6"/>
      <c r="SDL41" s="6"/>
      <c r="SDM41" s="6"/>
      <c r="SDN41" s="6"/>
      <c r="SDO41" s="6"/>
      <c r="SDP41" s="6"/>
      <c r="SDQ41" s="6"/>
      <c r="SDR41" s="6"/>
      <c r="SDS41" s="6"/>
      <c r="SDT41" s="6"/>
      <c r="SDU41" s="6"/>
      <c r="SDV41" s="6"/>
      <c r="SDW41" s="6"/>
      <c r="SDX41" s="6"/>
      <c r="SDY41" s="6"/>
      <c r="SDZ41" s="6"/>
      <c r="SEA41" s="6"/>
      <c r="SEB41" s="6"/>
      <c r="SEC41" s="6"/>
      <c r="SED41" s="6"/>
      <c r="SEE41" s="6"/>
      <c r="SEF41" s="6"/>
      <c r="SEG41" s="6"/>
      <c r="SEH41" s="6"/>
      <c r="SEI41" s="6"/>
      <c r="SEJ41" s="6"/>
      <c r="SEK41" s="6"/>
      <c r="SEL41" s="6"/>
      <c r="SEM41" s="6"/>
      <c r="SEN41" s="6"/>
      <c r="SEO41" s="6"/>
      <c r="SEP41" s="6"/>
      <c r="SEQ41" s="6"/>
      <c r="SER41" s="6"/>
      <c r="SES41" s="6"/>
      <c r="SET41" s="6"/>
      <c r="SEU41" s="6"/>
      <c r="SEV41" s="6"/>
      <c r="SEW41" s="6"/>
      <c r="SEX41" s="6"/>
      <c r="SEY41" s="6"/>
      <c r="SEZ41" s="6"/>
      <c r="SFA41" s="6"/>
      <c r="SFB41" s="6"/>
      <c r="SFC41" s="6"/>
      <c r="SFD41" s="6"/>
      <c r="SFE41" s="6"/>
      <c r="SFF41" s="6"/>
      <c r="SFG41" s="6"/>
      <c r="SFH41" s="6"/>
      <c r="SFI41" s="6"/>
      <c r="SFJ41" s="6"/>
      <c r="SFK41" s="6"/>
      <c r="SFL41" s="6"/>
      <c r="SFM41" s="6"/>
      <c r="SFN41" s="6"/>
      <c r="SFO41" s="6"/>
      <c r="SFP41" s="6"/>
      <c r="SFQ41" s="6"/>
      <c r="SFR41" s="6"/>
      <c r="SFS41" s="6"/>
      <c r="SFT41" s="6"/>
      <c r="SFU41" s="6"/>
      <c r="SFV41" s="6"/>
      <c r="SFW41" s="6"/>
      <c r="SFX41" s="6"/>
      <c r="SFY41" s="6"/>
      <c r="SFZ41" s="6"/>
      <c r="SGA41" s="6"/>
      <c r="SGB41" s="6"/>
      <c r="SGC41" s="6"/>
      <c r="SGD41" s="6"/>
      <c r="SGE41" s="6"/>
      <c r="SGF41" s="6"/>
      <c r="SGG41" s="6"/>
      <c r="SGH41" s="6"/>
      <c r="SGI41" s="6"/>
      <c r="SGJ41" s="6"/>
      <c r="SGK41" s="6"/>
      <c r="SGL41" s="6"/>
      <c r="SGM41" s="6"/>
      <c r="SGN41" s="6"/>
      <c r="SGO41" s="6"/>
      <c r="SGP41" s="6"/>
      <c r="SGQ41" s="6"/>
      <c r="SGR41" s="6"/>
      <c r="SGS41" s="6"/>
      <c r="SGT41" s="6"/>
      <c r="SGU41" s="6"/>
      <c r="SGV41" s="6"/>
      <c r="SGW41" s="6"/>
      <c r="SGX41" s="6"/>
      <c r="SGY41" s="6"/>
      <c r="SGZ41" s="6"/>
      <c r="SHA41" s="6"/>
      <c r="SHB41" s="6"/>
      <c r="SHC41" s="6"/>
      <c r="SHD41" s="6"/>
      <c r="SHE41" s="6"/>
      <c r="SHF41" s="6"/>
      <c r="SHG41" s="6"/>
      <c r="SHH41" s="6"/>
      <c r="SHI41" s="6"/>
      <c r="SHJ41" s="6"/>
      <c r="SHK41" s="6"/>
      <c r="SHL41" s="6"/>
      <c r="SHM41" s="6"/>
      <c r="SHN41" s="6"/>
      <c r="SHO41" s="6"/>
      <c r="SHP41" s="6"/>
      <c r="SHQ41" s="6"/>
      <c r="SHR41" s="6"/>
      <c r="SHS41" s="6"/>
      <c r="SHT41" s="6"/>
      <c r="SHU41" s="6"/>
      <c r="SHV41" s="6"/>
      <c r="SHW41" s="6"/>
      <c r="SHX41" s="6"/>
      <c r="SHY41" s="6"/>
      <c r="SHZ41" s="6"/>
      <c r="SIA41" s="6"/>
      <c r="SIB41" s="6"/>
      <c r="SIC41" s="6"/>
      <c r="SID41" s="6"/>
      <c r="SIE41" s="6"/>
      <c r="SIF41" s="6"/>
      <c r="SIG41" s="6"/>
      <c r="SIH41" s="6"/>
      <c r="SII41" s="6"/>
      <c r="SIJ41" s="6"/>
      <c r="SIK41" s="6"/>
      <c r="SIL41" s="6"/>
      <c r="SIM41" s="6"/>
      <c r="SIN41" s="6"/>
      <c r="SIO41" s="6"/>
      <c r="SIP41" s="6"/>
      <c r="SIQ41" s="6"/>
      <c r="SIR41" s="6"/>
      <c r="SIS41" s="6"/>
      <c r="SIT41" s="6"/>
      <c r="SIU41" s="6"/>
      <c r="SIV41" s="6"/>
      <c r="SIW41" s="6"/>
      <c r="SIX41" s="6"/>
      <c r="SIY41" s="6"/>
      <c r="SIZ41" s="6"/>
      <c r="SJA41" s="6"/>
      <c r="SJB41" s="6"/>
      <c r="SJC41" s="6"/>
      <c r="SJD41" s="6"/>
      <c r="SJE41" s="6"/>
      <c r="SJF41" s="6"/>
      <c r="SJG41" s="6"/>
      <c r="SJH41" s="6"/>
      <c r="SJI41" s="6"/>
      <c r="SJJ41" s="6"/>
      <c r="SJK41" s="6"/>
      <c r="SJL41" s="6"/>
      <c r="SJM41" s="6"/>
      <c r="SJN41" s="6"/>
      <c r="SJO41" s="6"/>
      <c r="SJP41" s="6"/>
      <c r="SJQ41" s="6"/>
      <c r="SJR41" s="6"/>
      <c r="SJS41" s="6"/>
      <c r="SJT41" s="6"/>
      <c r="SJU41" s="6"/>
      <c r="SJV41" s="6"/>
      <c r="SJW41" s="6"/>
      <c r="SJX41" s="6"/>
      <c r="SJY41" s="6"/>
      <c r="SJZ41" s="6"/>
      <c r="SKA41" s="6"/>
      <c r="SKB41" s="6"/>
      <c r="SKC41" s="6"/>
      <c r="SKD41" s="6"/>
      <c r="SKE41" s="6"/>
      <c r="SKF41" s="6"/>
      <c r="SKG41" s="6"/>
      <c r="SKH41" s="6"/>
      <c r="SKI41" s="6"/>
      <c r="SKJ41" s="6"/>
      <c r="SKK41" s="6"/>
      <c r="SKL41" s="6"/>
      <c r="SKM41" s="6"/>
      <c r="SKN41" s="6"/>
      <c r="SKO41" s="6"/>
      <c r="SKP41" s="6"/>
      <c r="SKQ41" s="6"/>
      <c r="SKR41" s="6"/>
      <c r="SKS41" s="6"/>
      <c r="SKT41" s="6"/>
      <c r="SKU41" s="6"/>
      <c r="SKV41" s="6"/>
      <c r="SKW41" s="6"/>
      <c r="SKX41" s="6"/>
      <c r="SKY41" s="6"/>
      <c r="SKZ41" s="6"/>
      <c r="SLA41" s="6"/>
      <c r="SLB41" s="6"/>
      <c r="SLC41" s="6"/>
      <c r="SLD41" s="6"/>
      <c r="SLE41" s="6"/>
      <c r="SLF41" s="6"/>
      <c r="SLG41" s="6"/>
      <c r="SLH41" s="6"/>
      <c r="SLI41" s="6"/>
      <c r="SLJ41" s="6"/>
      <c r="SLK41" s="6"/>
      <c r="SLL41" s="6"/>
      <c r="SLM41" s="6"/>
      <c r="SLN41" s="6"/>
      <c r="SLO41" s="6"/>
      <c r="SLP41" s="6"/>
      <c r="SLQ41" s="6"/>
      <c r="SLR41" s="6"/>
      <c r="SLS41" s="6"/>
      <c r="SLT41" s="6"/>
      <c r="SLU41" s="6"/>
      <c r="SLV41" s="6"/>
      <c r="SLW41" s="6"/>
      <c r="SLX41" s="6"/>
      <c r="SLY41" s="6"/>
      <c r="SLZ41" s="6"/>
      <c r="SMA41" s="6"/>
      <c r="SMB41" s="6"/>
      <c r="SMC41" s="6"/>
      <c r="SMD41" s="6"/>
      <c r="SME41" s="6"/>
      <c r="SMF41" s="6"/>
      <c r="SMG41" s="6"/>
      <c r="SMH41" s="6"/>
      <c r="SMI41" s="6"/>
      <c r="SMJ41" s="6"/>
      <c r="SMK41" s="6"/>
      <c r="SML41" s="6"/>
      <c r="SMM41" s="6"/>
      <c r="SMN41" s="6"/>
      <c r="SMO41" s="6"/>
      <c r="SMP41" s="6"/>
      <c r="SMQ41" s="6"/>
      <c r="SMR41" s="6"/>
      <c r="SMS41" s="6"/>
      <c r="SMT41" s="6"/>
      <c r="SMU41" s="6"/>
      <c r="SMV41" s="6"/>
      <c r="SMW41" s="6"/>
      <c r="SMX41" s="6"/>
      <c r="SMY41" s="6"/>
      <c r="SMZ41" s="6"/>
      <c r="SNA41" s="6"/>
      <c r="SNB41" s="6"/>
      <c r="SNC41" s="6"/>
      <c r="SND41" s="6"/>
      <c r="SNE41" s="6"/>
      <c r="SNF41" s="6"/>
      <c r="SNG41" s="6"/>
      <c r="SNH41" s="6"/>
      <c r="SNI41" s="6"/>
      <c r="SNJ41" s="6"/>
      <c r="SNK41" s="6"/>
      <c r="SNL41" s="6"/>
      <c r="SNM41" s="6"/>
      <c r="SNN41" s="6"/>
      <c r="SNO41" s="6"/>
      <c r="SNP41" s="6"/>
      <c r="SNQ41" s="6"/>
      <c r="SNR41" s="6"/>
      <c r="SNS41" s="6"/>
      <c r="SNT41" s="6"/>
      <c r="SNU41" s="6"/>
      <c r="SNV41" s="6"/>
      <c r="SNW41" s="6"/>
      <c r="SNX41" s="6"/>
      <c r="SNY41" s="6"/>
      <c r="SNZ41" s="6"/>
      <c r="SOA41" s="6"/>
      <c r="SOB41" s="6"/>
      <c r="SOC41" s="6"/>
      <c r="SOD41" s="6"/>
      <c r="SOE41" s="6"/>
      <c r="SOF41" s="6"/>
      <c r="SOG41" s="6"/>
      <c r="SOH41" s="6"/>
      <c r="SOI41" s="6"/>
      <c r="SOJ41" s="6"/>
      <c r="SOK41" s="6"/>
      <c r="SOL41" s="6"/>
      <c r="SOM41" s="6"/>
      <c r="SON41" s="6"/>
      <c r="SOO41" s="6"/>
      <c r="SOP41" s="6"/>
      <c r="SOQ41" s="6"/>
      <c r="SOR41" s="6"/>
      <c r="SOS41" s="6"/>
      <c r="SOT41" s="6"/>
      <c r="SOU41" s="6"/>
      <c r="SOV41" s="6"/>
      <c r="SOW41" s="6"/>
      <c r="SOX41" s="6"/>
      <c r="SOY41" s="6"/>
      <c r="SOZ41" s="6"/>
      <c r="SPA41" s="6"/>
      <c r="SPB41" s="6"/>
      <c r="SPC41" s="6"/>
      <c r="SPD41" s="6"/>
      <c r="SPE41" s="6"/>
      <c r="SPF41" s="6"/>
      <c r="SPG41" s="6"/>
      <c r="SPH41" s="6"/>
      <c r="SPI41" s="6"/>
      <c r="SPJ41" s="6"/>
      <c r="SPK41" s="6"/>
      <c r="SPL41" s="6"/>
      <c r="SPM41" s="6"/>
      <c r="SPN41" s="6"/>
      <c r="SPO41" s="6"/>
      <c r="SPP41" s="6"/>
      <c r="SPQ41" s="6"/>
      <c r="SPR41" s="6"/>
      <c r="SPS41" s="6"/>
      <c r="SPT41" s="6"/>
      <c r="SPU41" s="6"/>
      <c r="SPV41" s="6"/>
      <c r="SPW41" s="6"/>
      <c r="SPX41" s="6"/>
      <c r="SPY41" s="6"/>
      <c r="SPZ41" s="6"/>
      <c r="SQA41" s="6"/>
      <c r="SQB41" s="6"/>
      <c r="SQC41" s="6"/>
      <c r="SQD41" s="6"/>
      <c r="SQE41" s="6"/>
      <c r="SQF41" s="6"/>
      <c r="SQG41" s="6"/>
      <c r="SQH41" s="6"/>
      <c r="SQI41" s="6"/>
      <c r="SQJ41" s="6"/>
      <c r="SQK41" s="6"/>
      <c r="SQL41" s="6"/>
      <c r="SQM41" s="6"/>
      <c r="SQN41" s="6"/>
      <c r="SQO41" s="6"/>
      <c r="SQP41" s="6"/>
      <c r="SQQ41" s="6"/>
      <c r="SQR41" s="6"/>
      <c r="SQS41" s="6"/>
      <c r="SQT41" s="6"/>
      <c r="SQU41" s="6"/>
      <c r="SQV41" s="6"/>
      <c r="SQW41" s="6"/>
      <c r="SQX41" s="6"/>
      <c r="SQY41" s="6"/>
      <c r="SQZ41" s="6"/>
      <c r="SRA41" s="6"/>
      <c r="SRB41" s="6"/>
      <c r="SRC41" s="6"/>
      <c r="SRD41" s="6"/>
      <c r="SRE41" s="6"/>
      <c r="SRF41" s="6"/>
      <c r="SRG41" s="6"/>
      <c r="SRH41" s="6"/>
      <c r="SRI41" s="6"/>
      <c r="SRJ41" s="6"/>
      <c r="SRK41" s="6"/>
      <c r="SRL41" s="6"/>
      <c r="SRM41" s="6"/>
      <c r="SRN41" s="6"/>
      <c r="SRO41" s="6"/>
      <c r="SRP41" s="6"/>
      <c r="SRQ41" s="6"/>
      <c r="SRR41" s="6"/>
      <c r="SRS41" s="6"/>
      <c r="SRT41" s="6"/>
      <c r="SRU41" s="6"/>
      <c r="SRV41" s="6"/>
      <c r="SRW41" s="6"/>
      <c r="SRX41" s="6"/>
      <c r="SRY41" s="6"/>
      <c r="SRZ41" s="6"/>
      <c r="SSA41" s="6"/>
      <c r="SSB41" s="6"/>
      <c r="SSC41" s="6"/>
      <c r="SSD41" s="6"/>
      <c r="SSE41" s="6"/>
      <c r="SSF41" s="6"/>
      <c r="SSG41" s="6"/>
      <c r="SSH41" s="6"/>
      <c r="SSI41" s="6"/>
      <c r="SSJ41" s="6"/>
      <c r="SSK41" s="6"/>
      <c r="SSL41" s="6"/>
      <c r="SSM41" s="6"/>
      <c r="SSN41" s="6"/>
      <c r="SSO41" s="6"/>
      <c r="SSP41" s="6"/>
      <c r="SSQ41" s="6"/>
      <c r="SSR41" s="6"/>
      <c r="SSS41" s="6"/>
      <c r="SST41" s="6"/>
      <c r="SSU41" s="6"/>
      <c r="SSV41" s="6"/>
      <c r="SSW41" s="6"/>
      <c r="SSX41" s="6"/>
      <c r="SSY41" s="6"/>
      <c r="SSZ41" s="6"/>
      <c r="STA41" s="6"/>
      <c r="STB41" s="6"/>
      <c r="STC41" s="6"/>
      <c r="STD41" s="6"/>
      <c r="STE41" s="6"/>
      <c r="STF41" s="6"/>
      <c r="STG41" s="6"/>
      <c r="STH41" s="6"/>
      <c r="STI41" s="6"/>
      <c r="STJ41" s="6"/>
      <c r="STK41" s="6"/>
      <c r="STL41" s="6"/>
      <c r="STM41" s="6"/>
      <c r="STN41" s="6"/>
      <c r="STO41" s="6"/>
      <c r="STP41" s="6"/>
      <c r="STQ41" s="6"/>
      <c r="STR41" s="6"/>
      <c r="STS41" s="6"/>
      <c r="STT41" s="6"/>
      <c r="STU41" s="6"/>
      <c r="STV41" s="6"/>
      <c r="STW41" s="6"/>
      <c r="STX41" s="6"/>
      <c r="STY41" s="6"/>
      <c r="STZ41" s="6"/>
      <c r="SUA41" s="6"/>
      <c r="SUB41" s="6"/>
      <c r="SUC41" s="6"/>
      <c r="SUD41" s="6"/>
      <c r="SUE41" s="6"/>
      <c r="SUF41" s="6"/>
      <c r="SUG41" s="6"/>
      <c r="SUH41" s="6"/>
      <c r="SUI41" s="6"/>
      <c r="SUJ41" s="6"/>
      <c r="SUK41" s="6"/>
      <c r="SUL41" s="6"/>
      <c r="SUM41" s="6"/>
      <c r="SUN41" s="6"/>
      <c r="SUO41" s="6"/>
      <c r="SUP41" s="6"/>
      <c r="SUQ41" s="6"/>
      <c r="SUR41" s="6"/>
      <c r="SUS41" s="6"/>
      <c r="SUT41" s="6"/>
      <c r="SUU41" s="6"/>
      <c r="SUV41" s="6"/>
      <c r="SUW41" s="6"/>
      <c r="SUX41" s="6"/>
      <c r="SUY41" s="6"/>
      <c r="SUZ41" s="6"/>
      <c r="SVA41" s="6"/>
      <c r="SVB41" s="6"/>
      <c r="SVC41" s="6"/>
      <c r="SVD41" s="6"/>
      <c r="SVE41" s="6"/>
      <c r="SVF41" s="6"/>
      <c r="SVG41" s="6"/>
      <c r="SVH41" s="6"/>
      <c r="SVI41" s="6"/>
      <c r="SVJ41" s="6"/>
      <c r="SVK41" s="6"/>
      <c r="SVL41" s="6"/>
      <c r="SVM41" s="6"/>
      <c r="SVN41" s="6"/>
      <c r="SVO41" s="6"/>
      <c r="SVP41" s="6"/>
      <c r="SVQ41" s="6"/>
      <c r="SVR41" s="6"/>
      <c r="SVS41" s="6"/>
      <c r="SVT41" s="6"/>
      <c r="SVU41" s="6"/>
      <c r="SVV41" s="6"/>
      <c r="SVW41" s="6"/>
      <c r="SVX41" s="6"/>
      <c r="SVY41" s="6"/>
      <c r="SVZ41" s="6"/>
      <c r="SWA41" s="6"/>
      <c r="SWB41" s="6"/>
      <c r="SWC41" s="6"/>
      <c r="SWD41" s="6"/>
      <c r="SWE41" s="6"/>
      <c r="SWF41" s="6"/>
      <c r="SWG41" s="6"/>
      <c r="SWH41" s="6"/>
      <c r="SWI41" s="6"/>
      <c r="SWJ41" s="6"/>
      <c r="SWK41" s="6"/>
      <c r="SWL41" s="6"/>
      <c r="SWM41" s="6"/>
      <c r="SWN41" s="6"/>
      <c r="SWO41" s="6"/>
      <c r="SWP41" s="6"/>
      <c r="SWQ41" s="6"/>
      <c r="SWR41" s="6"/>
      <c r="SWS41" s="6"/>
      <c r="SWT41" s="6"/>
      <c r="SWU41" s="6"/>
      <c r="SWV41" s="6"/>
      <c r="SWW41" s="6"/>
      <c r="SWX41" s="6"/>
      <c r="SWY41" s="6"/>
      <c r="SWZ41" s="6"/>
      <c r="SXA41" s="6"/>
      <c r="SXB41" s="6"/>
      <c r="SXC41" s="6"/>
      <c r="SXD41" s="6"/>
      <c r="SXE41" s="6"/>
      <c r="SXF41" s="6"/>
      <c r="SXG41" s="6"/>
      <c r="SXH41" s="6"/>
      <c r="SXI41" s="6"/>
      <c r="SXJ41" s="6"/>
      <c r="SXK41" s="6"/>
      <c r="SXL41" s="6"/>
      <c r="SXM41" s="6"/>
      <c r="SXN41" s="6"/>
      <c r="SXO41" s="6"/>
      <c r="SXP41" s="6"/>
      <c r="SXQ41" s="6"/>
      <c r="SXR41" s="6"/>
      <c r="SXS41" s="6"/>
      <c r="SXT41" s="6"/>
      <c r="SXU41" s="6"/>
      <c r="SXV41" s="6"/>
      <c r="SXW41" s="6"/>
      <c r="SXX41" s="6"/>
      <c r="SXY41" s="6"/>
      <c r="SXZ41" s="6"/>
      <c r="SYA41" s="6"/>
      <c r="SYB41" s="6"/>
      <c r="SYC41" s="6"/>
      <c r="SYD41" s="6"/>
      <c r="SYE41" s="6"/>
      <c r="SYF41" s="6"/>
      <c r="SYG41" s="6"/>
      <c r="SYH41" s="6"/>
      <c r="SYI41" s="6"/>
      <c r="SYJ41" s="6"/>
      <c r="SYK41" s="6"/>
      <c r="SYL41" s="6"/>
      <c r="SYM41" s="6"/>
      <c r="SYN41" s="6"/>
      <c r="SYO41" s="6"/>
      <c r="SYP41" s="6"/>
      <c r="SYQ41" s="6"/>
      <c r="SYR41" s="6"/>
      <c r="SYS41" s="6"/>
      <c r="SYT41" s="6"/>
      <c r="SYU41" s="6"/>
      <c r="SYV41" s="6"/>
      <c r="SYW41" s="6"/>
      <c r="SYX41" s="6"/>
      <c r="SYY41" s="6"/>
      <c r="SYZ41" s="6"/>
      <c r="SZA41" s="6"/>
      <c r="SZB41" s="6"/>
      <c r="SZC41" s="6"/>
      <c r="SZD41" s="6"/>
      <c r="SZE41" s="6"/>
      <c r="SZF41" s="6"/>
      <c r="SZG41" s="6"/>
      <c r="SZH41" s="6"/>
      <c r="SZI41" s="6"/>
      <c r="SZJ41" s="6"/>
      <c r="SZK41" s="6"/>
      <c r="SZL41" s="6"/>
      <c r="SZM41" s="6"/>
      <c r="SZN41" s="6"/>
      <c r="SZO41" s="6"/>
      <c r="SZP41" s="6"/>
      <c r="SZQ41" s="6"/>
      <c r="SZR41" s="6"/>
      <c r="SZS41" s="6"/>
      <c r="SZT41" s="6"/>
      <c r="SZU41" s="6"/>
      <c r="SZV41" s="6"/>
      <c r="SZW41" s="6"/>
      <c r="SZX41" s="6"/>
      <c r="SZY41" s="6"/>
      <c r="SZZ41" s="6"/>
      <c r="TAA41" s="6"/>
      <c r="TAB41" s="6"/>
      <c r="TAC41" s="6"/>
      <c r="TAD41" s="6"/>
      <c r="TAE41" s="6"/>
      <c r="TAF41" s="6"/>
      <c r="TAG41" s="6"/>
      <c r="TAH41" s="6"/>
      <c r="TAI41" s="6"/>
      <c r="TAJ41" s="6"/>
      <c r="TAK41" s="6"/>
      <c r="TAL41" s="6"/>
      <c r="TAM41" s="6"/>
      <c r="TAN41" s="6"/>
      <c r="TAO41" s="6"/>
      <c r="TAP41" s="6"/>
      <c r="TAQ41" s="6"/>
      <c r="TAR41" s="6"/>
      <c r="TAS41" s="6"/>
      <c r="TAT41" s="6"/>
      <c r="TAU41" s="6"/>
      <c r="TAV41" s="6"/>
      <c r="TAW41" s="6"/>
      <c r="TAX41" s="6"/>
      <c r="TAY41" s="6"/>
      <c r="TAZ41" s="6"/>
      <c r="TBA41" s="6"/>
      <c r="TBB41" s="6"/>
      <c r="TBC41" s="6"/>
      <c r="TBD41" s="6"/>
      <c r="TBE41" s="6"/>
      <c r="TBF41" s="6"/>
      <c r="TBG41" s="6"/>
      <c r="TBH41" s="6"/>
      <c r="TBI41" s="6"/>
      <c r="TBJ41" s="6"/>
      <c r="TBK41" s="6"/>
      <c r="TBL41" s="6"/>
      <c r="TBM41" s="6"/>
      <c r="TBN41" s="6"/>
      <c r="TBO41" s="6"/>
      <c r="TBP41" s="6"/>
      <c r="TBQ41" s="6"/>
      <c r="TBR41" s="6"/>
      <c r="TBS41" s="6"/>
      <c r="TBT41" s="6"/>
      <c r="TBU41" s="6"/>
      <c r="TBV41" s="6"/>
      <c r="TBW41" s="6"/>
      <c r="TBX41" s="6"/>
      <c r="TBY41" s="6"/>
      <c r="TBZ41" s="6"/>
      <c r="TCA41" s="6"/>
      <c r="TCB41" s="6"/>
      <c r="TCC41" s="6"/>
      <c r="TCD41" s="6"/>
      <c r="TCE41" s="6"/>
      <c r="TCF41" s="6"/>
      <c r="TCG41" s="6"/>
      <c r="TCH41" s="6"/>
      <c r="TCI41" s="6"/>
      <c r="TCJ41" s="6"/>
      <c r="TCK41" s="6"/>
      <c r="TCL41" s="6"/>
      <c r="TCM41" s="6"/>
      <c r="TCN41" s="6"/>
      <c r="TCO41" s="6"/>
      <c r="TCP41" s="6"/>
      <c r="TCQ41" s="6"/>
      <c r="TCR41" s="6"/>
      <c r="TCS41" s="6"/>
      <c r="TCT41" s="6"/>
      <c r="TCU41" s="6"/>
      <c r="TCV41" s="6"/>
      <c r="TCW41" s="6"/>
      <c r="TCX41" s="6"/>
      <c r="TCY41" s="6"/>
      <c r="TCZ41" s="6"/>
      <c r="TDA41" s="6"/>
      <c r="TDB41" s="6"/>
      <c r="TDC41" s="6"/>
      <c r="TDD41" s="6"/>
      <c r="TDE41" s="6"/>
      <c r="TDF41" s="6"/>
      <c r="TDG41" s="6"/>
      <c r="TDH41" s="6"/>
      <c r="TDI41" s="6"/>
      <c r="TDJ41" s="6"/>
      <c r="TDK41" s="6"/>
      <c r="TDL41" s="6"/>
      <c r="TDM41" s="6"/>
      <c r="TDN41" s="6"/>
      <c r="TDO41" s="6"/>
      <c r="TDP41" s="6"/>
      <c r="TDQ41" s="6"/>
      <c r="TDR41" s="6"/>
      <c r="TDS41" s="6"/>
      <c r="TDT41" s="6"/>
      <c r="TDU41" s="6"/>
      <c r="TDV41" s="6"/>
      <c r="TDW41" s="6"/>
      <c r="TDX41" s="6"/>
      <c r="TDY41" s="6"/>
      <c r="TDZ41" s="6"/>
      <c r="TEA41" s="6"/>
      <c r="TEB41" s="6"/>
      <c r="TEC41" s="6"/>
      <c r="TED41" s="6"/>
      <c r="TEE41" s="6"/>
      <c r="TEF41" s="6"/>
      <c r="TEG41" s="6"/>
      <c r="TEH41" s="6"/>
      <c r="TEI41" s="6"/>
      <c r="TEJ41" s="6"/>
      <c r="TEK41" s="6"/>
      <c r="TEL41" s="6"/>
      <c r="TEM41" s="6"/>
      <c r="TEN41" s="6"/>
      <c r="TEO41" s="6"/>
      <c r="TEP41" s="6"/>
      <c r="TEQ41" s="6"/>
      <c r="TER41" s="6"/>
      <c r="TES41" s="6"/>
      <c r="TET41" s="6"/>
      <c r="TEU41" s="6"/>
      <c r="TEV41" s="6"/>
      <c r="TEW41" s="6"/>
      <c r="TEX41" s="6"/>
      <c r="TEY41" s="6"/>
      <c r="TEZ41" s="6"/>
      <c r="TFA41" s="6"/>
      <c r="TFB41" s="6"/>
      <c r="TFC41" s="6"/>
      <c r="TFD41" s="6"/>
      <c r="TFE41" s="6"/>
      <c r="TFF41" s="6"/>
      <c r="TFG41" s="6"/>
      <c r="TFH41" s="6"/>
      <c r="TFI41" s="6"/>
      <c r="TFJ41" s="6"/>
      <c r="TFK41" s="6"/>
      <c r="TFL41" s="6"/>
      <c r="TFM41" s="6"/>
      <c r="TFN41" s="6"/>
      <c r="TFO41" s="6"/>
      <c r="TFP41" s="6"/>
      <c r="TFQ41" s="6"/>
      <c r="TFR41" s="6"/>
      <c r="TFS41" s="6"/>
      <c r="TFT41" s="6"/>
      <c r="TFU41" s="6"/>
      <c r="TFV41" s="6"/>
      <c r="TFW41" s="6"/>
      <c r="TFX41" s="6"/>
      <c r="TFY41" s="6"/>
      <c r="TFZ41" s="6"/>
      <c r="TGA41" s="6"/>
      <c r="TGB41" s="6"/>
      <c r="TGC41" s="6"/>
      <c r="TGD41" s="6"/>
      <c r="TGE41" s="6"/>
      <c r="TGF41" s="6"/>
      <c r="TGG41" s="6"/>
      <c r="TGH41" s="6"/>
      <c r="TGI41" s="6"/>
      <c r="TGJ41" s="6"/>
      <c r="TGK41" s="6"/>
      <c r="TGL41" s="6"/>
      <c r="TGM41" s="6"/>
      <c r="TGN41" s="6"/>
      <c r="TGO41" s="6"/>
      <c r="TGP41" s="6"/>
      <c r="TGQ41" s="6"/>
      <c r="TGR41" s="6"/>
      <c r="TGS41" s="6"/>
      <c r="TGT41" s="6"/>
      <c r="TGU41" s="6"/>
      <c r="TGV41" s="6"/>
      <c r="TGW41" s="6"/>
      <c r="TGX41" s="6"/>
      <c r="TGY41" s="6"/>
      <c r="TGZ41" s="6"/>
      <c r="THA41" s="6"/>
      <c r="THB41" s="6"/>
      <c r="THC41" s="6"/>
      <c r="THD41" s="6"/>
      <c r="THE41" s="6"/>
      <c r="THF41" s="6"/>
      <c r="THG41" s="6"/>
      <c r="THH41" s="6"/>
      <c r="THI41" s="6"/>
      <c r="THJ41" s="6"/>
      <c r="THK41" s="6"/>
      <c r="THL41" s="6"/>
      <c r="THM41" s="6"/>
      <c r="THN41" s="6"/>
      <c r="THO41" s="6"/>
      <c r="THP41" s="6"/>
      <c r="THQ41" s="6"/>
      <c r="THR41" s="6"/>
      <c r="THS41" s="6"/>
      <c r="THT41" s="6"/>
      <c r="THU41" s="6"/>
      <c r="THV41" s="6"/>
      <c r="THW41" s="6"/>
      <c r="THX41" s="6"/>
      <c r="THY41" s="6"/>
      <c r="THZ41" s="6"/>
      <c r="TIA41" s="6"/>
      <c r="TIB41" s="6"/>
      <c r="TIC41" s="6"/>
      <c r="TID41" s="6"/>
      <c r="TIE41" s="6"/>
      <c r="TIF41" s="6"/>
      <c r="TIG41" s="6"/>
      <c r="TIH41" s="6"/>
      <c r="TII41" s="6"/>
      <c r="TIJ41" s="6"/>
      <c r="TIK41" s="6"/>
      <c r="TIL41" s="6"/>
      <c r="TIM41" s="6"/>
      <c r="TIN41" s="6"/>
      <c r="TIO41" s="6"/>
      <c r="TIP41" s="6"/>
      <c r="TIQ41" s="6"/>
      <c r="TIR41" s="6"/>
      <c r="TIS41" s="6"/>
      <c r="TIT41" s="6"/>
      <c r="TIU41" s="6"/>
      <c r="TIV41" s="6"/>
      <c r="TIW41" s="6"/>
      <c r="TIX41" s="6"/>
      <c r="TIY41" s="6"/>
      <c r="TIZ41" s="6"/>
      <c r="TJA41" s="6"/>
      <c r="TJB41" s="6"/>
      <c r="TJC41" s="6"/>
      <c r="TJD41" s="6"/>
      <c r="TJE41" s="6"/>
      <c r="TJF41" s="6"/>
      <c r="TJG41" s="6"/>
      <c r="TJH41" s="6"/>
      <c r="TJI41" s="6"/>
      <c r="TJJ41" s="6"/>
      <c r="TJK41" s="6"/>
      <c r="TJL41" s="6"/>
      <c r="TJM41" s="6"/>
      <c r="TJN41" s="6"/>
      <c r="TJO41" s="6"/>
      <c r="TJP41" s="6"/>
      <c r="TJQ41" s="6"/>
      <c r="TJR41" s="6"/>
      <c r="TJS41" s="6"/>
      <c r="TJT41" s="6"/>
      <c r="TJU41" s="6"/>
      <c r="TJV41" s="6"/>
      <c r="TJW41" s="6"/>
      <c r="TJX41" s="6"/>
      <c r="TJY41" s="6"/>
      <c r="TJZ41" s="6"/>
      <c r="TKA41" s="6"/>
      <c r="TKB41" s="6"/>
      <c r="TKC41" s="6"/>
      <c r="TKD41" s="6"/>
      <c r="TKE41" s="6"/>
      <c r="TKF41" s="6"/>
      <c r="TKG41" s="6"/>
      <c r="TKH41" s="6"/>
      <c r="TKI41" s="6"/>
      <c r="TKJ41" s="6"/>
      <c r="TKK41" s="6"/>
      <c r="TKL41" s="6"/>
      <c r="TKM41" s="6"/>
      <c r="TKN41" s="6"/>
      <c r="TKO41" s="6"/>
      <c r="TKP41" s="6"/>
      <c r="TKQ41" s="6"/>
      <c r="TKR41" s="6"/>
      <c r="TKS41" s="6"/>
      <c r="TKT41" s="6"/>
      <c r="TKU41" s="6"/>
      <c r="TKV41" s="6"/>
      <c r="TKW41" s="6"/>
      <c r="TKX41" s="6"/>
      <c r="TKY41" s="6"/>
      <c r="TKZ41" s="6"/>
      <c r="TLA41" s="6"/>
      <c r="TLB41" s="6"/>
      <c r="TLC41" s="6"/>
      <c r="TLD41" s="6"/>
      <c r="TLE41" s="6"/>
      <c r="TLF41" s="6"/>
      <c r="TLG41" s="6"/>
      <c r="TLH41" s="6"/>
      <c r="TLI41" s="6"/>
      <c r="TLJ41" s="6"/>
      <c r="TLK41" s="6"/>
      <c r="TLL41" s="6"/>
      <c r="TLM41" s="6"/>
      <c r="TLN41" s="6"/>
      <c r="TLO41" s="6"/>
      <c r="TLP41" s="6"/>
      <c r="TLQ41" s="6"/>
      <c r="TLR41" s="6"/>
      <c r="TLS41" s="6"/>
      <c r="TLT41" s="6"/>
      <c r="TLU41" s="6"/>
      <c r="TLV41" s="6"/>
      <c r="TLW41" s="6"/>
      <c r="TLX41" s="6"/>
      <c r="TLY41" s="6"/>
      <c r="TLZ41" s="6"/>
      <c r="TMA41" s="6"/>
      <c r="TMB41" s="6"/>
      <c r="TMC41" s="6"/>
      <c r="TMD41" s="6"/>
      <c r="TME41" s="6"/>
      <c r="TMF41" s="6"/>
      <c r="TMG41" s="6"/>
      <c r="TMH41" s="6"/>
      <c r="TMI41" s="6"/>
      <c r="TMJ41" s="6"/>
      <c r="TMK41" s="6"/>
      <c r="TML41" s="6"/>
      <c r="TMM41" s="6"/>
      <c r="TMN41" s="6"/>
      <c r="TMO41" s="6"/>
      <c r="TMP41" s="6"/>
      <c r="TMQ41" s="6"/>
      <c r="TMR41" s="6"/>
      <c r="TMS41" s="6"/>
      <c r="TMT41" s="6"/>
      <c r="TMU41" s="6"/>
      <c r="TMV41" s="6"/>
      <c r="TMW41" s="6"/>
      <c r="TMX41" s="6"/>
      <c r="TMY41" s="6"/>
      <c r="TMZ41" s="6"/>
      <c r="TNA41" s="6"/>
      <c r="TNB41" s="6"/>
      <c r="TNC41" s="6"/>
      <c r="TND41" s="6"/>
      <c r="TNE41" s="6"/>
      <c r="TNF41" s="6"/>
      <c r="TNG41" s="6"/>
      <c r="TNH41" s="6"/>
      <c r="TNI41" s="6"/>
      <c r="TNJ41" s="6"/>
      <c r="TNK41" s="6"/>
      <c r="TNL41" s="6"/>
      <c r="TNM41" s="6"/>
      <c r="TNN41" s="6"/>
      <c r="TNO41" s="6"/>
      <c r="TNP41" s="6"/>
      <c r="TNQ41" s="6"/>
      <c r="TNR41" s="6"/>
      <c r="TNS41" s="6"/>
      <c r="TNT41" s="6"/>
      <c r="TNU41" s="6"/>
      <c r="TNV41" s="6"/>
      <c r="TNW41" s="6"/>
      <c r="TNX41" s="6"/>
      <c r="TNY41" s="6"/>
      <c r="TNZ41" s="6"/>
      <c r="TOA41" s="6"/>
      <c r="TOB41" s="6"/>
      <c r="TOC41" s="6"/>
      <c r="TOD41" s="6"/>
      <c r="TOE41" s="6"/>
      <c r="TOF41" s="6"/>
      <c r="TOG41" s="6"/>
      <c r="TOH41" s="6"/>
      <c r="TOI41" s="6"/>
      <c r="TOJ41" s="6"/>
      <c r="TOK41" s="6"/>
      <c r="TOL41" s="6"/>
      <c r="TOM41" s="6"/>
      <c r="TON41" s="6"/>
      <c r="TOO41" s="6"/>
      <c r="TOP41" s="6"/>
      <c r="TOQ41" s="6"/>
      <c r="TOR41" s="6"/>
      <c r="TOS41" s="6"/>
      <c r="TOT41" s="6"/>
      <c r="TOU41" s="6"/>
      <c r="TOV41" s="6"/>
      <c r="TOW41" s="6"/>
      <c r="TOX41" s="6"/>
      <c r="TOY41" s="6"/>
      <c r="TOZ41" s="6"/>
      <c r="TPA41" s="6"/>
      <c r="TPB41" s="6"/>
      <c r="TPC41" s="6"/>
      <c r="TPD41" s="6"/>
      <c r="TPE41" s="6"/>
      <c r="TPF41" s="6"/>
      <c r="TPG41" s="6"/>
      <c r="TPH41" s="6"/>
      <c r="TPI41" s="6"/>
      <c r="TPJ41" s="6"/>
      <c r="TPK41" s="6"/>
      <c r="TPL41" s="6"/>
      <c r="TPM41" s="6"/>
      <c r="TPN41" s="6"/>
      <c r="TPO41" s="6"/>
      <c r="TPP41" s="6"/>
      <c r="TPQ41" s="6"/>
      <c r="TPR41" s="6"/>
      <c r="TPS41" s="6"/>
      <c r="TPT41" s="6"/>
      <c r="TPU41" s="6"/>
      <c r="TPV41" s="6"/>
      <c r="TPW41" s="6"/>
      <c r="TPX41" s="6"/>
      <c r="TPY41" s="6"/>
      <c r="TPZ41" s="6"/>
      <c r="TQA41" s="6"/>
      <c r="TQB41" s="6"/>
      <c r="TQC41" s="6"/>
      <c r="TQD41" s="6"/>
      <c r="TQE41" s="6"/>
      <c r="TQF41" s="6"/>
      <c r="TQG41" s="6"/>
      <c r="TQH41" s="6"/>
      <c r="TQI41" s="6"/>
      <c r="TQJ41" s="6"/>
      <c r="TQK41" s="6"/>
      <c r="TQL41" s="6"/>
      <c r="TQM41" s="6"/>
      <c r="TQN41" s="6"/>
      <c r="TQO41" s="6"/>
      <c r="TQP41" s="6"/>
      <c r="TQQ41" s="6"/>
      <c r="TQR41" s="6"/>
      <c r="TQS41" s="6"/>
      <c r="TQT41" s="6"/>
      <c r="TQU41" s="6"/>
      <c r="TQV41" s="6"/>
      <c r="TQW41" s="6"/>
      <c r="TQX41" s="6"/>
      <c r="TQY41" s="6"/>
      <c r="TQZ41" s="6"/>
      <c r="TRA41" s="6"/>
      <c r="TRB41" s="6"/>
      <c r="TRC41" s="6"/>
      <c r="TRD41" s="6"/>
      <c r="TRE41" s="6"/>
      <c r="TRF41" s="6"/>
      <c r="TRG41" s="6"/>
      <c r="TRH41" s="6"/>
      <c r="TRI41" s="6"/>
      <c r="TRJ41" s="6"/>
      <c r="TRK41" s="6"/>
      <c r="TRL41" s="6"/>
      <c r="TRM41" s="6"/>
      <c r="TRN41" s="6"/>
      <c r="TRO41" s="6"/>
      <c r="TRP41" s="6"/>
      <c r="TRQ41" s="6"/>
      <c r="TRR41" s="6"/>
      <c r="TRS41" s="6"/>
      <c r="TRT41" s="6"/>
      <c r="TRU41" s="6"/>
      <c r="TRV41" s="6"/>
      <c r="TRW41" s="6"/>
      <c r="TRX41" s="6"/>
      <c r="TRY41" s="6"/>
      <c r="TRZ41" s="6"/>
      <c r="TSA41" s="6"/>
      <c r="TSB41" s="6"/>
      <c r="TSC41" s="6"/>
      <c r="TSD41" s="6"/>
      <c r="TSE41" s="6"/>
      <c r="TSF41" s="6"/>
      <c r="TSG41" s="6"/>
      <c r="TSH41" s="6"/>
      <c r="TSI41" s="6"/>
      <c r="TSJ41" s="6"/>
      <c r="TSK41" s="6"/>
      <c r="TSL41" s="6"/>
      <c r="TSM41" s="6"/>
      <c r="TSN41" s="6"/>
      <c r="TSO41" s="6"/>
      <c r="TSP41" s="6"/>
      <c r="TSQ41" s="6"/>
      <c r="TSR41" s="6"/>
      <c r="TSS41" s="6"/>
      <c r="TST41" s="6"/>
      <c r="TSU41" s="6"/>
      <c r="TSV41" s="6"/>
      <c r="TSW41" s="6"/>
      <c r="TSX41" s="6"/>
      <c r="TSY41" s="6"/>
      <c r="TSZ41" s="6"/>
      <c r="TTA41" s="6"/>
      <c r="TTB41" s="6"/>
      <c r="TTC41" s="6"/>
      <c r="TTD41" s="6"/>
      <c r="TTE41" s="6"/>
      <c r="TTF41" s="6"/>
      <c r="TTG41" s="6"/>
      <c r="TTH41" s="6"/>
      <c r="TTI41" s="6"/>
      <c r="TTJ41" s="6"/>
      <c r="TTK41" s="6"/>
      <c r="TTL41" s="6"/>
      <c r="TTM41" s="6"/>
      <c r="TTN41" s="6"/>
      <c r="TTO41" s="6"/>
      <c r="TTP41" s="6"/>
      <c r="TTQ41" s="6"/>
      <c r="TTR41" s="6"/>
      <c r="TTS41" s="6"/>
      <c r="TTT41" s="6"/>
      <c r="TTU41" s="6"/>
      <c r="TTV41" s="6"/>
      <c r="TTW41" s="6"/>
      <c r="TTX41" s="6"/>
      <c r="TTY41" s="6"/>
      <c r="TTZ41" s="6"/>
      <c r="TUA41" s="6"/>
      <c r="TUB41" s="6"/>
      <c r="TUC41" s="6"/>
      <c r="TUD41" s="6"/>
      <c r="TUE41" s="6"/>
      <c r="TUF41" s="6"/>
      <c r="TUG41" s="6"/>
      <c r="TUH41" s="6"/>
      <c r="TUI41" s="6"/>
      <c r="TUJ41" s="6"/>
      <c r="TUK41" s="6"/>
      <c r="TUL41" s="6"/>
      <c r="TUM41" s="6"/>
      <c r="TUN41" s="6"/>
      <c r="TUO41" s="6"/>
      <c r="TUP41" s="6"/>
      <c r="TUQ41" s="6"/>
      <c r="TUR41" s="6"/>
      <c r="TUS41" s="6"/>
      <c r="TUT41" s="6"/>
      <c r="TUU41" s="6"/>
      <c r="TUV41" s="6"/>
      <c r="TUW41" s="6"/>
      <c r="TUX41" s="6"/>
      <c r="TUY41" s="6"/>
      <c r="TUZ41" s="6"/>
      <c r="TVA41" s="6"/>
      <c r="TVB41" s="6"/>
      <c r="TVC41" s="6"/>
      <c r="TVD41" s="6"/>
      <c r="TVE41" s="6"/>
      <c r="TVF41" s="6"/>
      <c r="TVG41" s="6"/>
      <c r="TVH41" s="6"/>
      <c r="TVI41" s="6"/>
      <c r="TVJ41" s="6"/>
      <c r="TVK41" s="6"/>
      <c r="TVL41" s="6"/>
      <c r="TVM41" s="6"/>
      <c r="TVN41" s="6"/>
      <c r="TVO41" s="6"/>
      <c r="TVP41" s="6"/>
      <c r="TVQ41" s="6"/>
      <c r="TVR41" s="6"/>
      <c r="TVS41" s="6"/>
      <c r="TVT41" s="6"/>
      <c r="TVU41" s="6"/>
      <c r="TVV41" s="6"/>
      <c r="TVW41" s="6"/>
      <c r="TVX41" s="6"/>
      <c r="TVY41" s="6"/>
      <c r="TVZ41" s="6"/>
      <c r="TWA41" s="6"/>
      <c r="TWB41" s="6"/>
      <c r="TWC41" s="6"/>
      <c r="TWD41" s="6"/>
      <c r="TWE41" s="6"/>
      <c r="TWF41" s="6"/>
      <c r="TWG41" s="6"/>
      <c r="TWH41" s="6"/>
      <c r="TWI41" s="6"/>
      <c r="TWJ41" s="6"/>
      <c r="TWK41" s="6"/>
      <c r="TWL41" s="6"/>
      <c r="TWM41" s="6"/>
      <c r="TWN41" s="6"/>
      <c r="TWO41" s="6"/>
      <c r="TWP41" s="6"/>
      <c r="TWQ41" s="6"/>
      <c r="TWR41" s="6"/>
      <c r="TWS41" s="6"/>
      <c r="TWT41" s="6"/>
      <c r="TWU41" s="6"/>
      <c r="TWV41" s="6"/>
      <c r="TWW41" s="6"/>
      <c r="TWX41" s="6"/>
      <c r="TWY41" s="6"/>
      <c r="TWZ41" s="6"/>
      <c r="TXA41" s="6"/>
      <c r="TXB41" s="6"/>
      <c r="TXC41" s="6"/>
      <c r="TXD41" s="6"/>
      <c r="TXE41" s="6"/>
      <c r="TXF41" s="6"/>
      <c r="TXG41" s="6"/>
      <c r="TXH41" s="6"/>
      <c r="TXI41" s="6"/>
      <c r="TXJ41" s="6"/>
      <c r="TXK41" s="6"/>
      <c r="TXL41" s="6"/>
      <c r="TXM41" s="6"/>
      <c r="TXN41" s="6"/>
      <c r="TXO41" s="6"/>
      <c r="TXP41" s="6"/>
      <c r="TXQ41" s="6"/>
      <c r="TXR41" s="6"/>
      <c r="TXS41" s="6"/>
      <c r="TXT41" s="6"/>
      <c r="TXU41" s="6"/>
      <c r="TXV41" s="6"/>
      <c r="TXW41" s="6"/>
      <c r="TXX41" s="6"/>
      <c r="TXY41" s="6"/>
      <c r="TXZ41" s="6"/>
      <c r="TYA41" s="6"/>
      <c r="TYB41" s="6"/>
      <c r="TYC41" s="6"/>
      <c r="TYD41" s="6"/>
      <c r="TYE41" s="6"/>
      <c r="TYF41" s="6"/>
      <c r="TYG41" s="6"/>
      <c r="TYH41" s="6"/>
      <c r="TYI41" s="6"/>
      <c r="TYJ41" s="6"/>
      <c r="TYK41" s="6"/>
      <c r="TYL41" s="6"/>
      <c r="TYM41" s="6"/>
      <c r="TYN41" s="6"/>
      <c r="TYO41" s="6"/>
      <c r="TYP41" s="6"/>
      <c r="TYQ41" s="6"/>
      <c r="TYR41" s="6"/>
      <c r="TYS41" s="6"/>
      <c r="TYT41" s="6"/>
      <c r="TYU41" s="6"/>
      <c r="TYV41" s="6"/>
      <c r="TYW41" s="6"/>
      <c r="TYX41" s="6"/>
      <c r="TYY41" s="6"/>
      <c r="TYZ41" s="6"/>
      <c r="TZA41" s="6"/>
      <c r="TZB41" s="6"/>
      <c r="TZC41" s="6"/>
      <c r="TZD41" s="6"/>
      <c r="TZE41" s="6"/>
      <c r="TZF41" s="6"/>
      <c r="TZG41" s="6"/>
      <c r="TZH41" s="6"/>
      <c r="TZI41" s="6"/>
      <c r="TZJ41" s="6"/>
      <c r="TZK41" s="6"/>
      <c r="TZL41" s="6"/>
      <c r="TZM41" s="6"/>
      <c r="TZN41" s="6"/>
      <c r="TZO41" s="6"/>
      <c r="TZP41" s="6"/>
      <c r="TZQ41" s="6"/>
      <c r="TZR41" s="6"/>
      <c r="TZS41" s="6"/>
      <c r="TZT41" s="6"/>
      <c r="TZU41" s="6"/>
      <c r="TZV41" s="6"/>
      <c r="TZW41" s="6"/>
      <c r="TZX41" s="6"/>
      <c r="TZY41" s="6"/>
      <c r="TZZ41" s="6"/>
      <c r="UAA41" s="6"/>
      <c r="UAB41" s="6"/>
      <c r="UAC41" s="6"/>
      <c r="UAD41" s="6"/>
      <c r="UAE41" s="6"/>
      <c r="UAF41" s="6"/>
      <c r="UAG41" s="6"/>
      <c r="UAH41" s="6"/>
      <c r="UAI41" s="6"/>
      <c r="UAJ41" s="6"/>
      <c r="UAK41" s="6"/>
      <c r="UAL41" s="6"/>
      <c r="UAM41" s="6"/>
      <c r="UAN41" s="6"/>
      <c r="UAO41" s="6"/>
      <c r="UAP41" s="6"/>
      <c r="UAQ41" s="6"/>
      <c r="UAR41" s="6"/>
      <c r="UAS41" s="6"/>
      <c r="UAT41" s="6"/>
      <c r="UAU41" s="6"/>
      <c r="UAV41" s="6"/>
      <c r="UAW41" s="6"/>
      <c r="UAX41" s="6"/>
      <c r="UAY41" s="6"/>
      <c r="UAZ41" s="6"/>
      <c r="UBA41" s="6"/>
      <c r="UBB41" s="6"/>
      <c r="UBC41" s="6"/>
      <c r="UBD41" s="6"/>
      <c r="UBE41" s="6"/>
      <c r="UBF41" s="6"/>
      <c r="UBG41" s="6"/>
      <c r="UBH41" s="6"/>
      <c r="UBI41" s="6"/>
      <c r="UBJ41" s="6"/>
      <c r="UBK41" s="6"/>
      <c r="UBL41" s="6"/>
      <c r="UBM41" s="6"/>
      <c r="UBN41" s="6"/>
      <c r="UBO41" s="6"/>
      <c r="UBP41" s="6"/>
      <c r="UBQ41" s="6"/>
      <c r="UBR41" s="6"/>
      <c r="UBS41" s="6"/>
      <c r="UBT41" s="6"/>
      <c r="UBU41" s="6"/>
      <c r="UBV41" s="6"/>
      <c r="UBW41" s="6"/>
      <c r="UBX41" s="6"/>
      <c r="UBY41" s="6"/>
      <c r="UBZ41" s="6"/>
      <c r="UCA41" s="6"/>
      <c r="UCB41" s="6"/>
      <c r="UCC41" s="6"/>
      <c r="UCD41" s="6"/>
      <c r="UCE41" s="6"/>
      <c r="UCF41" s="6"/>
      <c r="UCG41" s="6"/>
      <c r="UCH41" s="6"/>
      <c r="UCI41" s="6"/>
      <c r="UCJ41" s="6"/>
      <c r="UCK41" s="6"/>
      <c r="UCL41" s="6"/>
      <c r="UCM41" s="6"/>
      <c r="UCN41" s="6"/>
      <c r="UCO41" s="6"/>
      <c r="UCP41" s="6"/>
      <c r="UCQ41" s="6"/>
      <c r="UCR41" s="6"/>
      <c r="UCS41" s="6"/>
      <c r="UCT41" s="6"/>
      <c r="UCU41" s="6"/>
      <c r="UCV41" s="6"/>
      <c r="UCW41" s="6"/>
      <c r="UCX41" s="6"/>
      <c r="UCY41" s="6"/>
      <c r="UCZ41" s="6"/>
      <c r="UDA41" s="6"/>
      <c r="UDB41" s="6"/>
      <c r="UDC41" s="6"/>
      <c r="UDD41" s="6"/>
      <c r="UDE41" s="6"/>
      <c r="UDF41" s="6"/>
      <c r="UDG41" s="6"/>
      <c r="UDH41" s="6"/>
      <c r="UDI41" s="6"/>
      <c r="UDJ41" s="6"/>
      <c r="UDK41" s="6"/>
      <c r="UDL41" s="6"/>
      <c r="UDM41" s="6"/>
      <c r="UDN41" s="6"/>
      <c r="UDO41" s="6"/>
      <c r="UDP41" s="6"/>
      <c r="UDQ41" s="6"/>
      <c r="UDR41" s="6"/>
      <c r="UDS41" s="6"/>
      <c r="UDT41" s="6"/>
      <c r="UDU41" s="6"/>
      <c r="UDV41" s="6"/>
      <c r="UDW41" s="6"/>
      <c r="UDX41" s="6"/>
      <c r="UDY41" s="6"/>
      <c r="UDZ41" s="6"/>
      <c r="UEA41" s="6"/>
      <c r="UEB41" s="6"/>
      <c r="UEC41" s="6"/>
      <c r="UED41" s="6"/>
      <c r="UEE41" s="6"/>
      <c r="UEF41" s="6"/>
      <c r="UEG41" s="6"/>
      <c r="UEH41" s="6"/>
      <c r="UEI41" s="6"/>
      <c r="UEJ41" s="6"/>
      <c r="UEK41" s="6"/>
      <c r="UEL41" s="6"/>
      <c r="UEM41" s="6"/>
      <c r="UEN41" s="6"/>
      <c r="UEO41" s="6"/>
      <c r="UEP41" s="6"/>
      <c r="UEQ41" s="6"/>
      <c r="UER41" s="6"/>
      <c r="UES41" s="6"/>
      <c r="UET41" s="6"/>
      <c r="UEU41" s="6"/>
      <c r="UEV41" s="6"/>
      <c r="UEW41" s="6"/>
      <c r="UEX41" s="6"/>
      <c r="UEY41" s="6"/>
      <c r="UEZ41" s="6"/>
      <c r="UFA41" s="6"/>
      <c r="UFB41" s="6"/>
      <c r="UFC41" s="6"/>
      <c r="UFD41" s="6"/>
      <c r="UFE41" s="6"/>
      <c r="UFF41" s="6"/>
      <c r="UFG41" s="6"/>
      <c r="UFH41" s="6"/>
      <c r="UFI41" s="6"/>
      <c r="UFJ41" s="6"/>
      <c r="UFK41" s="6"/>
      <c r="UFL41" s="6"/>
      <c r="UFM41" s="6"/>
      <c r="UFN41" s="6"/>
      <c r="UFO41" s="6"/>
      <c r="UFP41" s="6"/>
      <c r="UFQ41" s="6"/>
      <c r="UFR41" s="6"/>
      <c r="UFS41" s="6"/>
      <c r="UFT41" s="6"/>
      <c r="UFU41" s="6"/>
      <c r="UFV41" s="6"/>
      <c r="UFW41" s="6"/>
      <c r="UFX41" s="6"/>
      <c r="UFY41" s="6"/>
      <c r="UFZ41" s="6"/>
      <c r="UGA41" s="6"/>
      <c r="UGB41" s="6"/>
      <c r="UGC41" s="6"/>
      <c r="UGD41" s="6"/>
      <c r="UGE41" s="6"/>
      <c r="UGF41" s="6"/>
      <c r="UGG41" s="6"/>
      <c r="UGH41" s="6"/>
      <c r="UGI41" s="6"/>
      <c r="UGJ41" s="6"/>
      <c r="UGK41" s="6"/>
      <c r="UGL41" s="6"/>
      <c r="UGM41" s="6"/>
      <c r="UGN41" s="6"/>
      <c r="UGO41" s="6"/>
      <c r="UGP41" s="6"/>
      <c r="UGQ41" s="6"/>
      <c r="UGR41" s="6"/>
      <c r="UGS41" s="6"/>
      <c r="UGT41" s="6"/>
      <c r="UGU41" s="6"/>
      <c r="UGV41" s="6"/>
      <c r="UGW41" s="6"/>
      <c r="UGX41" s="6"/>
      <c r="UGY41" s="6"/>
      <c r="UGZ41" s="6"/>
      <c r="UHA41" s="6"/>
      <c r="UHB41" s="6"/>
      <c r="UHC41" s="6"/>
      <c r="UHD41" s="6"/>
      <c r="UHE41" s="6"/>
      <c r="UHF41" s="6"/>
      <c r="UHG41" s="6"/>
      <c r="UHH41" s="6"/>
      <c r="UHI41" s="6"/>
      <c r="UHJ41" s="6"/>
      <c r="UHK41" s="6"/>
      <c r="UHL41" s="6"/>
      <c r="UHM41" s="6"/>
      <c r="UHN41" s="6"/>
      <c r="UHO41" s="6"/>
      <c r="UHP41" s="6"/>
      <c r="UHQ41" s="6"/>
      <c r="UHR41" s="6"/>
      <c r="UHS41" s="6"/>
      <c r="UHT41" s="6"/>
      <c r="UHU41" s="6"/>
      <c r="UHV41" s="6"/>
      <c r="UHW41" s="6"/>
      <c r="UHX41" s="6"/>
      <c r="UHY41" s="6"/>
      <c r="UHZ41" s="6"/>
      <c r="UIA41" s="6"/>
      <c r="UIB41" s="6"/>
      <c r="UIC41" s="6"/>
      <c r="UID41" s="6"/>
      <c r="UIE41" s="6"/>
      <c r="UIF41" s="6"/>
      <c r="UIG41" s="6"/>
      <c r="UIH41" s="6"/>
      <c r="UII41" s="6"/>
      <c r="UIJ41" s="6"/>
      <c r="UIK41" s="6"/>
      <c r="UIL41" s="6"/>
      <c r="UIM41" s="6"/>
      <c r="UIN41" s="6"/>
      <c r="UIO41" s="6"/>
      <c r="UIP41" s="6"/>
      <c r="UIQ41" s="6"/>
      <c r="UIR41" s="6"/>
      <c r="UIS41" s="6"/>
      <c r="UIT41" s="6"/>
      <c r="UIU41" s="6"/>
      <c r="UIV41" s="6"/>
      <c r="UIW41" s="6"/>
      <c r="UIX41" s="6"/>
      <c r="UIY41" s="6"/>
      <c r="UIZ41" s="6"/>
      <c r="UJA41" s="6"/>
      <c r="UJB41" s="6"/>
      <c r="UJC41" s="6"/>
      <c r="UJD41" s="6"/>
      <c r="UJE41" s="6"/>
      <c r="UJF41" s="6"/>
      <c r="UJG41" s="6"/>
      <c r="UJH41" s="6"/>
      <c r="UJI41" s="6"/>
      <c r="UJJ41" s="6"/>
      <c r="UJK41" s="6"/>
      <c r="UJL41" s="6"/>
      <c r="UJM41" s="6"/>
      <c r="UJN41" s="6"/>
      <c r="UJO41" s="6"/>
      <c r="UJP41" s="6"/>
      <c r="UJQ41" s="6"/>
      <c r="UJR41" s="6"/>
      <c r="UJS41" s="6"/>
      <c r="UJT41" s="6"/>
      <c r="UJU41" s="6"/>
      <c r="UJV41" s="6"/>
      <c r="UJW41" s="6"/>
      <c r="UJX41" s="6"/>
      <c r="UJY41" s="6"/>
      <c r="UJZ41" s="6"/>
      <c r="UKA41" s="6"/>
      <c r="UKB41" s="6"/>
      <c r="UKC41" s="6"/>
      <c r="UKD41" s="6"/>
      <c r="UKE41" s="6"/>
      <c r="UKF41" s="6"/>
      <c r="UKG41" s="6"/>
      <c r="UKH41" s="6"/>
      <c r="UKI41" s="6"/>
      <c r="UKJ41" s="6"/>
      <c r="UKK41" s="6"/>
      <c r="UKL41" s="6"/>
      <c r="UKM41" s="6"/>
      <c r="UKN41" s="6"/>
      <c r="UKO41" s="6"/>
      <c r="UKP41" s="6"/>
      <c r="UKQ41" s="6"/>
      <c r="UKR41" s="6"/>
      <c r="UKS41" s="6"/>
      <c r="UKT41" s="6"/>
      <c r="UKU41" s="6"/>
      <c r="UKV41" s="6"/>
      <c r="UKW41" s="6"/>
      <c r="UKX41" s="6"/>
      <c r="UKY41" s="6"/>
      <c r="UKZ41" s="6"/>
      <c r="ULA41" s="6"/>
      <c r="ULB41" s="6"/>
      <c r="ULC41" s="6"/>
      <c r="ULD41" s="6"/>
      <c r="ULE41" s="6"/>
      <c r="ULF41" s="6"/>
      <c r="ULG41" s="6"/>
      <c r="ULH41" s="6"/>
      <c r="ULI41" s="6"/>
      <c r="ULJ41" s="6"/>
      <c r="ULK41" s="6"/>
      <c r="ULL41" s="6"/>
      <c r="ULM41" s="6"/>
      <c r="ULN41" s="6"/>
      <c r="ULO41" s="6"/>
      <c r="ULP41" s="6"/>
      <c r="ULQ41" s="6"/>
      <c r="ULR41" s="6"/>
      <c r="ULS41" s="6"/>
      <c r="ULT41" s="6"/>
      <c r="ULU41" s="6"/>
      <c r="ULV41" s="6"/>
      <c r="ULW41" s="6"/>
      <c r="ULX41" s="6"/>
      <c r="ULY41" s="6"/>
      <c r="ULZ41" s="6"/>
      <c r="UMA41" s="6"/>
      <c r="UMB41" s="6"/>
      <c r="UMC41" s="6"/>
      <c r="UMD41" s="6"/>
      <c r="UME41" s="6"/>
      <c r="UMF41" s="6"/>
      <c r="UMG41" s="6"/>
      <c r="UMH41" s="6"/>
      <c r="UMI41" s="6"/>
      <c r="UMJ41" s="6"/>
      <c r="UMK41" s="6"/>
      <c r="UML41" s="6"/>
      <c r="UMM41" s="6"/>
      <c r="UMN41" s="6"/>
      <c r="UMO41" s="6"/>
      <c r="UMP41" s="6"/>
      <c r="UMQ41" s="6"/>
      <c r="UMR41" s="6"/>
      <c r="UMS41" s="6"/>
      <c r="UMT41" s="6"/>
      <c r="UMU41" s="6"/>
      <c r="UMV41" s="6"/>
      <c r="UMW41" s="6"/>
      <c r="UMX41" s="6"/>
      <c r="UMY41" s="6"/>
      <c r="UMZ41" s="6"/>
      <c r="UNA41" s="6"/>
      <c r="UNB41" s="6"/>
      <c r="UNC41" s="6"/>
      <c r="UND41" s="6"/>
      <c r="UNE41" s="6"/>
      <c r="UNF41" s="6"/>
      <c r="UNG41" s="6"/>
      <c r="UNH41" s="6"/>
      <c r="UNI41" s="6"/>
      <c r="UNJ41" s="6"/>
      <c r="UNK41" s="6"/>
      <c r="UNL41" s="6"/>
      <c r="UNM41" s="6"/>
      <c r="UNN41" s="6"/>
      <c r="UNO41" s="6"/>
      <c r="UNP41" s="6"/>
      <c r="UNQ41" s="6"/>
      <c r="UNR41" s="6"/>
      <c r="UNS41" s="6"/>
      <c r="UNT41" s="6"/>
      <c r="UNU41" s="6"/>
      <c r="UNV41" s="6"/>
      <c r="UNW41" s="6"/>
      <c r="UNX41" s="6"/>
      <c r="UNY41" s="6"/>
      <c r="UNZ41" s="6"/>
      <c r="UOA41" s="6"/>
      <c r="UOB41" s="6"/>
      <c r="UOC41" s="6"/>
      <c r="UOD41" s="6"/>
      <c r="UOE41" s="6"/>
      <c r="UOF41" s="6"/>
      <c r="UOG41" s="6"/>
      <c r="UOH41" s="6"/>
      <c r="UOI41" s="6"/>
      <c r="UOJ41" s="6"/>
      <c r="UOK41" s="6"/>
      <c r="UOL41" s="6"/>
      <c r="UOM41" s="6"/>
      <c r="UON41" s="6"/>
      <c r="UOO41" s="6"/>
      <c r="UOP41" s="6"/>
      <c r="UOQ41" s="6"/>
      <c r="UOR41" s="6"/>
      <c r="UOS41" s="6"/>
      <c r="UOT41" s="6"/>
      <c r="UOU41" s="6"/>
      <c r="UOV41" s="6"/>
      <c r="UOW41" s="6"/>
      <c r="UOX41" s="6"/>
      <c r="UOY41" s="6"/>
      <c r="UOZ41" s="6"/>
      <c r="UPA41" s="6"/>
      <c r="UPB41" s="6"/>
      <c r="UPC41" s="6"/>
      <c r="UPD41" s="6"/>
      <c r="UPE41" s="6"/>
      <c r="UPF41" s="6"/>
      <c r="UPG41" s="6"/>
      <c r="UPH41" s="6"/>
      <c r="UPI41" s="6"/>
      <c r="UPJ41" s="6"/>
      <c r="UPK41" s="6"/>
      <c r="UPL41" s="6"/>
      <c r="UPM41" s="6"/>
      <c r="UPN41" s="6"/>
      <c r="UPO41" s="6"/>
      <c r="UPP41" s="6"/>
      <c r="UPQ41" s="6"/>
      <c r="UPR41" s="6"/>
      <c r="UPS41" s="6"/>
      <c r="UPT41" s="6"/>
      <c r="UPU41" s="6"/>
      <c r="UPV41" s="6"/>
      <c r="UPW41" s="6"/>
      <c r="UPX41" s="6"/>
      <c r="UPY41" s="6"/>
      <c r="UPZ41" s="6"/>
      <c r="UQA41" s="6"/>
      <c r="UQB41" s="6"/>
      <c r="UQC41" s="6"/>
      <c r="UQD41" s="6"/>
      <c r="UQE41" s="6"/>
      <c r="UQF41" s="6"/>
      <c r="UQG41" s="6"/>
      <c r="UQH41" s="6"/>
      <c r="UQI41" s="6"/>
      <c r="UQJ41" s="6"/>
      <c r="UQK41" s="6"/>
      <c r="UQL41" s="6"/>
      <c r="UQM41" s="6"/>
      <c r="UQN41" s="6"/>
      <c r="UQO41" s="6"/>
      <c r="UQP41" s="6"/>
      <c r="UQQ41" s="6"/>
      <c r="UQR41" s="6"/>
      <c r="UQS41" s="6"/>
      <c r="UQT41" s="6"/>
      <c r="UQU41" s="6"/>
      <c r="UQV41" s="6"/>
      <c r="UQW41" s="6"/>
      <c r="UQX41" s="6"/>
      <c r="UQY41" s="6"/>
      <c r="UQZ41" s="6"/>
      <c r="URA41" s="6"/>
      <c r="URB41" s="6"/>
      <c r="URC41" s="6"/>
      <c r="URD41" s="6"/>
      <c r="URE41" s="6"/>
      <c r="URF41" s="6"/>
      <c r="URG41" s="6"/>
      <c r="URH41" s="6"/>
      <c r="URI41" s="6"/>
      <c r="URJ41" s="6"/>
      <c r="URK41" s="6"/>
      <c r="URL41" s="6"/>
      <c r="URM41" s="6"/>
      <c r="URN41" s="6"/>
      <c r="URO41" s="6"/>
      <c r="URP41" s="6"/>
      <c r="URQ41" s="6"/>
      <c r="URR41" s="6"/>
      <c r="URS41" s="6"/>
      <c r="URT41" s="6"/>
      <c r="URU41" s="6"/>
      <c r="URV41" s="6"/>
      <c r="URW41" s="6"/>
      <c r="URX41" s="6"/>
      <c r="URY41" s="6"/>
      <c r="URZ41" s="6"/>
      <c r="USA41" s="6"/>
      <c r="USB41" s="6"/>
      <c r="USC41" s="6"/>
      <c r="USD41" s="6"/>
      <c r="USE41" s="6"/>
      <c r="USF41" s="6"/>
      <c r="USG41" s="6"/>
      <c r="USH41" s="6"/>
      <c r="USI41" s="6"/>
      <c r="USJ41" s="6"/>
      <c r="USK41" s="6"/>
      <c r="USL41" s="6"/>
      <c r="USM41" s="6"/>
      <c r="USN41" s="6"/>
      <c r="USO41" s="6"/>
      <c r="USP41" s="6"/>
      <c r="USQ41" s="6"/>
      <c r="USR41" s="6"/>
      <c r="USS41" s="6"/>
      <c r="UST41" s="6"/>
      <c r="USU41" s="6"/>
      <c r="USV41" s="6"/>
      <c r="USW41" s="6"/>
      <c r="USX41" s="6"/>
      <c r="USY41" s="6"/>
      <c r="USZ41" s="6"/>
      <c r="UTA41" s="6"/>
      <c r="UTB41" s="6"/>
      <c r="UTC41" s="6"/>
      <c r="UTD41" s="6"/>
      <c r="UTE41" s="6"/>
      <c r="UTF41" s="6"/>
      <c r="UTG41" s="6"/>
      <c r="UTH41" s="6"/>
      <c r="UTI41" s="6"/>
      <c r="UTJ41" s="6"/>
      <c r="UTK41" s="6"/>
      <c r="UTL41" s="6"/>
      <c r="UTM41" s="6"/>
      <c r="UTN41" s="6"/>
      <c r="UTO41" s="6"/>
      <c r="UTP41" s="6"/>
      <c r="UTQ41" s="6"/>
      <c r="UTR41" s="6"/>
      <c r="UTS41" s="6"/>
      <c r="UTT41" s="6"/>
      <c r="UTU41" s="6"/>
      <c r="UTV41" s="6"/>
      <c r="UTW41" s="6"/>
      <c r="UTX41" s="6"/>
      <c r="UTY41" s="6"/>
      <c r="UTZ41" s="6"/>
      <c r="UUA41" s="6"/>
      <c r="UUB41" s="6"/>
      <c r="UUC41" s="6"/>
      <c r="UUD41" s="6"/>
      <c r="UUE41" s="6"/>
      <c r="UUF41" s="6"/>
      <c r="UUG41" s="6"/>
      <c r="UUH41" s="6"/>
      <c r="UUI41" s="6"/>
      <c r="UUJ41" s="6"/>
      <c r="UUK41" s="6"/>
      <c r="UUL41" s="6"/>
      <c r="UUM41" s="6"/>
      <c r="UUN41" s="6"/>
      <c r="UUO41" s="6"/>
      <c r="UUP41" s="6"/>
      <c r="UUQ41" s="6"/>
      <c r="UUR41" s="6"/>
      <c r="UUS41" s="6"/>
      <c r="UUT41" s="6"/>
      <c r="UUU41" s="6"/>
      <c r="UUV41" s="6"/>
      <c r="UUW41" s="6"/>
      <c r="UUX41" s="6"/>
      <c r="UUY41" s="6"/>
      <c r="UUZ41" s="6"/>
      <c r="UVA41" s="6"/>
      <c r="UVB41" s="6"/>
      <c r="UVC41" s="6"/>
      <c r="UVD41" s="6"/>
      <c r="UVE41" s="6"/>
      <c r="UVF41" s="6"/>
      <c r="UVG41" s="6"/>
      <c r="UVH41" s="6"/>
      <c r="UVI41" s="6"/>
      <c r="UVJ41" s="6"/>
      <c r="UVK41" s="6"/>
      <c r="UVL41" s="6"/>
      <c r="UVM41" s="6"/>
      <c r="UVN41" s="6"/>
      <c r="UVO41" s="6"/>
      <c r="UVP41" s="6"/>
      <c r="UVQ41" s="6"/>
      <c r="UVR41" s="6"/>
      <c r="UVS41" s="6"/>
      <c r="UVT41" s="6"/>
      <c r="UVU41" s="6"/>
      <c r="UVV41" s="6"/>
      <c r="UVW41" s="6"/>
      <c r="UVX41" s="6"/>
      <c r="UVY41" s="6"/>
      <c r="UVZ41" s="6"/>
      <c r="UWA41" s="6"/>
      <c r="UWB41" s="6"/>
      <c r="UWC41" s="6"/>
      <c r="UWD41" s="6"/>
      <c r="UWE41" s="6"/>
      <c r="UWF41" s="6"/>
      <c r="UWG41" s="6"/>
      <c r="UWH41" s="6"/>
      <c r="UWI41" s="6"/>
      <c r="UWJ41" s="6"/>
      <c r="UWK41" s="6"/>
      <c r="UWL41" s="6"/>
      <c r="UWM41" s="6"/>
      <c r="UWN41" s="6"/>
      <c r="UWO41" s="6"/>
      <c r="UWP41" s="6"/>
      <c r="UWQ41" s="6"/>
      <c r="UWR41" s="6"/>
      <c r="UWS41" s="6"/>
      <c r="UWT41" s="6"/>
      <c r="UWU41" s="6"/>
      <c r="UWV41" s="6"/>
      <c r="UWW41" s="6"/>
      <c r="UWX41" s="6"/>
      <c r="UWY41" s="6"/>
      <c r="UWZ41" s="6"/>
      <c r="UXA41" s="6"/>
      <c r="UXB41" s="6"/>
      <c r="UXC41" s="6"/>
      <c r="UXD41" s="6"/>
      <c r="UXE41" s="6"/>
      <c r="UXF41" s="6"/>
      <c r="UXG41" s="6"/>
      <c r="UXH41" s="6"/>
      <c r="UXI41" s="6"/>
      <c r="UXJ41" s="6"/>
      <c r="UXK41" s="6"/>
      <c r="UXL41" s="6"/>
      <c r="UXM41" s="6"/>
      <c r="UXN41" s="6"/>
      <c r="UXO41" s="6"/>
      <c r="UXP41" s="6"/>
      <c r="UXQ41" s="6"/>
      <c r="UXR41" s="6"/>
      <c r="UXS41" s="6"/>
      <c r="UXT41" s="6"/>
      <c r="UXU41" s="6"/>
      <c r="UXV41" s="6"/>
      <c r="UXW41" s="6"/>
      <c r="UXX41" s="6"/>
      <c r="UXY41" s="6"/>
      <c r="UXZ41" s="6"/>
      <c r="UYA41" s="6"/>
      <c r="UYB41" s="6"/>
      <c r="UYC41" s="6"/>
      <c r="UYD41" s="6"/>
      <c r="UYE41" s="6"/>
      <c r="UYF41" s="6"/>
      <c r="UYG41" s="6"/>
      <c r="UYH41" s="6"/>
      <c r="UYI41" s="6"/>
      <c r="UYJ41" s="6"/>
      <c r="UYK41" s="6"/>
      <c r="UYL41" s="6"/>
      <c r="UYM41" s="6"/>
      <c r="UYN41" s="6"/>
      <c r="UYO41" s="6"/>
      <c r="UYP41" s="6"/>
      <c r="UYQ41" s="6"/>
      <c r="UYR41" s="6"/>
      <c r="UYS41" s="6"/>
      <c r="UYT41" s="6"/>
      <c r="UYU41" s="6"/>
      <c r="UYV41" s="6"/>
      <c r="UYW41" s="6"/>
      <c r="UYX41" s="6"/>
      <c r="UYY41" s="6"/>
      <c r="UYZ41" s="6"/>
      <c r="UZA41" s="6"/>
      <c r="UZB41" s="6"/>
      <c r="UZC41" s="6"/>
      <c r="UZD41" s="6"/>
      <c r="UZE41" s="6"/>
      <c r="UZF41" s="6"/>
      <c r="UZG41" s="6"/>
      <c r="UZH41" s="6"/>
      <c r="UZI41" s="6"/>
      <c r="UZJ41" s="6"/>
      <c r="UZK41" s="6"/>
      <c r="UZL41" s="6"/>
      <c r="UZM41" s="6"/>
      <c r="UZN41" s="6"/>
      <c r="UZO41" s="6"/>
      <c r="UZP41" s="6"/>
      <c r="UZQ41" s="6"/>
      <c r="UZR41" s="6"/>
      <c r="UZS41" s="6"/>
      <c r="UZT41" s="6"/>
      <c r="UZU41" s="6"/>
      <c r="UZV41" s="6"/>
      <c r="UZW41" s="6"/>
      <c r="UZX41" s="6"/>
      <c r="UZY41" s="6"/>
      <c r="UZZ41" s="6"/>
      <c r="VAA41" s="6"/>
      <c r="VAB41" s="6"/>
      <c r="VAC41" s="6"/>
      <c r="VAD41" s="6"/>
      <c r="VAE41" s="6"/>
      <c r="VAF41" s="6"/>
      <c r="VAG41" s="6"/>
      <c r="VAH41" s="6"/>
      <c r="VAI41" s="6"/>
      <c r="VAJ41" s="6"/>
      <c r="VAK41" s="6"/>
      <c r="VAL41" s="6"/>
      <c r="VAM41" s="6"/>
      <c r="VAN41" s="6"/>
      <c r="VAO41" s="6"/>
      <c r="VAP41" s="6"/>
      <c r="VAQ41" s="6"/>
      <c r="VAR41" s="6"/>
      <c r="VAS41" s="6"/>
      <c r="VAT41" s="6"/>
      <c r="VAU41" s="6"/>
      <c r="VAV41" s="6"/>
      <c r="VAW41" s="6"/>
      <c r="VAX41" s="6"/>
      <c r="VAY41" s="6"/>
      <c r="VAZ41" s="6"/>
      <c r="VBA41" s="6"/>
      <c r="VBB41" s="6"/>
      <c r="VBC41" s="6"/>
      <c r="VBD41" s="6"/>
      <c r="VBE41" s="6"/>
      <c r="VBF41" s="6"/>
      <c r="VBG41" s="6"/>
      <c r="VBH41" s="6"/>
      <c r="VBI41" s="6"/>
      <c r="VBJ41" s="6"/>
      <c r="VBK41" s="6"/>
      <c r="VBL41" s="6"/>
      <c r="VBM41" s="6"/>
      <c r="VBN41" s="6"/>
      <c r="VBO41" s="6"/>
      <c r="VBP41" s="6"/>
      <c r="VBQ41" s="6"/>
      <c r="VBR41" s="6"/>
      <c r="VBS41" s="6"/>
      <c r="VBT41" s="6"/>
      <c r="VBU41" s="6"/>
      <c r="VBV41" s="6"/>
      <c r="VBW41" s="6"/>
      <c r="VBX41" s="6"/>
      <c r="VBY41" s="6"/>
      <c r="VBZ41" s="6"/>
      <c r="VCA41" s="6"/>
      <c r="VCB41" s="6"/>
      <c r="VCC41" s="6"/>
      <c r="VCD41" s="6"/>
      <c r="VCE41" s="6"/>
      <c r="VCF41" s="6"/>
      <c r="VCG41" s="6"/>
      <c r="VCH41" s="6"/>
      <c r="VCI41" s="6"/>
      <c r="VCJ41" s="6"/>
      <c r="VCK41" s="6"/>
      <c r="VCL41" s="6"/>
      <c r="VCM41" s="6"/>
      <c r="VCN41" s="6"/>
      <c r="VCO41" s="6"/>
      <c r="VCP41" s="6"/>
      <c r="VCQ41" s="6"/>
      <c r="VCR41" s="6"/>
      <c r="VCS41" s="6"/>
      <c r="VCT41" s="6"/>
      <c r="VCU41" s="6"/>
      <c r="VCV41" s="6"/>
      <c r="VCW41" s="6"/>
      <c r="VCX41" s="6"/>
      <c r="VCY41" s="6"/>
      <c r="VCZ41" s="6"/>
      <c r="VDA41" s="6"/>
      <c r="VDB41" s="6"/>
      <c r="VDC41" s="6"/>
      <c r="VDD41" s="6"/>
      <c r="VDE41" s="6"/>
      <c r="VDF41" s="6"/>
      <c r="VDG41" s="6"/>
      <c r="VDH41" s="6"/>
      <c r="VDI41" s="6"/>
      <c r="VDJ41" s="6"/>
      <c r="VDK41" s="6"/>
      <c r="VDL41" s="6"/>
      <c r="VDM41" s="6"/>
      <c r="VDN41" s="6"/>
      <c r="VDO41" s="6"/>
      <c r="VDP41" s="6"/>
      <c r="VDQ41" s="6"/>
      <c r="VDR41" s="6"/>
      <c r="VDS41" s="6"/>
      <c r="VDT41" s="6"/>
      <c r="VDU41" s="6"/>
      <c r="VDV41" s="6"/>
      <c r="VDW41" s="6"/>
      <c r="VDX41" s="6"/>
      <c r="VDY41" s="6"/>
      <c r="VDZ41" s="6"/>
      <c r="VEA41" s="6"/>
      <c r="VEB41" s="6"/>
      <c r="VEC41" s="6"/>
      <c r="VED41" s="6"/>
      <c r="VEE41" s="6"/>
      <c r="VEF41" s="6"/>
      <c r="VEG41" s="6"/>
      <c r="VEH41" s="6"/>
      <c r="VEI41" s="6"/>
      <c r="VEJ41" s="6"/>
      <c r="VEK41" s="6"/>
      <c r="VEL41" s="6"/>
      <c r="VEM41" s="6"/>
      <c r="VEN41" s="6"/>
      <c r="VEO41" s="6"/>
      <c r="VEP41" s="6"/>
      <c r="VEQ41" s="6"/>
      <c r="VER41" s="6"/>
      <c r="VES41" s="6"/>
      <c r="VET41" s="6"/>
      <c r="VEU41" s="6"/>
      <c r="VEV41" s="6"/>
      <c r="VEW41" s="6"/>
      <c r="VEX41" s="6"/>
      <c r="VEY41" s="6"/>
      <c r="VEZ41" s="6"/>
      <c r="VFA41" s="6"/>
      <c r="VFB41" s="6"/>
      <c r="VFC41" s="6"/>
      <c r="VFD41" s="6"/>
      <c r="VFE41" s="6"/>
      <c r="VFF41" s="6"/>
      <c r="VFG41" s="6"/>
      <c r="VFH41" s="6"/>
      <c r="VFI41" s="6"/>
      <c r="VFJ41" s="6"/>
      <c r="VFK41" s="6"/>
      <c r="VFL41" s="6"/>
      <c r="VFM41" s="6"/>
      <c r="VFN41" s="6"/>
      <c r="VFO41" s="6"/>
      <c r="VFP41" s="6"/>
      <c r="VFQ41" s="6"/>
      <c r="VFR41" s="6"/>
      <c r="VFS41" s="6"/>
      <c r="VFT41" s="6"/>
      <c r="VFU41" s="6"/>
      <c r="VFV41" s="6"/>
      <c r="VFW41" s="6"/>
      <c r="VFX41" s="6"/>
      <c r="VFY41" s="6"/>
      <c r="VFZ41" s="6"/>
      <c r="VGA41" s="6"/>
      <c r="VGB41" s="6"/>
      <c r="VGC41" s="6"/>
      <c r="VGD41" s="6"/>
      <c r="VGE41" s="6"/>
      <c r="VGF41" s="6"/>
      <c r="VGG41" s="6"/>
      <c r="VGH41" s="6"/>
      <c r="VGI41" s="6"/>
      <c r="VGJ41" s="6"/>
      <c r="VGK41" s="6"/>
      <c r="VGL41" s="6"/>
      <c r="VGM41" s="6"/>
      <c r="VGN41" s="6"/>
      <c r="VGO41" s="6"/>
      <c r="VGP41" s="6"/>
      <c r="VGQ41" s="6"/>
      <c r="VGR41" s="6"/>
      <c r="VGS41" s="6"/>
      <c r="VGT41" s="6"/>
      <c r="VGU41" s="6"/>
      <c r="VGV41" s="6"/>
      <c r="VGW41" s="6"/>
      <c r="VGX41" s="6"/>
      <c r="VGY41" s="6"/>
      <c r="VGZ41" s="6"/>
      <c r="VHA41" s="6"/>
      <c r="VHB41" s="6"/>
      <c r="VHC41" s="6"/>
      <c r="VHD41" s="6"/>
      <c r="VHE41" s="6"/>
      <c r="VHF41" s="6"/>
      <c r="VHG41" s="6"/>
      <c r="VHH41" s="6"/>
      <c r="VHI41" s="6"/>
      <c r="VHJ41" s="6"/>
      <c r="VHK41" s="6"/>
      <c r="VHL41" s="6"/>
      <c r="VHM41" s="6"/>
      <c r="VHN41" s="6"/>
      <c r="VHO41" s="6"/>
      <c r="VHP41" s="6"/>
      <c r="VHQ41" s="6"/>
      <c r="VHR41" s="6"/>
      <c r="VHS41" s="6"/>
      <c r="VHT41" s="6"/>
      <c r="VHU41" s="6"/>
      <c r="VHV41" s="6"/>
      <c r="VHW41" s="6"/>
      <c r="VHX41" s="6"/>
      <c r="VHY41" s="6"/>
      <c r="VHZ41" s="6"/>
      <c r="VIA41" s="6"/>
      <c r="VIB41" s="6"/>
      <c r="VIC41" s="6"/>
      <c r="VID41" s="6"/>
      <c r="VIE41" s="6"/>
      <c r="VIF41" s="6"/>
      <c r="VIG41" s="6"/>
      <c r="VIH41" s="6"/>
      <c r="VII41" s="6"/>
      <c r="VIJ41" s="6"/>
      <c r="VIK41" s="6"/>
      <c r="VIL41" s="6"/>
      <c r="VIM41" s="6"/>
      <c r="VIN41" s="6"/>
      <c r="VIO41" s="6"/>
      <c r="VIP41" s="6"/>
      <c r="VIQ41" s="6"/>
      <c r="VIR41" s="6"/>
      <c r="VIS41" s="6"/>
      <c r="VIT41" s="6"/>
      <c r="VIU41" s="6"/>
      <c r="VIV41" s="6"/>
      <c r="VIW41" s="6"/>
      <c r="VIX41" s="6"/>
      <c r="VIY41" s="6"/>
      <c r="VIZ41" s="6"/>
      <c r="VJA41" s="6"/>
      <c r="VJB41" s="6"/>
      <c r="VJC41" s="6"/>
      <c r="VJD41" s="6"/>
      <c r="VJE41" s="6"/>
      <c r="VJF41" s="6"/>
      <c r="VJG41" s="6"/>
      <c r="VJH41" s="6"/>
      <c r="VJI41" s="6"/>
      <c r="VJJ41" s="6"/>
      <c r="VJK41" s="6"/>
      <c r="VJL41" s="6"/>
      <c r="VJM41" s="6"/>
      <c r="VJN41" s="6"/>
      <c r="VJO41" s="6"/>
      <c r="VJP41" s="6"/>
      <c r="VJQ41" s="6"/>
      <c r="VJR41" s="6"/>
      <c r="VJS41" s="6"/>
      <c r="VJT41" s="6"/>
      <c r="VJU41" s="6"/>
      <c r="VJV41" s="6"/>
      <c r="VJW41" s="6"/>
      <c r="VJX41" s="6"/>
      <c r="VJY41" s="6"/>
      <c r="VJZ41" s="6"/>
      <c r="VKA41" s="6"/>
      <c r="VKB41" s="6"/>
      <c r="VKC41" s="6"/>
      <c r="VKD41" s="6"/>
      <c r="VKE41" s="6"/>
      <c r="VKF41" s="6"/>
      <c r="VKG41" s="6"/>
      <c r="VKH41" s="6"/>
      <c r="VKI41" s="6"/>
      <c r="VKJ41" s="6"/>
      <c r="VKK41" s="6"/>
      <c r="VKL41" s="6"/>
      <c r="VKM41" s="6"/>
      <c r="VKN41" s="6"/>
      <c r="VKO41" s="6"/>
      <c r="VKP41" s="6"/>
      <c r="VKQ41" s="6"/>
      <c r="VKR41" s="6"/>
      <c r="VKS41" s="6"/>
      <c r="VKT41" s="6"/>
      <c r="VKU41" s="6"/>
      <c r="VKV41" s="6"/>
      <c r="VKW41" s="6"/>
      <c r="VKX41" s="6"/>
      <c r="VKY41" s="6"/>
      <c r="VKZ41" s="6"/>
      <c r="VLA41" s="6"/>
      <c r="VLB41" s="6"/>
      <c r="VLC41" s="6"/>
      <c r="VLD41" s="6"/>
      <c r="VLE41" s="6"/>
      <c r="VLF41" s="6"/>
      <c r="VLG41" s="6"/>
      <c r="VLH41" s="6"/>
      <c r="VLI41" s="6"/>
      <c r="VLJ41" s="6"/>
      <c r="VLK41" s="6"/>
      <c r="VLL41" s="6"/>
      <c r="VLM41" s="6"/>
      <c r="VLN41" s="6"/>
      <c r="VLO41" s="6"/>
      <c r="VLP41" s="6"/>
      <c r="VLQ41" s="6"/>
      <c r="VLR41" s="6"/>
      <c r="VLS41" s="6"/>
      <c r="VLT41" s="6"/>
      <c r="VLU41" s="6"/>
      <c r="VLV41" s="6"/>
      <c r="VLW41" s="6"/>
      <c r="VLX41" s="6"/>
      <c r="VLY41" s="6"/>
      <c r="VLZ41" s="6"/>
      <c r="VMA41" s="6"/>
      <c r="VMB41" s="6"/>
      <c r="VMC41" s="6"/>
      <c r="VMD41" s="6"/>
      <c r="VME41" s="6"/>
      <c r="VMF41" s="6"/>
      <c r="VMG41" s="6"/>
      <c r="VMH41" s="6"/>
      <c r="VMI41" s="6"/>
      <c r="VMJ41" s="6"/>
      <c r="VMK41" s="6"/>
      <c r="VML41" s="6"/>
      <c r="VMM41" s="6"/>
      <c r="VMN41" s="6"/>
      <c r="VMO41" s="6"/>
      <c r="VMP41" s="6"/>
      <c r="VMQ41" s="6"/>
      <c r="VMR41" s="6"/>
      <c r="VMS41" s="6"/>
      <c r="VMT41" s="6"/>
      <c r="VMU41" s="6"/>
      <c r="VMV41" s="6"/>
      <c r="VMW41" s="6"/>
      <c r="VMX41" s="6"/>
      <c r="VMY41" s="6"/>
      <c r="VMZ41" s="6"/>
      <c r="VNA41" s="6"/>
      <c r="VNB41" s="6"/>
      <c r="VNC41" s="6"/>
      <c r="VND41" s="6"/>
      <c r="VNE41" s="6"/>
      <c r="VNF41" s="6"/>
      <c r="VNG41" s="6"/>
      <c r="VNH41" s="6"/>
      <c r="VNI41" s="6"/>
      <c r="VNJ41" s="6"/>
      <c r="VNK41" s="6"/>
      <c r="VNL41" s="6"/>
      <c r="VNM41" s="6"/>
      <c r="VNN41" s="6"/>
      <c r="VNO41" s="6"/>
      <c r="VNP41" s="6"/>
      <c r="VNQ41" s="6"/>
      <c r="VNR41" s="6"/>
      <c r="VNS41" s="6"/>
      <c r="VNT41" s="6"/>
      <c r="VNU41" s="6"/>
      <c r="VNV41" s="6"/>
      <c r="VNW41" s="6"/>
      <c r="VNX41" s="6"/>
      <c r="VNY41" s="6"/>
      <c r="VNZ41" s="6"/>
      <c r="VOA41" s="6"/>
      <c r="VOB41" s="6"/>
      <c r="VOC41" s="6"/>
      <c r="VOD41" s="6"/>
      <c r="VOE41" s="6"/>
      <c r="VOF41" s="6"/>
      <c r="VOG41" s="6"/>
      <c r="VOH41" s="6"/>
      <c r="VOI41" s="6"/>
      <c r="VOJ41" s="6"/>
      <c r="VOK41" s="6"/>
      <c r="VOL41" s="6"/>
      <c r="VOM41" s="6"/>
      <c r="VON41" s="6"/>
      <c r="VOO41" s="6"/>
      <c r="VOP41" s="6"/>
      <c r="VOQ41" s="6"/>
      <c r="VOR41" s="6"/>
      <c r="VOS41" s="6"/>
      <c r="VOT41" s="6"/>
      <c r="VOU41" s="6"/>
      <c r="VOV41" s="6"/>
      <c r="VOW41" s="6"/>
      <c r="VOX41" s="6"/>
      <c r="VOY41" s="6"/>
      <c r="VOZ41" s="6"/>
      <c r="VPA41" s="6"/>
      <c r="VPB41" s="6"/>
      <c r="VPC41" s="6"/>
      <c r="VPD41" s="6"/>
      <c r="VPE41" s="6"/>
      <c r="VPF41" s="6"/>
      <c r="VPG41" s="6"/>
      <c r="VPH41" s="6"/>
      <c r="VPI41" s="6"/>
      <c r="VPJ41" s="6"/>
      <c r="VPK41" s="6"/>
      <c r="VPL41" s="6"/>
      <c r="VPM41" s="6"/>
      <c r="VPN41" s="6"/>
      <c r="VPO41" s="6"/>
      <c r="VPP41" s="6"/>
      <c r="VPQ41" s="6"/>
      <c r="VPR41" s="6"/>
      <c r="VPS41" s="6"/>
      <c r="VPT41" s="6"/>
      <c r="VPU41" s="6"/>
      <c r="VPV41" s="6"/>
      <c r="VPW41" s="6"/>
      <c r="VPX41" s="6"/>
      <c r="VPY41" s="6"/>
      <c r="VPZ41" s="6"/>
      <c r="VQA41" s="6"/>
      <c r="VQB41" s="6"/>
      <c r="VQC41" s="6"/>
      <c r="VQD41" s="6"/>
      <c r="VQE41" s="6"/>
      <c r="VQF41" s="6"/>
      <c r="VQG41" s="6"/>
      <c r="VQH41" s="6"/>
      <c r="VQI41" s="6"/>
      <c r="VQJ41" s="6"/>
      <c r="VQK41" s="6"/>
      <c r="VQL41" s="6"/>
      <c r="VQM41" s="6"/>
      <c r="VQN41" s="6"/>
      <c r="VQO41" s="6"/>
      <c r="VQP41" s="6"/>
      <c r="VQQ41" s="6"/>
      <c r="VQR41" s="6"/>
      <c r="VQS41" s="6"/>
      <c r="VQT41" s="6"/>
      <c r="VQU41" s="6"/>
      <c r="VQV41" s="6"/>
      <c r="VQW41" s="6"/>
      <c r="VQX41" s="6"/>
      <c r="VQY41" s="6"/>
      <c r="VQZ41" s="6"/>
      <c r="VRA41" s="6"/>
      <c r="VRB41" s="6"/>
      <c r="VRC41" s="6"/>
      <c r="VRD41" s="6"/>
      <c r="VRE41" s="6"/>
      <c r="VRF41" s="6"/>
      <c r="VRG41" s="6"/>
      <c r="VRH41" s="6"/>
      <c r="VRI41" s="6"/>
      <c r="VRJ41" s="6"/>
      <c r="VRK41" s="6"/>
      <c r="VRL41" s="6"/>
      <c r="VRM41" s="6"/>
      <c r="VRN41" s="6"/>
      <c r="VRO41" s="6"/>
      <c r="VRP41" s="6"/>
      <c r="VRQ41" s="6"/>
      <c r="VRR41" s="6"/>
      <c r="VRS41" s="6"/>
      <c r="VRT41" s="6"/>
      <c r="VRU41" s="6"/>
      <c r="VRV41" s="6"/>
      <c r="VRW41" s="6"/>
      <c r="VRX41" s="6"/>
      <c r="VRY41" s="6"/>
      <c r="VRZ41" s="6"/>
      <c r="VSA41" s="6"/>
      <c r="VSB41" s="6"/>
      <c r="VSC41" s="6"/>
      <c r="VSD41" s="6"/>
      <c r="VSE41" s="6"/>
      <c r="VSF41" s="6"/>
      <c r="VSG41" s="6"/>
      <c r="VSH41" s="6"/>
      <c r="VSI41" s="6"/>
      <c r="VSJ41" s="6"/>
      <c r="VSK41" s="6"/>
      <c r="VSL41" s="6"/>
      <c r="VSM41" s="6"/>
      <c r="VSN41" s="6"/>
      <c r="VSO41" s="6"/>
      <c r="VSP41" s="6"/>
      <c r="VSQ41" s="6"/>
      <c r="VSR41" s="6"/>
      <c r="VSS41" s="6"/>
      <c r="VST41" s="6"/>
      <c r="VSU41" s="6"/>
      <c r="VSV41" s="6"/>
      <c r="VSW41" s="6"/>
      <c r="VSX41" s="6"/>
      <c r="VSY41" s="6"/>
      <c r="VSZ41" s="6"/>
      <c r="VTA41" s="6"/>
      <c r="VTB41" s="6"/>
      <c r="VTC41" s="6"/>
      <c r="VTD41" s="6"/>
      <c r="VTE41" s="6"/>
      <c r="VTF41" s="6"/>
      <c r="VTG41" s="6"/>
      <c r="VTH41" s="6"/>
      <c r="VTI41" s="6"/>
      <c r="VTJ41" s="6"/>
      <c r="VTK41" s="6"/>
      <c r="VTL41" s="6"/>
      <c r="VTM41" s="6"/>
      <c r="VTN41" s="6"/>
      <c r="VTO41" s="6"/>
      <c r="VTP41" s="6"/>
      <c r="VTQ41" s="6"/>
      <c r="VTR41" s="6"/>
      <c r="VTS41" s="6"/>
      <c r="VTT41" s="6"/>
      <c r="VTU41" s="6"/>
      <c r="VTV41" s="6"/>
      <c r="VTW41" s="6"/>
      <c r="VTX41" s="6"/>
      <c r="VTY41" s="6"/>
      <c r="VTZ41" s="6"/>
      <c r="VUA41" s="6"/>
      <c r="VUB41" s="6"/>
      <c r="VUC41" s="6"/>
      <c r="VUD41" s="6"/>
      <c r="VUE41" s="6"/>
      <c r="VUF41" s="6"/>
      <c r="VUG41" s="6"/>
      <c r="VUH41" s="6"/>
      <c r="VUI41" s="6"/>
      <c r="VUJ41" s="6"/>
      <c r="VUK41" s="6"/>
      <c r="VUL41" s="6"/>
      <c r="VUM41" s="6"/>
      <c r="VUN41" s="6"/>
      <c r="VUO41" s="6"/>
      <c r="VUP41" s="6"/>
      <c r="VUQ41" s="6"/>
      <c r="VUR41" s="6"/>
      <c r="VUS41" s="6"/>
      <c r="VUT41" s="6"/>
      <c r="VUU41" s="6"/>
      <c r="VUV41" s="6"/>
      <c r="VUW41" s="6"/>
      <c r="VUX41" s="6"/>
      <c r="VUY41" s="6"/>
      <c r="VUZ41" s="6"/>
      <c r="VVA41" s="6"/>
      <c r="VVB41" s="6"/>
      <c r="VVC41" s="6"/>
      <c r="VVD41" s="6"/>
      <c r="VVE41" s="6"/>
      <c r="VVF41" s="6"/>
      <c r="VVG41" s="6"/>
      <c r="VVH41" s="6"/>
      <c r="VVI41" s="6"/>
      <c r="VVJ41" s="6"/>
      <c r="VVK41" s="6"/>
      <c r="VVL41" s="6"/>
      <c r="VVM41" s="6"/>
      <c r="VVN41" s="6"/>
      <c r="VVO41" s="6"/>
      <c r="VVP41" s="6"/>
      <c r="VVQ41" s="6"/>
      <c r="VVR41" s="6"/>
      <c r="VVS41" s="6"/>
      <c r="VVT41" s="6"/>
      <c r="VVU41" s="6"/>
      <c r="VVV41" s="6"/>
      <c r="VVW41" s="6"/>
      <c r="VVX41" s="6"/>
      <c r="VVY41" s="6"/>
      <c r="VVZ41" s="6"/>
      <c r="VWA41" s="6"/>
      <c r="VWB41" s="6"/>
      <c r="VWC41" s="6"/>
      <c r="VWD41" s="6"/>
      <c r="VWE41" s="6"/>
      <c r="VWF41" s="6"/>
      <c r="VWG41" s="6"/>
      <c r="VWH41" s="6"/>
      <c r="VWI41" s="6"/>
      <c r="VWJ41" s="6"/>
      <c r="VWK41" s="6"/>
      <c r="VWL41" s="6"/>
      <c r="VWM41" s="6"/>
      <c r="VWN41" s="6"/>
      <c r="VWO41" s="6"/>
      <c r="VWP41" s="6"/>
      <c r="VWQ41" s="6"/>
      <c r="VWR41" s="6"/>
      <c r="VWS41" s="6"/>
      <c r="VWT41" s="6"/>
      <c r="VWU41" s="6"/>
      <c r="VWV41" s="6"/>
      <c r="VWW41" s="6"/>
      <c r="VWX41" s="6"/>
      <c r="VWY41" s="6"/>
      <c r="VWZ41" s="6"/>
      <c r="VXA41" s="6"/>
      <c r="VXB41" s="6"/>
      <c r="VXC41" s="6"/>
      <c r="VXD41" s="6"/>
      <c r="VXE41" s="6"/>
      <c r="VXF41" s="6"/>
      <c r="VXG41" s="6"/>
      <c r="VXH41" s="6"/>
      <c r="VXI41" s="6"/>
      <c r="VXJ41" s="6"/>
      <c r="VXK41" s="6"/>
      <c r="VXL41" s="6"/>
      <c r="VXM41" s="6"/>
      <c r="VXN41" s="6"/>
      <c r="VXO41" s="6"/>
      <c r="VXP41" s="6"/>
      <c r="VXQ41" s="6"/>
      <c r="VXR41" s="6"/>
      <c r="VXS41" s="6"/>
      <c r="VXT41" s="6"/>
      <c r="VXU41" s="6"/>
      <c r="VXV41" s="6"/>
      <c r="VXW41" s="6"/>
      <c r="VXX41" s="6"/>
      <c r="VXY41" s="6"/>
      <c r="VXZ41" s="6"/>
      <c r="VYA41" s="6"/>
      <c r="VYB41" s="6"/>
      <c r="VYC41" s="6"/>
      <c r="VYD41" s="6"/>
      <c r="VYE41" s="6"/>
      <c r="VYF41" s="6"/>
      <c r="VYG41" s="6"/>
      <c r="VYH41" s="6"/>
      <c r="VYI41" s="6"/>
      <c r="VYJ41" s="6"/>
      <c r="VYK41" s="6"/>
      <c r="VYL41" s="6"/>
      <c r="VYM41" s="6"/>
      <c r="VYN41" s="6"/>
      <c r="VYO41" s="6"/>
      <c r="VYP41" s="6"/>
      <c r="VYQ41" s="6"/>
      <c r="VYR41" s="6"/>
      <c r="VYS41" s="6"/>
      <c r="VYT41" s="6"/>
      <c r="VYU41" s="6"/>
      <c r="VYV41" s="6"/>
      <c r="VYW41" s="6"/>
      <c r="VYX41" s="6"/>
      <c r="VYY41" s="6"/>
      <c r="VYZ41" s="6"/>
      <c r="VZA41" s="6"/>
      <c r="VZB41" s="6"/>
      <c r="VZC41" s="6"/>
      <c r="VZD41" s="6"/>
      <c r="VZE41" s="6"/>
      <c r="VZF41" s="6"/>
      <c r="VZG41" s="6"/>
      <c r="VZH41" s="6"/>
      <c r="VZI41" s="6"/>
      <c r="VZJ41" s="6"/>
      <c r="VZK41" s="6"/>
      <c r="VZL41" s="6"/>
      <c r="VZM41" s="6"/>
      <c r="VZN41" s="6"/>
      <c r="VZO41" s="6"/>
      <c r="VZP41" s="6"/>
      <c r="VZQ41" s="6"/>
      <c r="VZR41" s="6"/>
      <c r="VZS41" s="6"/>
      <c r="VZT41" s="6"/>
      <c r="VZU41" s="6"/>
      <c r="VZV41" s="6"/>
      <c r="VZW41" s="6"/>
      <c r="VZX41" s="6"/>
      <c r="VZY41" s="6"/>
      <c r="VZZ41" s="6"/>
      <c r="WAA41" s="6"/>
      <c r="WAB41" s="6"/>
      <c r="WAC41" s="6"/>
      <c r="WAD41" s="6"/>
      <c r="WAE41" s="6"/>
      <c r="WAF41" s="6"/>
      <c r="WAG41" s="6"/>
      <c r="WAH41" s="6"/>
      <c r="WAI41" s="6"/>
      <c r="WAJ41" s="6"/>
      <c r="WAK41" s="6"/>
      <c r="WAL41" s="6"/>
      <c r="WAM41" s="6"/>
      <c r="WAN41" s="6"/>
      <c r="WAO41" s="6"/>
      <c r="WAP41" s="6"/>
      <c r="WAQ41" s="6"/>
      <c r="WAR41" s="6"/>
      <c r="WAS41" s="6"/>
      <c r="WAT41" s="6"/>
      <c r="WAU41" s="6"/>
      <c r="WAV41" s="6"/>
      <c r="WAW41" s="6"/>
      <c r="WAX41" s="6"/>
      <c r="WAY41" s="6"/>
      <c r="WAZ41" s="6"/>
      <c r="WBA41" s="6"/>
      <c r="WBB41" s="6"/>
      <c r="WBC41" s="6"/>
      <c r="WBD41" s="6"/>
      <c r="WBE41" s="6"/>
      <c r="WBF41" s="6"/>
      <c r="WBG41" s="6"/>
      <c r="WBH41" s="6"/>
      <c r="WBI41" s="6"/>
      <c r="WBJ41" s="6"/>
      <c r="WBK41" s="6"/>
      <c r="WBL41" s="6"/>
      <c r="WBM41" s="6"/>
      <c r="WBN41" s="6"/>
      <c r="WBO41" s="6"/>
      <c r="WBP41" s="6"/>
      <c r="WBQ41" s="6"/>
      <c r="WBR41" s="6"/>
      <c r="WBS41" s="6"/>
      <c r="WBT41" s="6"/>
      <c r="WBU41" s="6"/>
      <c r="WBV41" s="6"/>
      <c r="WBW41" s="6"/>
      <c r="WBX41" s="6"/>
      <c r="WBY41" s="6"/>
      <c r="WBZ41" s="6"/>
      <c r="WCA41" s="6"/>
      <c r="WCB41" s="6"/>
      <c r="WCC41" s="6"/>
      <c r="WCD41" s="6"/>
      <c r="WCE41" s="6"/>
      <c r="WCF41" s="6"/>
      <c r="WCG41" s="6"/>
      <c r="WCH41" s="6"/>
      <c r="WCI41" s="6"/>
      <c r="WCJ41" s="6"/>
      <c r="WCK41" s="6"/>
      <c r="WCL41" s="6"/>
      <c r="WCM41" s="6"/>
      <c r="WCN41" s="6"/>
      <c r="WCO41" s="6"/>
      <c r="WCP41" s="6"/>
      <c r="WCQ41" s="6"/>
      <c r="WCR41" s="6"/>
      <c r="WCS41" s="6"/>
      <c r="WCT41" s="6"/>
      <c r="WCU41" s="6"/>
      <c r="WCV41" s="6"/>
      <c r="WCW41" s="6"/>
      <c r="WCX41" s="6"/>
      <c r="WCY41" s="6"/>
      <c r="WCZ41" s="6"/>
      <c r="WDA41" s="6"/>
      <c r="WDB41" s="6"/>
      <c r="WDC41" s="6"/>
      <c r="WDD41" s="6"/>
      <c r="WDE41" s="6"/>
      <c r="WDF41" s="6"/>
      <c r="WDG41" s="6"/>
      <c r="WDH41" s="6"/>
      <c r="WDI41" s="6"/>
      <c r="WDJ41" s="6"/>
      <c r="WDK41" s="6"/>
      <c r="WDL41" s="6"/>
      <c r="WDM41" s="6"/>
      <c r="WDN41" s="6"/>
      <c r="WDO41" s="6"/>
      <c r="WDP41" s="6"/>
      <c r="WDQ41" s="6"/>
      <c r="WDR41" s="6"/>
      <c r="WDS41" s="6"/>
      <c r="WDT41" s="6"/>
      <c r="WDU41" s="6"/>
      <c r="WDV41" s="6"/>
      <c r="WDW41" s="6"/>
      <c r="WDX41" s="6"/>
      <c r="WDY41" s="6"/>
      <c r="WDZ41" s="6"/>
      <c r="WEA41" s="6"/>
      <c r="WEB41" s="6"/>
      <c r="WEC41" s="6"/>
      <c r="WED41" s="6"/>
      <c r="WEE41" s="6"/>
      <c r="WEF41" s="6"/>
      <c r="WEG41" s="6"/>
      <c r="WEH41" s="6"/>
      <c r="WEI41" s="6"/>
      <c r="WEJ41" s="6"/>
      <c r="WEK41" s="6"/>
      <c r="WEL41" s="6"/>
      <c r="WEM41" s="6"/>
      <c r="WEN41" s="6"/>
      <c r="WEO41" s="6"/>
      <c r="WEP41" s="6"/>
      <c r="WEQ41" s="6"/>
      <c r="WER41" s="6"/>
      <c r="WES41" s="6"/>
      <c r="WET41" s="6"/>
      <c r="WEU41" s="6"/>
      <c r="WEV41" s="6"/>
      <c r="WEW41" s="6"/>
      <c r="WEX41" s="6"/>
      <c r="WEY41" s="6"/>
      <c r="WEZ41" s="6"/>
      <c r="WFA41" s="6"/>
      <c r="WFB41" s="6"/>
      <c r="WFC41" s="6"/>
      <c r="WFD41" s="6"/>
      <c r="WFE41" s="6"/>
      <c r="WFF41" s="6"/>
      <c r="WFG41" s="6"/>
      <c r="WFH41" s="6"/>
      <c r="WFI41" s="6"/>
      <c r="WFJ41" s="6"/>
      <c r="WFK41" s="6"/>
      <c r="WFL41" s="6"/>
      <c r="WFM41" s="6"/>
      <c r="WFN41" s="6"/>
      <c r="WFO41" s="6"/>
      <c r="WFP41" s="6"/>
      <c r="WFQ41" s="6"/>
      <c r="WFR41" s="6"/>
      <c r="WFS41" s="6"/>
      <c r="WFT41" s="6"/>
      <c r="WFU41" s="6"/>
      <c r="WFV41" s="6"/>
      <c r="WFW41" s="6"/>
      <c r="WFX41" s="6"/>
      <c r="WFY41" s="6"/>
      <c r="WFZ41" s="6"/>
      <c r="WGA41" s="6"/>
      <c r="WGB41" s="6"/>
      <c r="WGC41" s="6"/>
      <c r="WGD41" s="6"/>
      <c r="WGE41" s="6"/>
      <c r="WGF41" s="6"/>
      <c r="WGG41" s="6"/>
      <c r="WGH41" s="6"/>
      <c r="WGI41" s="6"/>
      <c r="WGJ41" s="6"/>
      <c r="WGK41" s="6"/>
      <c r="WGL41" s="6"/>
      <c r="WGM41" s="6"/>
      <c r="WGN41" s="6"/>
      <c r="WGO41" s="6"/>
      <c r="WGP41" s="6"/>
      <c r="WGQ41" s="6"/>
      <c r="WGR41" s="6"/>
      <c r="WGS41" s="6"/>
      <c r="WGT41" s="6"/>
      <c r="WGU41" s="6"/>
      <c r="WGV41" s="6"/>
      <c r="WGW41" s="6"/>
      <c r="WGX41" s="6"/>
      <c r="WGY41" s="6"/>
      <c r="WGZ41" s="6"/>
      <c r="WHA41" s="6"/>
      <c r="WHB41" s="6"/>
      <c r="WHC41" s="6"/>
      <c r="WHD41" s="6"/>
      <c r="WHE41" s="6"/>
      <c r="WHF41" s="6"/>
      <c r="WHG41" s="6"/>
      <c r="WHH41" s="6"/>
      <c r="WHI41" s="6"/>
      <c r="WHJ41" s="6"/>
      <c r="WHK41" s="6"/>
      <c r="WHL41" s="6"/>
      <c r="WHM41" s="6"/>
      <c r="WHN41" s="6"/>
      <c r="WHO41" s="6"/>
      <c r="WHP41" s="6"/>
      <c r="WHQ41" s="6"/>
      <c r="WHR41" s="6"/>
      <c r="WHS41" s="6"/>
      <c r="WHT41" s="6"/>
      <c r="WHU41" s="6"/>
      <c r="WHV41" s="6"/>
      <c r="WHW41" s="6"/>
      <c r="WHX41" s="6"/>
      <c r="WHY41" s="6"/>
      <c r="WHZ41" s="6"/>
      <c r="WIA41" s="6"/>
      <c r="WIB41" s="6"/>
      <c r="WIC41" s="6"/>
      <c r="WID41" s="6"/>
      <c r="WIE41" s="6"/>
      <c r="WIF41" s="6"/>
      <c r="WIG41" s="6"/>
      <c r="WIH41" s="6"/>
      <c r="WII41" s="6"/>
      <c r="WIJ41" s="6"/>
      <c r="WIK41" s="6"/>
      <c r="WIL41" s="6"/>
      <c r="WIM41" s="6"/>
      <c r="WIN41" s="6"/>
      <c r="WIO41" s="6"/>
      <c r="WIP41" s="6"/>
      <c r="WIQ41" s="6"/>
      <c r="WIR41" s="6"/>
      <c r="WIS41" s="6"/>
      <c r="WIT41" s="6"/>
      <c r="WIU41" s="6"/>
      <c r="WIV41" s="6"/>
      <c r="WIW41" s="6"/>
      <c r="WIX41" s="6"/>
      <c r="WIY41" s="6"/>
      <c r="WIZ41" s="6"/>
      <c r="WJA41" s="6"/>
      <c r="WJB41" s="6"/>
      <c r="WJC41" s="6"/>
      <c r="WJD41" s="6"/>
      <c r="WJE41" s="6"/>
      <c r="WJF41" s="6"/>
      <c r="WJG41" s="6"/>
      <c r="WJH41" s="6"/>
      <c r="WJI41" s="6"/>
      <c r="WJJ41" s="6"/>
      <c r="WJK41" s="6"/>
      <c r="WJL41" s="6"/>
      <c r="WJM41" s="6"/>
      <c r="WJN41" s="6"/>
      <c r="WJO41" s="6"/>
      <c r="WJP41" s="6"/>
      <c r="WJQ41" s="6"/>
      <c r="WJR41" s="6"/>
      <c r="WJS41" s="6"/>
      <c r="WJT41" s="6"/>
      <c r="WJU41" s="6"/>
      <c r="WJV41" s="6"/>
      <c r="WJW41" s="6"/>
      <c r="WJX41" s="6"/>
      <c r="WJY41" s="6"/>
      <c r="WJZ41" s="6"/>
      <c r="WKA41" s="6"/>
      <c r="WKB41" s="6"/>
      <c r="WKC41" s="6"/>
      <c r="WKD41" s="6"/>
      <c r="WKE41" s="6"/>
      <c r="WKF41" s="6"/>
      <c r="WKG41" s="6"/>
      <c r="WKH41" s="6"/>
      <c r="WKI41" s="6"/>
      <c r="WKJ41" s="6"/>
      <c r="WKK41" s="6"/>
      <c r="WKL41" s="6"/>
      <c r="WKM41" s="6"/>
      <c r="WKN41" s="6"/>
      <c r="WKO41" s="6"/>
      <c r="WKP41" s="6"/>
      <c r="WKQ41" s="6"/>
      <c r="WKR41" s="6"/>
      <c r="WKS41" s="6"/>
      <c r="WKT41" s="6"/>
      <c r="WKU41" s="6"/>
      <c r="WKV41" s="6"/>
      <c r="WKW41" s="6"/>
      <c r="WKX41" s="6"/>
      <c r="WKY41" s="6"/>
      <c r="WKZ41" s="6"/>
      <c r="WLA41" s="6"/>
      <c r="WLB41" s="6"/>
      <c r="WLC41" s="6"/>
      <c r="WLD41" s="6"/>
      <c r="WLE41" s="6"/>
      <c r="WLF41" s="6"/>
      <c r="WLG41" s="6"/>
      <c r="WLH41" s="6"/>
      <c r="WLI41" s="6"/>
      <c r="WLJ41" s="6"/>
      <c r="WLK41" s="6"/>
      <c r="WLL41" s="6"/>
      <c r="WLM41" s="6"/>
      <c r="WLN41" s="6"/>
      <c r="WLO41" s="6"/>
      <c r="WLP41" s="6"/>
      <c r="WLQ41" s="6"/>
      <c r="WLR41" s="6"/>
      <c r="WLS41" s="6"/>
      <c r="WLT41" s="6"/>
      <c r="WLU41" s="6"/>
      <c r="WLV41" s="6"/>
      <c r="WLW41" s="6"/>
      <c r="WLX41" s="6"/>
      <c r="WLY41" s="6"/>
      <c r="WLZ41" s="6"/>
      <c r="WMA41" s="6"/>
      <c r="WMB41" s="6"/>
      <c r="WMC41" s="6"/>
      <c r="WMD41" s="6"/>
      <c r="WME41" s="6"/>
      <c r="WMF41" s="6"/>
      <c r="WMG41" s="6"/>
      <c r="WMH41" s="6"/>
      <c r="WMI41" s="6"/>
      <c r="WMJ41" s="6"/>
      <c r="WMK41" s="6"/>
      <c r="WML41" s="6"/>
      <c r="WMM41" s="6"/>
      <c r="WMN41" s="6"/>
      <c r="WMO41" s="6"/>
      <c r="WMP41" s="6"/>
      <c r="WMQ41" s="6"/>
      <c r="WMR41" s="6"/>
      <c r="WMS41" s="6"/>
      <c r="WMT41" s="6"/>
      <c r="WMU41" s="6"/>
      <c r="WMV41" s="6"/>
      <c r="WMW41" s="6"/>
      <c r="WMX41" s="6"/>
      <c r="WMY41" s="6"/>
      <c r="WMZ41" s="6"/>
      <c r="WNA41" s="6"/>
      <c r="WNB41" s="6"/>
      <c r="WNC41" s="6"/>
      <c r="WND41" s="6"/>
      <c r="WNE41" s="6"/>
      <c r="WNF41" s="6"/>
      <c r="WNG41" s="6"/>
      <c r="WNH41" s="6"/>
      <c r="WNI41" s="6"/>
      <c r="WNJ41" s="6"/>
      <c r="WNK41" s="6"/>
      <c r="WNL41" s="6"/>
      <c r="WNM41" s="6"/>
      <c r="WNN41" s="6"/>
      <c r="WNO41" s="6"/>
      <c r="WNP41" s="6"/>
      <c r="WNQ41" s="6"/>
      <c r="WNR41" s="6"/>
      <c r="WNS41" s="6"/>
      <c r="WNT41" s="6"/>
      <c r="WNU41" s="6"/>
      <c r="WNV41" s="6"/>
      <c r="WNW41" s="6"/>
      <c r="WNX41" s="6"/>
      <c r="WNY41" s="6"/>
      <c r="WNZ41" s="6"/>
      <c r="WOA41" s="6"/>
      <c r="WOB41" s="6"/>
      <c r="WOC41" s="6"/>
      <c r="WOD41" s="6"/>
      <c r="WOE41" s="6"/>
      <c r="WOF41" s="6"/>
      <c r="WOG41" s="6"/>
      <c r="WOH41" s="6"/>
      <c r="WOI41" s="6"/>
      <c r="WOJ41" s="6"/>
      <c r="WOK41" s="6"/>
      <c r="WOL41" s="6"/>
      <c r="WOM41" s="6"/>
      <c r="WON41" s="6"/>
      <c r="WOO41" s="6"/>
      <c r="WOP41" s="6"/>
      <c r="WOQ41" s="6"/>
      <c r="WOR41" s="6"/>
      <c r="WOS41" s="6"/>
      <c r="WOT41" s="6"/>
      <c r="WOU41" s="6"/>
      <c r="WOV41" s="6"/>
      <c r="WOW41" s="6"/>
      <c r="WOX41" s="6"/>
      <c r="WOY41" s="6"/>
      <c r="WOZ41" s="6"/>
      <c r="WPA41" s="6"/>
      <c r="WPB41" s="6"/>
      <c r="WPC41" s="6"/>
      <c r="WPD41" s="6"/>
      <c r="WPE41" s="6"/>
      <c r="WPF41" s="6"/>
      <c r="WPG41" s="6"/>
      <c r="WPH41" s="6"/>
      <c r="WPI41" s="6"/>
      <c r="WPJ41" s="6"/>
      <c r="WPK41" s="6"/>
      <c r="WPL41" s="6"/>
      <c r="WPM41" s="6"/>
      <c r="WPN41" s="6"/>
      <c r="WPO41" s="6"/>
      <c r="WPP41" s="6"/>
      <c r="WPQ41" s="6"/>
      <c r="WPR41" s="6"/>
      <c r="WPS41" s="6"/>
      <c r="WPT41" s="6"/>
      <c r="WPU41" s="6"/>
      <c r="WPV41" s="6"/>
      <c r="WPW41" s="6"/>
      <c r="WPX41" s="6"/>
      <c r="WPY41" s="6"/>
      <c r="WPZ41" s="6"/>
      <c r="WQA41" s="6"/>
      <c r="WQB41" s="6"/>
      <c r="WQC41" s="6"/>
      <c r="WQD41" s="6"/>
      <c r="WQE41" s="6"/>
      <c r="WQF41" s="6"/>
      <c r="WQG41" s="6"/>
      <c r="WQH41" s="6"/>
      <c r="WQI41" s="6"/>
      <c r="WQJ41" s="6"/>
      <c r="WQK41" s="6"/>
      <c r="WQL41" s="6"/>
      <c r="WQM41" s="6"/>
      <c r="WQN41" s="6"/>
      <c r="WQO41" s="6"/>
      <c r="WQP41" s="6"/>
      <c r="WQQ41" s="6"/>
      <c r="WQR41" s="6"/>
      <c r="WQS41" s="6"/>
      <c r="WQT41" s="6"/>
      <c r="WQU41" s="6"/>
      <c r="WQV41" s="6"/>
      <c r="WQW41" s="6"/>
      <c r="WQX41" s="6"/>
      <c r="WQY41" s="6"/>
      <c r="WQZ41" s="6"/>
      <c r="WRA41" s="6"/>
      <c r="WRB41" s="6"/>
      <c r="WRC41" s="6"/>
      <c r="WRD41" s="6"/>
      <c r="WRE41" s="6"/>
      <c r="WRF41" s="6"/>
      <c r="WRG41" s="6"/>
      <c r="WRH41" s="6"/>
      <c r="WRI41" s="6"/>
      <c r="WRJ41" s="6"/>
      <c r="WRK41" s="6"/>
      <c r="WRL41" s="6"/>
      <c r="WRM41" s="6"/>
      <c r="WRN41" s="6"/>
      <c r="WRO41" s="6"/>
      <c r="WRP41" s="6"/>
      <c r="WRQ41" s="6"/>
      <c r="WRR41" s="6"/>
      <c r="WRS41" s="6"/>
      <c r="WRT41" s="6"/>
      <c r="WRU41" s="6"/>
      <c r="WRV41" s="6"/>
      <c r="WRW41" s="6"/>
      <c r="WRX41" s="6"/>
      <c r="WRY41" s="6"/>
      <c r="WRZ41" s="6"/>
      <c r="WSA41" s="6"/>
      <c r="WSB41" s="6"/>
      <c r="WSC41" s="6"/>
      <c r="WSD41" s="6"/>
      <c r="WSE41" s="6"/>
      <c r="WSF41" s="6"/>
    </row>
    <row r="42" spans="1:16048" x14ac:dyDescent="0.25">
      <c r="A42" s="112" t="s">
        <v>41</v>
      </c>
      <c r="B42" s="37" t="s">
        <v>42</v>
      </c>
      <c r="C42" s="91" t="str">
        <f>VLOOKUP($B42,'Raw Datas'!$54:$101,C$7,FALSE)</f>
        <v>&lt;LLOQ</v>
      </c>
      <c r="D42" s="91">
        <f>VLOOKUP($B42,'Raw Datas'!$54:$101,D$7,FALSE)</f>
        <v>4.1621166666666669</v>
      </c>
      <c r="E42" s="91">
        <f>VLOOKUP($B42,'Raw Datas'!$54:$101,E$7,FALSE)</f>
        <v>0.52466666666666673</v>
      </c>
      <c r="F42" s="91">
        <f>VLOOKUP($B42,'Raw Datas'!$54:$101,F$7,FALSE)</f>
        <v>0.37418333333333337</v>
      </c>
      <c r="G42" s="91">
        <f>VLOOKUP($B42,'Raw Datas'!$54:$101,G$7,FALSE)</f>
        <v>0.74183333333333334</v>
      </c>
      <c r="H42" s="91">
        <f>VLOOKUP($B42,'Raw Datas'!$54:$101,H$7,FALSE)</f>
        <v>2.3443999999999998</v>
      </c>
      <c r="I42" s="91">
        <f>VLOOKUP($B42,'Raw Datas'!$54:$101,I$7,FALSE)</f>
        <v>0.99165000000000003</v>
      </c>
      <c r="J42" s="91" t="str">
        <f>VLOOKUP($B42,'Raw Datas'!$54:$101,J$7,FALSE)</f>
        <v>&lt;LLOQ</v>
      </c>
      <c r="K42" s="91">
        <f>VLOOKUP($B42,'Raw Datas'!$54:$101,K$7,FALSE)</f>
        <v>0.56526666666666658</v>
      </c>
      <c r="L42" s="91">
        <f>VLOOKUP($B42,'Raw Datas'!$54:$101,L$7,FALSE)</f>
        <v>0.89816666666666667</v>
      </c>
      <c r="M42" s="91">
        <f>VLOOKUP($B42,'Raw Datas'!$54:$101,M$7,FALSE)</f>
        <v>0.38613333333333338</v>
      </c>
      <c r="N42" s="91">
        <f>VLOOKUP($B42,'Raw Datas'!$54:$101,N$7,FALSE)</f>
        <v>0.81481666666666663</v>
      </c>
      <c r="O42" s="91">
        <f>VLOOKUP($B42,'Raw Datas'!$54:$101,O$7,FALSE)</f>
        <v>0.78684999999999994</v>
      </c>
      <c r="P42" s="91">
        <f>VLOOKUP($B42,'Raw Datas'!$54:$101,P$7,FALSE)</f>
        <v>0.88579999999999992</v>
      </c>
      <c r="Q42" s="91">
        <f>VLOOKUP($B42,'Raw Datas'!$54:$101,Q$7,FALSE)</f>
        <v>0.87583333333333324</v>
      </c>
      <c r="R42" s="91" t="str">
        <f>VLOOKUP($B42,'Raw Datas'!$54:$101,R$7,FALSE)</f>
        <v>&lt;LLOQ</v>
      </c>
      <c r="S42" s="91">
        <f>VLOOKUP($B42,'Raw Datas'!$54:$101,S$7,FALSE)</f>
        <v>5.8195833333333322</v>
      </c>
      <c r="T42" s="91" t="str">
        <f>VLOOKUP($B42,'Raw Datas'!$54:$101,T$7,FALSE)</f>
        <v>&lt;LLOQ</v>
      </c>
      <c r="U42" s="91" t="str">
        <f>VLOOKUP($B42,'Raw Datas'!$54:$101,U$7,FALSE)</f>
        <v>&lt;LLOQ</v>
      </c>
      <c r="V42" s="91">
        <f>VLOOKUP($B42,'Raw Datas'!$54:$101,V$7,FALSE)</f>
        <v>0.37901666666666667</v>
      </c>
    </row>
    <row r="43" spans="1:16048" ht="15.75" thickBot="1" x14ac:dyDescent="0.3">
      <c r="A43" s="114"/>
      <c r="B43" s="39" t="s">
        <v>43</v>
      </c>
      <c r="C43" s="85">
        <f>VLOOKUP($B43,'Raw Datas'!$54:$101,C$7,FALSE)</f>
        <v>0.53488333333333327</v>
      </c>
      <c r="D43" s="85">
        <f>VLOOKUP($B43,'Raw Datas'!$54:$101,D$7,FALSE)</f>
        <v>5.5005333333333333</v>
      </c>
      <c r="E43" s="85">
        <f>VLOOKUP($B43,'Raw Datas'!$54:$101,E$7,FALSE)</f>
        <v>1.7635166666666666</v>
      </c>
      <c r="F43" s="85">
        <f>VLOOKUP($B43,'Raw Datas'!$54:$101,F$7,FALSE)</f>
        <v>0.38269999999999993</v>
      </c>
      <c r="G43" s="85">
        <f>VLOOKUP($B43,'Raw Datas'!$54:$101,G$7,FALSE)</f>
        <v>0.93591666666666673</v>
      </c>
      <c r="H43" s="85">
        <f>VLOOKUP($B43,'Raw Datas'!$54:$101,H$7,FALSE)</f>
        <v>3.4536833333333332</v>
      </c>
      <c r="I43" s="85">
        <f>VLOOKUP($B43,'Raw Datas'!$54:$101,I$7,FALSE)</f>
        <v>0.91676666666666662</v>
      </c>
      <c r="J43" s="85">
        <f>VLOOKUP($B43,'Raw Datas'!$54:$101,J$7,FALSE)</f>
        <v>0.46706666666666669</v>
      </c>
      <c r="K43" s="85">
        <f>VLOOKUP($B43,'Raw Datas'!$54:$101,K$7,FALSE)</f>
        <v>0.4124166666666666</v>
      </c>
      <c r="L43" s="85">
        <f>VLOOKUP($B43,'Raw Datas'!$54:$101,L$7,FALSE)</f>
        <v>3.4614666666666665</v>
      </c>
      <c r="M43" s="85" t="str">
        <f>VLOOKUP($B43,'Raw Datas'!$54:$101,M$7,FALSE)</f>
        <v>&lt;LLOQ</v>
      </c>
      <c r="N43" s="85">
        <f>VLOOKUP($B43,'Raw Datas'!$54:$101,N$7,FALSE)</f>
        <v>0.5598333333333334</v>
      </c>
      <c r="O43" s="85">
        <f>VLOOKUP($B43,'Raw Datas'!$54:$101,O$7,FALSE)</f>
        <v>1.4993333333333334</v>
      </c>
      <c r="P43" s="85">
        <f>VLOOKUP($B43,'Raw Datas'!$54:$101,P$7,FALSE)</f>
        <v>0.44793333333333335</v>
      </c>
      <c r="Q43" s="85">
        <f>VLOOKUP($B43,'Raw Datas'!$54:$101,Q$7,FALSE)</f>
        <v>1.2778333333333334</v>
      </c>
      <c r="R43" s="85">
        <f>VLOOKUP($B43,'Raw Datas'!$54:$101,R$7,FALSE)</f>
        <v>0.74626666666666663</v>
      </c>
      <c r="S43" s="85">
        <f>VLOOKUP($B43,'Raw Datas'!$54:$101,S$7,FALSE)</f>
        <v>8.3706500000000013</v>
      </c>
      <c r="T43" s="85" t="str">
        <f>VLOOKUP($B43,'Raw Datas'!$54:$101,T$7,FALSE)</f>
        <v>&lt;LLOQ</v>
      </c>
      <c r="U43" s="85" t="str">
        <f>VLOOKUP($B43,'Raw Datas'!$54:$101,U$7,FALSE)</f>
        <v>&lt;LLOQ</v>
      </c>
      <c r="V43" s="85">
        <f>VLOOKUP($B43,'Raw Datas'!$54:$101,V$7,FALSE)</f>
        <v>0.82546666666666668</v>
      </c>
    </row>
    <row r="44" spans="1:16048" ht="15.75" thickBot="1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  <c r="VFO44" s="6"/>
      <c r="VFP44" s="6"/>
      <c r="VFQ44" s="6"/>
      <c r="VFR44" s="6"/>
      <c r="VFS44" s="6"/>
      <c r="VFT44" s="6"/>
      <c r="VFU44" s="6"/>
      <c r="VFV44" s="6"/>
      <c r="VFW44" s="6"/>
      <c r="VFX44" s="6"/>
      <c r="VFY44" s="6"/>
      <c r="VFZ44" s="6"/>
      <c r="VGA44" s="6"/>
      <c r="VGB44" s="6"/>
      <c r="VGC44" s="6"/>
      <c r="VGD44" s="6"/>
      <c r="VGE44" s="6"/>
      <c r="VGF44" s="6"/>
      <c r="VGG44" s="6"/>
      <c r="VGH44" s="6"/>
      <c r="VGI44" s="6"/>
      <c r="VGJ44" s="6"/>
      <c r="VGK44" s="6"/>
      <c r="VGL44" s="6"/>
      <c r="VGM44" s="6"/>
      <c r="VGN44" s="6"/>
      <c r="VGO44" s="6"/>
      <c r="VGP44" s="6"/>
      <c r="VGQ44" s="6"/>
      <c r="VGR44" s="6"/>
      <c r="VGS44" s="6"/>
      <c r="VGT44" s="6"/>
      <c r="VGU44" s="6"/>
      <c r="VGV44" s="6"/>
      <c r="VGW44" s="6"/>
      <c r="VGX44" s="6"/>
      <c r="VGY44" s="6"/>
      <c r="VGZ44" s="6"/>
      <c r="VHA44" s="6"/>
      <c r="VHB44" s="6"/>
      <c r="VHC44" s="6"/>
      <c r="VHD44" s="6"/>
      <c r="VHE44" s="6"/>
      <c r="VHF44" s="6"/>
      <c r="VHG44" s="6"/>
      <c r="VHH44" s="6"/>
      <c r="VHI44" s="6"/>
      <c r="VHJ44" s="6"/>
      <c r="VHK44" s="6"/>
      <c r="VHL44" s="6"/>
      <c r="VHM44" s="6"/>
      <c r="VHN44" s="6"/>
      <c r="VHO44" s="6"/>
      <c r="VHP44" s="6"/>
      <c r="VHQ44" s="6"/>
      <c r="VHR44" s="6"/>
      <c r="VHS44" s="6"/>
      <c r="VHT44" s="6"/>
      <c r="VHU44" s="6"/>
      <c r="VHV44" s="6"/>
      <c r="VHW44" s="6"/>
      <c r="VHX44" s="6"/>
      <c r="VHY44" s="6"/>
      <c r="VHZ44" s="6"/>
      <c r="VIA44" s="6"/>
      <c r="VIB44" s="6"/>
      <c r="VIC44" s="6"/>
      <c r="VID44" s="6"/>
      <c r="VIE44" s="6"/>
      <c r="VIF44" s="6"/>
      <c r="VIG44" s="6"/>
      <c r="VIH44" s="6"/>
      <c r="VII44" s="6"/>
      <c r="VIJ44" s="6"/>
      <c r="VIK44" s="6"/>
      <c r="VIL44" s="6"/>
      <c r="VIM44" s="6"/>
      <c r="VIN44" s="6"/>
      <c r="VIO44" s="6"/>
      <c r="VIP44" s="6"/>
      <c r="VIQ44" s="6"/>
      <c r="VIR44" s="6"/>
      <c r="VIS44" s="6"/>
      <c r="VIT44" s="6"/>
      <c r="VIU44" s="6"/>
      <c r="VIV44" s="6"/>
      <c r="VIW44" s="6"/>
      <c r="VIX44" s="6"/>
      <c r="VIY44" s="6"/>
      <c r="VIZ44" s="6"/>
      <c r="VJA44" s="6"/>
      <c r="VJB44" s="6"/>
      <c r="VJC44" s="6"/>
      <c r="VJD44" s="6"/>
      <c r="VJE44" s="6"/>
      <c r="VJF44" s="6"/>
      <c r="VJG44" s="6"/>
      <c r="VJH44" s="6"/>
      <c r="VJI44" s="6"/>
      <c r="VJJ44" s="6"/>
      <c r="VJK44" s="6"/>
      <c r="VJL44" s="6"/>
      <c r="VJM44" s="6"/>
      <c r="VJN44" s="6"/>
      <c r="VJO44" s="6"/>
      <c r="VJP44" s="6"/>
      <c r="VJQ44" s="6"/>
      <c r="VJR44" s="6"/>
      <c r="VJS44" s="6"/>
      <c r="VJT44" s="6"/>
      <c r="VJU44" s="6"/>
      <c r="VJV44" s="6"/>
      <c r="VJW44" s="6"/>
      <c r="VJX44" s="6"/>
      <c r="VJY44" s="6"/>
      <c r="VJZ44" s="6"/>
      <c r="VKA44" s="6"/>
      <c r="VKB44" s="6"/>
      <c r="VKC44" s="6"/>
      <c r="VKD44" s="6"/>
      <c r="VKE44" s="6"/>
      <c r="VKF44" s="6"/>
      <c r="VKG44" s="6"/>
      <c r="VKH44" s="6"/>
      <c r="VKI44" s="6"/>
      <c r="VKJ44" s="6"/>
      <c r="VKK44" s="6"/>
      <c r="VKL44" s="6"/>
      <c r="VKM44" s="6"/>
      <c r="VKN44" s="6"/>
      <c r="VKO44" s="6"/>
      <c r="VKP44" s="6"/>
      <c r="VKQ44" s="6"/>
      <c r="VKR44" s="6"/>
      <c r="VKS44" s="6"/>
      <c r="VKT44" s="6"/>
      <c r="VKU44" s="6"/>
      <c r="VKV44" s="6"/>
      <c r="VKW44" s="6"/>
      <c r="VKX44" s="6"/>
      <c r="VKY44" s="6"/>
      <c r="VKZ44" s="6"/>
      <c r="VLA44" s="6"/>
      <c r="VLB44" s="6"/>
      <c r="VLC44" s="6"/>
      <c r="VLD44" s="6"/>
      <c r="VLE44" s="6"/>
      <c r="VLF44" s="6"/>
      <c r="VLG44" s="6"/>
      <c r="VLH44" s="6"/>
      <c r="VLI44" s="6"/>
      <c r="VLJ44" s="6"/>
      <c r="VLK44" s="6"/>
      <c r="VLL44" s="6"/>
      <c r="VLM44" s="6"/>
      <c r="VLN44" s="6"/>
      <c r="VLO44" s="6"/>
      <c r="VLP44" s="6"/>
      <c r="VLQ44" s="6"/>
      <c r="VLR44" s="6"/>
      <c r="VLS44" s="6"/>
      <c r="VLT44" s="6"/>
      <c r="VLU44" s="6"/>
      <c r="VLV44" s="6"/>
      <c r="VLW44" s="6"/>
      <c r="VLX44" s="6"/>
      <c r="VLY44" s="6"/>
      <c r="VLZ44" s="6"/>
      <c r="VMA44" s="6"/>
      <c r="VMB44" s="6"/>
      <c r="VMC44" s="6"/>
      <c r="VMD44" s="6"/>
      <c r="VME44" s="6"/>
      <c r="VMF44" s="6"/>
      <c r="VMG44" s="6"/>
      <c r="VMH44" s="6"/>
      <c r="VMI44" s="6"/>
      <c r="VMJ44" s="6"/>
      <c r="VMK44" s="6"/>
      <c r="VML44" s="6"/>
      <c r="VMM44" s="6"/>
      <c r="VMN44" s="6"/>
      <c r="VMO44" s="6"/>
      <c r="VMP44" s="6"/>
      <c r="VMQ44" s="6"/>
      <c r="VMR44" s="6"/>
      <c r="VMS44" s="6"/>
      <c r="VMT44" s="6"/>
      <c r="VMU44" s="6"/>
      <c r="VMV44" s="6"/>
      <c r="VMW44" s="6"/>
      <c r="VMX44" s="6"/>
      <c r="VMY44" s="6"/>
      <c r="VMZ44" s="6"/>
      <c r="VNA44" s="6"/>
      <c r="VNB44" s="6"/>
      <c r="VNC44" s="6"/>
      <c r="VND44" s="6"/>
      <c r="VNE44" s="6"/>
      <c r="VNF44" s="6"/>
      <c r="VNG44" s="6"/>
      <c r="VNH44" s="6"/>
      <c r="VNI44" s="6"/>
      <c r="VNJ44" s="6"/>
      <c r="VNK44" s="6"/>
      <c r="VNL44" s="6"/>
      <c r="VNM44" s="6"/>
      <c r="VNN44" s="6"/>
      <c r="VNO44" s="6"/>
      <c r="VNP44" s="6"/>
      <c r="VNQ44" s="6"/>
      <c r="VNR44" s="6"/>
      <c r="VNS44" s="6"/>
      <c r="VNT44" s="6"/>
      <c r="VNU44" s="6"/>
      <c r="VNV44" s="6"/>
      <c r="VNW44" s="6"/>
      <c r="VNX44" s="6"/>
      <c r="VNY44" s="6"/>
      <c r="VNZ44" s="6"/>
      <c r="VOA44" s="6"/>
      <c r="VOB44" s="6"/>
      <c r="VOC44" s="6"/>
      <c r="VOD44" s="6"/>
      <c r="VOE44" s="6"/>
      <c r="VOF44" s="6"/>
      <c r="VOG44" s="6"/>
      <c r="VOH44" s="6"/>
      <c r="VOI44" s="6"/>
      <c r="VOJ44" s="6"/>
      <c r="VOK44" s="6"/>
      <c r="VOL44" s="6"/>
      <c r="VOM44" s="6"/>
      <c r="VON44" s="6"/>
      <c r="VOO44" s="6"/>
      <c r="VOP44" s="6"/>
      <c r="VOQ44" s="6"/>
      <c r="VOR44" s="6"/>
      <c r="VOS44" s="6"/>
      <c r="VOT44" s="6"/>
      <c r="VOU44" s="6"/>
      <c r="VOV44" s="6"/>
      <c r="VOW44" s="6"/>
      <c r="VOX44" s="6"/>
      <c r="VOY44" s="6"/>
      <c r="VOZ44" s="6"/>
      <c r="VPA44" s="6"/>
      <c r="VPB44" s="6"/>
      <c r="VPC44" s="6"/>
      <c r="VPD44" s="6"/>
      <c r="VPE44" s="6"/>
      <c r="VPF44" s="6"/>
      <c r="VPG44" s="6"/>
      <c r="VPH44" s="6"/>
      <c r="VPI44" s="6"/>
      <c r="VPJ44" s="6"/>
      <c r="VPK44" s="6"/>
      <c r="VPL44" s="6"/>
      <c r="VPM44" s="6"/>
      <c r="VPN44" s="6"/>
      <c r="VPO44" s="6"/>
      <c r="VPP44" s="6"/>
      <c r="VPQ44" s="6"/>
      <c r="VPR44" s="6"/>
      <c r="VPS44" s="6"/>
      <c r="VPT44" s="6"/>
      <c r="VPU44" s="6"/>
      <c r="VPV44" s="6"/>
      <c r="VPW44" s="6"/>
      <c r="VPX44" s="6"/>
      <c r="VPY44" s="6"/>
      <c r="VPZ44" s="6"/>
      <c r="VQA44" s="6"/>
      <c r="VQB44" s="6"/>
      <c r="VQC44" s="6"/>
      <c r="VQD44" s="6"/>
      <c r="VQE44" s="6"/>
      <c r="VQF44" s="6"/>
      <c r="VQG44" s="6"/>
      <c r="VQH44" s="6"/>
      <c r="VQI44" s="6"/>
      <c r="VQJ44" s="6"/>
      <c r="VQK44" s="6"/>
      <c r="VQL44" s="6"/>
      <c r="VQM44" s="6"/>
      <c r="VQN44" s="6"/>
      <c r="VQO44" s="6"/>
      <c r="VQP44" s="6"/>
      <c r="VQQ44" s="6"/>
      <c r="VQR44" s="6"/>
      <c r="VQS44" s="6"/>
      <c r="VQT44" s="6"/>
      <c r="VQU44" s="6"/>
      <c r="VQV44" s="6"/>
      <c r="VQW44" s="6"/>
      <c r="VQX44" s="6"/>
      <c r="VQY44" s="6"/>
      <c r="VQZ44" s="6"/>
      <c r="VRA44" s="6"/>
      <c r="VRB44" s="6"/>
      <c r="VRC44" s="6"/>
      <c r="VRD44" s="6"/>
      <c r="VRE44" s="6"/>
      <c r="VRF44" s="6"/>
      <c r="VRG44" s="6"/>
      <c r="VRH44" s="6"/>
      <c r="VRI44" s="6"/>
      <c r="VRJ44" s="6"/>
      <c r="VRK44" s="6"/>
      <c r="VRL44" s="6"/>
      <c r="VRM44" s="6"/>
      <c r="VRN44" s="6"/>
      <c r="VRO44" s="6"/>
      <c r="VRP44" s="6"/>
      <c r="VRQ44" s="6"/>
      <c r="VRR44" s="6"/>
      <c r="VRS44" s="6"/>
      <c r="VRT44" s="6"/>
      <c r="VRU44" s="6"/>
      <c r="VRV44" s="6"/>
      <c r="VRW44" s="6"/>
      <c r="VRX44" s="6"/>
      <c r="VRY44" s="6"/>
      <c r="VRZ44" s="6"/>
      <c r="VSA44" s="6"/>
      <c r="VSB44" s="6"/>
      <c r="VSC44" s="6"/>
      <c r="VSD44" s="6"/>
      <c r="VSE44" s="6"/>
      <c r="VSF44" s="6"/>
      <c r="VSG44" s="6"/>
      <c r="VSH44" s="6"/>
      <c r="VSI44" s="6"/>
      <c r="VSJ44" s="6"/>
      <c r="VSK44" s="6"/>
      <c r="VSL44" s="6"/>
      <c r="VSM44" s="6"/>
      <c r="VSN44" s="6"/>
      <c r="VSO44" s="6"/>
      <c r="VSP44" s="6"/>
      <c r="VSQ44" s="6"/>
      <c r="VSR44" s="6"/>
      <c r="VSS44" s="6"/>
      <c r="VST44" s="6"/>
      <c r="VSU44" s="6"/>
      <c r="VSV44" s="6"/>
      <c r="VSW44" s="6"/>
      <c r="VSX44" s="6"/>
      <c r="VSY44" s="6"/>
      <c r="VSZ44" s="6"/>
      <c r="VTA44" s="6"/>
      <c r="VTB44" s="6"/>
      <c r="VTC44" s="6"/>
      <c r="VTD44" s="6"/>
      <c r="VTE44" s="6"/>
      <c r="VTF44" s="6"/>
      <c r="VTG44" s="6"/>
      <c r="VTH44" s="6"/>
      <c r="VTI44" s="6"/>
      <c r="VTJ44" s="6"/>
      <c r="VTK44" s="6"/>
      <c r="VTL44" s="6"/>
      <c r="VTM44" s="6"/>
      <c r="VTN44" s="6"/>
      <c r="VTO44" s="6"/>
      <c r="VTP44" s="6"/>
      <c r="VTQ44" s="6"/>
      <c r="VTR44" s="6"/>
      <c r="VTS44" s="6"/>
      <c r="VTT44" s="6"/>
      <c r="VTU44" s="6"/>
      <c r="VTV44" s="6"/>
      <c r="VTW44" s="6"/>
      <c r="VTX44" s="6"/>
      <c r="VTY44" s="6"/>
      <c r="VTZ44" s="6"/>
      <c r="VUA44" s="6"/>
      <c r="VUB44" s="6"/>
      <c r="VUC44" s="6"/>
      <c r="VUD44" s="6"/>
      <c r="VUE44" s="6"/>
      <c r="VUF44" s="6"/>
      <c r="VUG44" s="6"/>
      <c r="VUH44" s="6"/>
      <c r="VUI44" s="6"/>
      <c r="VUJ44" s="6"/>
      <c r="VUK44" s="6"/>
      <c r="VUL44" s="6"/>
      <c r="VUM44" s="6"/>
      <c r="VUN44" s="6"/>
      <c r="VUO44" s="6"/>
      <c r="VUP44" s="6"/>
      <c r="VUQ44" s="6"/>
      <c r="VUR44" s="6"/>
      <c r="VUS44" s="6"/>
      <c r="VUT44" s="6"/>
      <c r="VUU44" s="6"/>
      <c r="VUV44" s="6"/>
      <c r="VUW44" s="6"/>
      <c r="VUX44" s="6"/>
      <c r="VUY44" s="6"/>
      <c r="VUZ44" s="6"/>
      <c r="VVA44" s="6"/>
      <c r="VVB44" s="6"/>
      <c r="VVC44" s="6"/>
      <c r="VVD44" s="6"/>
      <c r="VVE44" s="6"/>
      <c r="VVF44" s="6"/>
      <c r="VVG44" s="6"/>
      <c r="VVH44" s="6"/>
      <c r="VVI44" s="6"/>
      <c r="VVJ44" s="6"/>
      <c r="VVK44" s="6"/>
      <c r="VVL44" s="6"/>
      <c r="VVM44" s="6"/>
      <c r="VVN44" s="6"/>
      <c r="VVO44" s="6"/>
      <c r="VVP44" s="6"/>
      <c r="VVQ44" s="6"/>
      <c r="VVR44" s="6"/>
      <c r="VVS44" s="6"/>
      <c r="VVT44" s="6"/>
      <c r="VVU44" s="6"/>
      <c r="VVV44" s="6"/>
      <c r="VVW44" s="6"/>
      <c r="VVX44" s="6"/>
      <c r="VVY44" s="6"/>
      <c r="VVZ44" s="6"/>
      <c r="VWA44" s="6"/>
      <c r="VWB44" s="6"/>
      <c r="VWC44" s="6"/>
      <c r="VWD44" s="6"/>
      <c r="VWE44" s="6"/>
      <c r="VWF44" s="6"/>
      <c r="VWG44" s="6"/>
      <c r="VWH44" s="6"/>
      <c r="VWI44" s="6"/>
      <c r="VWJ44" s="6"/>
      <c r="VWK44" s="6"/>
      <c r="VWL44" s="6"/>
      <c r="VWM44" s="6"/>
      <c r="VWN44" s="6"/>
      <c r="VWO44" s="6"/>
      <c r="VWP44" s="6"/>
      <c r="VWQ44" s="6"/>
      <c r="VWR44" s="6"/>
      <c r="VWS44" s="6"/>
      <c r="VWT44" s="6"/>
      <c r="VWU44" s="6"/>
      <c r="VWV44" s="6"/>
      <c r="VWW44" s="6"/>
      <c r="VWX44" s="6"/>
      <c r="VWY44" s="6"/>
      <c r="VWZ44" s="6"/>
      <c r="VXA44" s="6"/>
      <c r="VXB44" s="6"/>
      <c r="VXC44" s="6"/>
      <c r="VXD44" s="6"/>
      <c r="VXE44" s="6"/>
      <c r="VXF44" s="6"/>
      <c r="VXG44" s="6"/>
      <c r="VXH44" s="6"/>
      <c r="VXI44" s="6"/>
      <c r="VXJ44" s="6"/>
      <c r="VXK44" s="6"/>
      <c r="VXL44" s="6"/>
      <c r="VXM44" s="6"/>
      <c r="VXN44" s="6"/>
      <c r="VXO44" s="6"/>
      <c r="VXP44" s="6"/>
      <c r="VXQ44" s="6"/>
      <c r="VXR44" s="6"/>
      <c r="VXS44" s="6"/>
      <c r="VXT44" s="6"/>
      <c r="VXU44" s="6"/>
      <c r="VXV44" s="6"/>
      <c r="VXW44" s="6"/>
      <c r="VXX44" s="6"/>
      <c r="VXY44" s="6"/>
      <c r="VXZ44" s="6"/>
      <c r="VYA44" s="6"/>
      <c r="VYB44" s="6"/>
      <c r="VYC44" s="6"/>
      <c r="VYD44" s="6"/>
      <c r="VYE44" s="6"/>
      <c r="VYF44" s="6"/>
      <c r="VYG44" s="6"/>
      <c r="VYH44" s="6"/>
      <c r="VYI44" s="6"/>
      <c r="VYJ44" s="6"/>
      <c r="VYK44" s="6"/>
      <c r="VYL44" s="6"/>
      <c r="VYM44" s="6"/>
      <c r="VYN44" s="6"/>
      <c r="VYO44" s="6"/>
      <c r="VYP44" s="6"/>
      <c r="VYQ44" s="6"/>
      <c r="VYR44" s="6"/>
      <c r="VYS44" s="6"/>
      <c r="VYT44" s="6"/>
      <c r="VYU44" s="6"/>
      <c r="VYV44" s="6"/>
      <c r="VYW44" s="6"/>
      <c r="VYX44" s="6"/>
      <c r="VYY44" s="6"/>
      <c r="VYZ44" s="6"/>
      <c r="VZA44" s="6"/>
      <c r="VZB44" s="6"/>
      <c r="VZC44" s="6"/>
      <c r="VZD44" s="6"/>
      <c r="VZE44" s="6"/>
      <c r="VZF44" s="6"/>
      <c r="VZG44" s="6"/>
      <c r="VZH44" s="6"/>
      <c r="VZI44" s="6"/>
      <c r="VZJ44" s="6"/>
      <c r="VZK44" s="6"/>
      <c r="VZL44" s="6"/>
      <c r="VZM44" s="6"/>
      <c r="VZN44" s="6"/>
      <c r="VZO44" s="6"/>
      <c r="VZP44" s="6"/>
      <c r="VZQ44" s="6"/>
      <c r="VZR44" s="6"/>
      <c r="VZS44" s="6"/>
      <c r="VZT44" s="6"/>
      <c r="VZU44" s="6"/>
      <c r="VZV44" s="6"/>
      <c r="VZW44" s="6"/>
      <c r="VZX44" s="6"/>
      <c r="VZY44" s="6"/>
      <c r="VZZ44" s="6"/>
      <c r="WAA44" s="6"/>
      <c r="WAB44" s="6"/>
      <c r="WAC44" s="6"/>
      <c r="WAD44" s="6"/>
      <c r="WAE44" s="6"/>
      <c r="WAF44" s="6"/>
      <c r="WAG44" s="6"/>
      <c r="WAH44" s="6"/>
      <c r="WAI44" s="6"/>
      <c r="WAJ44" s="6"/>
      <c r="WAK44" s="6"/>
      <c r="WAL44" s="6"/>
      <c r="WAM44" s="6"/>
      <c r="WAN44" s="6"/>
      <c r="WAO44" s="6"/>
      <c r="WAP44" s="6"/>
      <c r="WAQ44" s="6"/>
      <c r="WAR44" s="6"/>
      <c r="WAS44" s="6"/>
      <c r="WAT44" s="6"/>
      <c r="WAU44" s="6"/>
      <c r="WAV44" s="6"/>
      <c r="WAW44" s="6"/>
      <c r="WAX44" s="6"/>
      <c r="WAY44" s="6"/>
      <c r="WAZ44" s="6"/>
      <c r="WBA44" s="6"/>
      <c r="WBB44" s="6"/>
      <c r="WBC44" s="6"/>
      <c r="WBD44" s="6"/>
      <c r="WBE44" s="6"/>
      <c r="WBF44" s="6"/>
      <c r="WBG44" s="6"/>
      <c r="WBH44" s="6"/>
      <c r="WBI44" s="6"/>
      <c r="WBJ44" s="6"/>
      <c r="WBK44" s="6"/>
      <c r="WBL44" s="6"/>
      <c r="WBM44" s="6"/>
      <c r="WBN44" s="6"/>
      <c r="WBO44" s="6"/>
      <c r="WBP44" s="6"/>
      <c r="WBQ44" s="6"/>
      <c r="WBR44" s="6"/>
      <c r="WBS44" s="6"/>
      <c r="WBT44" s="6"/>
      <c r="WBU44" s="6"/>
      <c r="WBV44" s="6"/>
      <c r="WBW44" s="6"/>
      <c r="WBX44" s="6"/>
      <c r="WBY44" s="6"/>
      <c r="WBZ44" s="6"/>
      <c r="WCA44" s="6"/>
      <c r="WCB44" s="6"/>
      <c r="WCC44" s="6"/>
      <c r="WCD44" s="6"/>
      <c r="WCE44" s="6"/>
      <c r="WCF44" s="6"/>
      <c r="WCG44" s="6"/>
      <c r="WCH44" s="6"/>
      <c r="WCI44" s="6"/>
      <c r="WCJ44" s="6"/>
      <c r="WCK44" s="6"/>
      <c r="WCL44" s="6"/>
      <c r="WCM44" s="6"/>
      <c r="WCN44" s="6"/>
      <c r="WCO44" s="6"/>
      <c r="WCP44" s="6"/>
      <c r="WCQ44" s="6"/>
      <c r="WCR44" s="6"/>
      <c r="WCS44" s="6"/>
      <c r="WCT44" s="6"/>
      <c r="WCU44" s="6"/>
      <c r="WCV44" s="6"/>
      <c r="WCW44" s="6"/>
      <c r="WCX44" s="6"/>
      <c r="WCY44" s="6"/>
      <c r="WCZ44" s="6"/>
      <c r="WDA44" s="6"/>
      <c r="WDB44" s="6"/>
      <c r="WDC44" s="6"/>
      <c r="WDD44" s="6"/>
      <c r="WDE44" s="6"/>
      <c r="WDF44" s="6"/>
      <c r="WDG44" s="6"/>
      <c r="WDH44" s="6"/>
      <c r="WDI44" s="6"/>
      <c r="WDJ44" s="6"/>
      <c r="WDK44" s="6"/>
      <c r="WDL44" s="6"/>
      <c r="WDM44" s="6"/>
      <c r="WDN44" s="6"/>
      <c r="WDO44" s="6"/>
      <c r="WDP44" s="6"/>
      <c r="WDQ44" s="6"/>
      <c r="WDR44" s="6"/>
      <c r="WDS44" s="6"/>
      <c r="WDT44" s="6"/>
      <c r="WDU44" s="6"/>
      <c r="WDV44" s="6"/>
      <c r="WDW44" s="6"/>
      <c r="WDX44" s="6"/>
      <c r="WDY44" s="6"/>
      <c r="WDZ44" s="6"/>
      <c r="WEA44" s="6"/>
      <c r="WEB44" s="6"/>
      <c r="WEC44" s="6"/>
      <c r="WED44" s="6"/>
      <c r="WEE44" s="6"/>
      <c r="WEF44" s="6"/>
      <c r="WEG44" s="6"/>
      <c r="WEH44" s="6"/>
      <c r="WEI44" s="6"/>
      <c r="WEJ44" s="6"/>
      <c r="WEK44" s="6"/>
      <c r="WEL44" s="6"/>
      <c r="WEM44" s="6"/>
      <c r="WEN44" s="6"/>
      <c r="WEO44" s="6"/>
      <c r="WEP44" s="6"/>
      <c r="WEQ44" s="6"/>
      <c r="WER44" s="6"/>
      <c r="WES44" s="6"/>
      <c r="WET44" s="6"/>
      <c r="WEU44" s="6"/>
      <c r="WEV44" s="6"/>
      <c r="WEW44" s="6"/>
      <c r="WEX44" s="6"/>
      <c r="WEY44" s="6"/>
      <c r="WEZ44" s="6"/>
      <c r="WFA44" s="6"/>
      <c r="WFB44" s="6"/>
      <c r="WFC44" s="6"/>
      <c r="WFD44" s="6"/>
      <c r="WFE44" s="6"/>
      <c r="WFF44" s="6"/>
      <c r="WFG44" s="6"/>
      <c r="WFH44" s="6"/>
      <c r="WFI44" s="6"/>
      <c r="WFJ44" s="6"/>
      <c r="WFK44" s="6"/>
      <c r="WFL44" s="6"/>
      <c r="WFM44" s="6"/>
      <c r="WFN44" s="6"/>
      <c r="WFO44" s="6"/>
      <c r="WFP44" s="6"/>
      <c r="WFQ44" s="6"/>
      <c r="WFR44" s="6"/>
      <c r="WFS44" s="6"/>
      <c r="WFT44" s="6"/>
      <c r="WFU44" s="6"/>
      <c r="WFV44" s="6"/>
      <c r="WFW44" s="6"/>
      <c r="WFX44" s="6"/>
      <c r="WFY44" s="6"/>
      <c r="WFZ44" s="6"/>
      <c r="WGA44" s="6"/>
      <c r="WGB44" s="6"/>
      <c r="WGC44" s="6"/>
      <c r="WGD44" s="6"/>
      <c r="WGE44" s="6"/>
      <c r="WGF44" s="6"/>
      <c r="WGG44" s="6"/>
      <c r="WGH44" s="6"/>
      <c r="WGI44" s="6"/>
      <c r="WGJ44" s="6"/>
      <c r="WGK44" s="6"/>
      <c r="WGL44" s="6"/>
      <c r="WGM44" s="6"/>
      <c r="WGN44" s="6"/>
      <c r="WGO44" s="6"/>
      <c r="WGP44" s="6"/>
      <c r="WGQ44" s="6"/>
      <c r="WGR44" s="6"/>
      <c r="WGS44" s="6"/>
      <c r="WGT44" s="6"/>
      <c r="WGU44" s="6"/>
      <c r="WGV44" s="6"/>
      <c r="WGW44" s="6"/>
      <c r="WGX44" s="6"/>
      <c r="WGY44" s="6"/>
      <c r="WGZ44" s="6"/>
      <c r="WHA44" s="6"/>
      <c r="WHB44" s="6"/>
      <c r="WHC44" s="6"/>
      <c r="WHD44" s="6"/>
      <c r="WHE44" s="6"/>
      <c r="WHF44" s="6"/>
      <c r="WHG44" s="6"/>
      <c r="WHH44" s="6"/>
      <c r="WHI44" s="6"/>
      <c r="WHJ44" s="6"/>
      <c r="WHK44" s="6"/>
      <c r="WHL44" s="6"/>
      <c r="WHM44" s="6"/>
      <c r="WHN44" s="6"/>
      <c r="WHO44" s="6"/>
      <c r="WHP44" s="6"/>
      <c r="WHQ44" s="6"/>
      <c r="WHR44" s="6"/>
      <c r="WHS44" s="6"/>
      <c r="WHT44" s="6"/>
      <c r="WHU44" s="6"/>
      <c r="WHV44" s="6"/>
      <c r="WHW44" s="6"/>
      <c r="WHX44" s="6"/>
      <c r="WHY44" s="6"/>
      <c r="WHZ44" s="6"/>
      <c r="WIA44" s="6"/>
      <c r="WIB44" s="6"/>
      <c r="WIC44" s="6"/>
      <c r="WID44" s="6"/>
      <c r="WIE44" s="6"/>
      <c r="WIF44" s="6"/>
      <c r="WIG44" s="6"/>
      <c r="WIH44" s="6"/>
      <c r="WII44" s="6"/>
      <c r="WIJ44" s="6"/>
      <c r="WIK44" s="6"/>
      <c r="WIL44" s="6"/>
      <c r="WIM44" s="6"/>
      <c r="WIN44" s="6"/>
      <c r="WIO44" s="6"/>
      <c r="WIP44" s="6"/>
      <c r="WIQ44" s="6"/>
      <c r="WIR44" s="6"/>
      <c r="WIS44" s="6"/>
      <c r="WIT44" s="6"/>
      <c r="WIU44" s="6"/>
      <c r="WIV44" s="6"/>
      <c r="WIW44" s="6"/>
      <c r="WIX44" s="6"/>
      <c r="WIY44" s="6"/>
      <c r="WIZ44" s="6"/>
      <c r="WJA44" s="6"/>
      <c r="WJB44" s="6"/>
      <c r="WJC44" s="6"/>
      <c r="WJD44" s="6"/>
      <c r="WJE44" s="6"/>
      <c r="WJF44" s="6"/>
      <c r="WJG44" s="6"/>
      <c r="WJH44" s="6"/>
      <c r="WJI44" s="6"/>
      <c r="WJJ44" s="6"/>
      <c r="WJK44" s="6"/>
      <c r="WJL44" s="6"/>
      <c r="WJM44" s="6"/>
      <c r="WJN44" s="6"/>
      <c r="WJO44" s="6"/>
      <c r="WJP44" s="6"/>
      <c r="WJQ44" s="6"/>
      <c r="WJR44" s="6"/>
      <c r="WJS44" s="6"/>
      <c r="WJT44" s="6"/>
      <c r="WJU44" s="6"/>
      <c r="WJV44" s="6"/>
      <c r="WJW44" s="6"/>
      <c r="WJX44" s="6"/>
      <c r="WJY44" s="6"/>
      <c r="WJZ44" s="6"/>
      <c r="WKA44" s="6"/>
      <c r="WKB44" s="6"/>
      <c r="WKC44" s="6"/>
      <c r="WKD44" s="6"/>
      <c r="WKE44" s="6"/>
      <c r="WKF44" s="6"/>
      <c r="WKG44" s="6"/>
      <c r="WKH44" s="6"/>
      <c r="WKI44" s="6"/>
      <c r="WKJ44" s="6"/>
      <c r="WKK44" s="6"/>
      <c r="WKL44" s="6"/>
      <c r="WKM44" s="6"/>
      <c r="WKN44" s="6"/>
      <c r="WKO44" s="6"/>
      <c r="WKP44" s="6"/>
      <c r="WKQ44" s="6"/>
      <c r="WKR44" s="6"/>
      <c r="WKS44" s="6"/>
      <c r="WKT44" s="6"/>
      <c r="WKU44" s="6"/>
      <c r="WKV44" s="6"/>
      <c r="WKW44" s="6"/>
      <c r="WKX44" s="6"/>
      <c r="WKY44" s="6"/>
      <c r="WKZ44" s="6"/>
      <c r="WLA44" s="6"/>
      <c r="WLB44" s="6"/>
      <c r="WLC44" s="6"/>
      <c r="WLD44" s="6"/>
      <c r="WLE44" s="6"/>
      <c r="WLF44" s="6"/>
      <c r="WLG44" s="6"/>
      <c r="WLH44" s="6"/>
      <c r="WLI44" s="6"/>
      <c r="WLJ44" s="6"/>
      <c r="WLK44" s="6"/>
      <c r="WLL44" s="6"/>
      <c r="WLM44" s="6"/>
      <c r="WLN44" s="6"/>
      <c r="WLO44" s="6"/>
      <c r="WLP44" s="6"/>
      <c r="WLQ44" s="6"/>
      <c r="WLR44" s="6"/>
      <c r="WLS44" s="6"/>
      <c r="WLT44" s="6"/>
      <c r="WLU44" s="6"/>
      <c r="WLV44" s="6"/>
      <c r="WLW44" s="6"/>
      <c r="WLX44" s="6"/>
      <c r="WLY44" s="6"/>
      <c r="WLZ44" s="6"/>
      <c r="WMA44" s="6"/>
      <c r="WMB44" s="6"/>
      <c r="WMC44" s="6"/>
      <c r="WMD44" s="6"/>
      <c r="WME44" s="6"/>
      <c r="WMF44" s="6"/>
      <c r="WMG44" s="6"/>
      <c r="WMH44" s="6"/>
      <c r="WMI44" s="6"/>
      <c r="WMJ44" s="6"/>
      <c r="WMK44" s="6"/>
      <c r="WML44" s="6"/>
      <c r="WMM44" s="6"/>
      <c r="WMN44" s="6"/>
      <c r="WMO44" s="6"/>
      <c r="WMP44" s="6"/>
      <c r="WMQ44" s="6"/>
      <c r="WMR44" s="6"/>
      <c r="WMS44" s="6"/>
      <c r="WMT44" s="6"/>
      <c r="WMU44" s="6"/>
      <c r="WMV44" s="6"/>
      <c r="WMW44" s="6"/>
      <c r="WMX44" s="6"/>
      <c r="WMY44" s="6"/>
      <c r="WMZ44" s="6"/>
      <c r="WNA44" s="6"/>
      <c r="WNB44" s="6"/>
      <c r="WNC44" s="6"/>
      <c r="WND44" s="6"/>
      <c r="WNE44" s="6"/>
      <c r="WNF44" s="6"/>
      <c r="WNG44" s="6"/>
      <c r="WNH44" s="6"/>
      <c r="WNI44" s="6"/>
      <c r="WNJ44" s="6"/>
      <c r="WNK44" s="6"/>
      <c r="WNL44" s="6"/>
      <c r="WNM44" s="6"/>
      <c r="WNN44" s="6"/>
      <c r="WNO44" s="6"/>
      <c r="WNP44" s="6"/>
      <c r="WNQ44" s="6"/>
      <c r="WNR44" s="6"/>
      <c r="WNS44" s="6"/>
      <c r="WNT44" s="6"/>
      <c r="WNU44" s="6"/>
      <c r="WNV44" s="6"/>
      <c r="WNW44" s="6"/>
      <c r="WNX44" s="6"/>
      <c r="WNY44" s="6"/>
      <c r="WNZ44" s="6"/>
      <c r="WOA44" s="6"/>
      <c r="WOB44" s="6"/>
      <c r="WOC44" s="6"/>
      <c r="WOD44" s="6"/>
      <c r="WOE44" s="6"/>
      <c r="WOF44" s="6"/>
      <c r="WOG44" s="6"/>
      <c r="WOH44" s="6"/>
      <c r="WOI44" s="6"/>
      <c r="WOJ44" s="6"/>
      <c r="WOK44" s="6"/>
      <c r="WOL44" s="6"/>
      <c r="WOM44" s="6"/>
      <c r="WON44" s="6"/>
      <c r="WOO44" s="6"/>
      <c r="WOP44" s="6"/>
      <c r="WOQ44" s="6"/>
      <c r="WOR44" s="6"/>
      <c r="WOS44" s="6"/>
      <c r="WOT44" s="6"/>
      <c r="WOU44" s="6"/>
      <c r="WOV44" s="6"/>
      <c r="WOW44" s="6"/>
      <c r="WOX44" s="6"/>
      <c r="WOY44" s="6"/>
      <c r="WOZ44" s="6"/>
      <c r="WPA44" s="6"/>
      <c r="WPB44" s="6"/>
      <c r="WPC44" s="6"/>
      <c r="WPD44" s="6"/>
      <c r="WPE44" s="6"/>
      <c r="WPF44" s="6"/>
      <c r="WPG44" s="6"/>
      <c r="WPH44" s="6"/>
      <c r="WPI44" s="6"/>
      <c r="WPJ44" s="6"/>
      <c r="WPK44" s="6"/>
      <c r="WPL44" s="6"/>
      <c r="WPM44" s="6"/>
      <c r="WPN44" s="6"/>
      <c r="WPO44" s="6"/>
      <c r="WPP44" s="6"/>
      <c r="WPQ44" s="6"/>
      <c r="WPR44" s="6"/>
      <c r="WPS44" s="6"/>
      <c r="WPT44" s="6"/>
      <c r="WPU44" s="6"/>
      <c r="WPV44" s="6"/>
      <c r="WPW44" s="6"/>
      <c r="WPX44" s="6"/>
      <c r="WPY44" s="6"/>
      <c r="WPZ44" s="6"/>
      <c r="WQA44" s="6"/>
      <c r="WQB44" s="6"/>
      <c r="WQC44" s="6"/>
      <c r="WQD44" s="6"/>
      <c r="WQE44" s="6"/>
      <c r="WQF44" s="6"/>
      <c r="WQG44" s="6"/>
      <c r="WQH44" s="6"/>
      <c r="WQI44" s="6"/>
      <c r="WQJ44" s="6"/>
      <c r="WQK44" s="6"/>
      <c r="WQL44" s="6"/>
      <c r="WQM44" s="6"/>
      <c r="WQN44" s="6"/>
      <c r="WQO44" s="6"/>
      <c r="WQP44" s="6"/>
      <c r="WQQ44" s="6"/>
      <c r="WQR44" s="6"/>
      <c r="WQS44" s="6"/>
      <c r="WQT44" s="6"/>
      <c r="WQU44" s="6"/>
      <c r="WQV44" s="6"/>
      <c r="WQW44" s="6"/>
      <c r="WQX44" s="6"/>
      <c r="WQY44" s="6"/>
      <c r="WQZ44" s="6"/>
      <c r="WRA44" s="6"/>
      <c r="WRB44" s="6"/>
      <c r="WRC44" s="6"/>
      <c r="WRD44" s="6"/>
      <c r="WRE44" s="6"/>
      <c r="WRF44" s="6"/>
      <c r="WRG44" s="6"/>
      <c r="WRH44" s="6"/>
      <c r="WRI44" s="6"/>
      <c r="WRJ44" s="6"/>
      <c r="WRK44" s="6"/>
      <c r="WRL44" s="6"/>
      <c r="WRM44" s="6"/>
      <c r="WRN44" s="6"/>
      <c r="WRO44" s="6"/>
      <c r="WRP44" s="6"/>
      <c r="WRQ44" s="6"/>
      <c r="WRR44" s="6"/>
      <c r="WRS44" s="6"/>
      <c r="WRT44" s="6"/>
      <c r="WRU44" s="6"/>
      <c r="WRV44" s="6"/>
      <c r="WRW44" s="6"/>
      <c r="WRX44" s="6"/>
      <c r="WRY44" s="6"/>
      <c r="WRZ44" s="6"/>
      <c r="WSA44" s="6"/>
      <c r="WSB44" s="6"/>
      <c r="WSC44" s="6"/>
      <c r="WSD44" s="6"/>
      <c r="WSE44" s="6"/>
      <c r="WSF44" s="6"/>
    </row>
    <row r="45" spans="1:16048" ht="15.75" customHeight="1" x14ac:dyDescent="0.25">
      <c r="A45" s="115" t="s">
        <v>44</v>
      </c>
      <c r="B45" s="37" t="s">
        <v>45</v>
      </c>
      <c r="C45" s="92">
        <f>VLOOKUP($B45,'Raw Datas'!$54:$101,C$7,FALSE)</f>
        <v>1.6096833333333331</v>
      </c>
      <c r="D45" s="92">
        <f>VLOOKUP($B45,'Raw Datas'!$54:$101,D$7,FALSE)</f>
        <v>36.585766666666672</v>
      </c>
      <c r="E45" s="92">
        <f>VLOOKUP($B45,'Raw Datas'!$54:$101,E$7,FALSE)</f>
        <v>1.9541999999999999</v>
      </c>
      <c r="F45" s="92">
        <f>VLOOKUP($B45,'Raw Datas'!$54:$101,F$7,FALSE)</f>
        <v>4.1008333333333331</v>
      </c>
      <c r="G45" s="92">
        <f>VLOOKUP($B45,'Raw Datas'!$54:$101,G$7,FALSE)</f>
        <v>1.8562333333333332</v>
      </c>
      <c r="H45" s="92">
        <f>VLOOKUP($B45,'Raw Datas'!$54:$101,H$7,FALSE)</f>
        <v>2.2590500000000002</v>
      </c>
      <c r="I45" s="92">
        <f>VLOOKUP($B45,'Raw Datas'!$54:$101,I$7,FALSE)</f>
        <v>1.4301333333333333</v>
      </c>
      <c r="J45" s="88">
        <f>VLOOKUP($B45,'Raw Datas'!$54:$101,J$7,FALSE)</f>
        <v>1.0706</v>
      </c>
      <c r="K45" s="88">
        <f>VLOOKUP($B45,'Raw Datas'!$54:$101,K$7,FALSE)</f>
        <v>0.76378333333333326</v>
      </c>
      <c r="L45" s="88">
        <f>VLOOKUP($B45,'Raw Datas'!$54:$101,L$7,FALSE)</f>
        <v>0.47558333333333336</v>
      </c>
      <c r="M45" s="88">
        <f>VLOOKUP($B45,'Raw Datas'!$54:$101,M$7,FALSE)</f>
        <v>1.9243666666666668</v>
      </c>
      <c r="N45" s="88">
        <f>VLOOKUP($B45,'Raw Datas'!$54:$101,N$7,FALSE)</f>
        <v>3.8130333333333328</v>
      </c>
      <c r="O45" s="88">
        <f>VLOOKUP($B45,'Raw Datas'!$54:$101,O$7,FALSE)</f>
        <v>2.4529500000000004</v>
      </c>
      <c r="P45" s="88">
        <f>VLOOKUP($B45,'Raw Datas'!$54:$101,P$7,FALSE)</f>
        <v>1.8813333333333333</v>
      </c>
      <c r="Q45" s="88">
        <f>VLOOKUP($B45,'Raw Datas'!$54:$101,Q$7,FALSE)</f>
        <v>12.606083333333334</v>
      </c>
      <c r="R45" s="88">
        <f>VLOOKUP($B45,'Raw Datas'!$54:$101,R$7,FALSE)</f>
        <v>1.2849999999999999</v>
      </c>
      <c r="S45" s="88">
        <f>VLOOKUP($B45,'Raw Datas'!$54:$101,S$7,FALSE)</f>
        <v>36.052800000000005</v>
      </c>
      <c r="T45" s="88">
        <f>VLOOKUP($B45,'Raw Datas'!$54:$101,T$7,FALSE)</f>
        <v>0.51321666666666665</v>
      </c>
      <c r="U45" s="88">
        <f>VLOOKUP($B45,'Raw Datas'!$54:$101,U$7,FALSE)</f>
        <v>1.2806500000000001</v>
      </c>
      <c r="V45" s="88">
        <f>VLOOKUP($B45,'Raw Datas'!$54:$101,V$7,FALSE)</f>
        <v>1.1630833333333332</v>
      </c>
    </row>
    <row r="46" spans="1:16048" ht="15.75" customHeight="1" x14ac:dyDescent="0.25">
      <c r="A46" s="116"/>
      <c r="B46" s="38" t="s">
        <v>46</v>
      </c>
      <c r="C46" s="93" t="str">
        <f>VLOOKUP($B46,'Raw Datas'!$54:$101,C$7,FALSE)</f>
        <v>ND</v>
      </c>
      <c r="D46" s="93" t="str">
        <f>VLOOKUP($B46,'Raw Datas'!$54:$101,D$7,FALSE)</f>
        <v>ND</v>
      </c>
      <c r="E46" s="93" t="str">
        <f>VLOOKUP($B46,'Raw Datas'!$54:$101,E$7,FALSE)</f>
        <v>ND</v>
      </c>
      <c r="F46" s="93" t="str">
        <f>VLOOKUP($B46,'Raw Datas'!$54:$101,F$7,FALSE)</f>
        <v>ND</v>
      </c>
      <c r="G46" s="93" t="str">
        <f>VLOOKUP($B46,'Raw Datas'!$54:$101,G$7,FALSE)</f>
        <v>ND</v>
      </c>
      <c r="H46" s="93" t="str">
        <f>VLOOKUP($B46,'Raw Datas'!$54:$101,H$7,FALSE)</f>
        <v>ND</v>
      </c>
      <c r="I46" s="93" t="str">
        <f>VLOOKUP($B46,'Raw Datas'!$54:$101,I$7,FALSE)</f>
        <v>ND</v>
      </c>
      <c r="J46" s="89" t="str">
        <f>VLOOKUP($B46,'Raw Datas'!$54:$101,J$7,FALSE)</f>
        <v>ND</v>
      </c>
      <c r="K46" s="89" t="str">
        <f>VLOOKUP($B46,'Raw Datas'!$54:$101,K$7,FALSE)</f>
        <v>ND</v>
      </c>
      <c r="L46" s="89" t="str">
        <f>VLOOKUP($B46,'Raw Datas'!$54:$101,L$7,FALSE)</f>
        <v>ND</v>
      </c>
      <c r="M46" s="89" t="str">
        <f>VLOOKUP($B46,'Raw Datas'!$54:$101,M$7,FALSE)</f>
        <v>ND</v>
      </c>
      <c r="N46" s="89" t="str">
        <f>VLOOKUP($B46,'Raw Datas'!$54:$101,N$7,FALSE)</f>
        <v>ND</v>
      </c>
      <c r="O46" s="89" t="str">
        <f>VLOOKUP($B46,'Raw Datas'!$54:$101,O$7,FALSE)</f>
        <v>ND</v>
      </c>
      <c r="P46" s="89" t="str">
        <f>VLOOKUP($B46,'Raw Datas'!$54:$101,P$7,FALSE)</f>
        <v>ND</v>
      </c>
      <c r="Q46" s="89" t="str">
        <f>VLOOKUP($B46,'Raw Datas'!$54:$101,Q$7,FALSE)</f>
        <v>ND</v>
      </c>
      <c r="R46" s="89" t="str">
        <f>VLOOKUP($B46,'Raw Datas'!$54:$101,R$7,FALSE)</f>
        <v>ND</v>
      </c>
      <c r="S46" s="89" t="str">
        <f>VLOOKUP($B46,'Raw Datas'!$54:$101,S$7,FALSE)</f>
        <v>ND</v>
      </c>
      <c r="T46" s="89" t="str">
        <f>VLOOKUP($B46,'Raw Datas'!$54:$101,T$7,FALSE)</f>
        <v>ND</v>
      </c>
      <c r="U46" s="89" t="str">
        <f>VLOOKUP($B46,'Raw Datas'!$54:$101,U$7,FALSE)</f>
        <v>ND</v>
      </c>
      <c r="V46" s="89" t="str">
        <f>VLOOKUP($B46,'Raw Datas'!$54:$101,V$7,FALSE)</f>
        <v>ND</v>
      </c>
    </row>
    <row r="47" spans="1:16048" ht="15.75" customHeight="1" x14ac:dyDescent="0.25">
      <c r="A47" s="116"/>
      <c r="B47" s="38" t="s">
        <v>47</v>
      </c>
      <c r="C47" s="93" t="str">
        <f>VLOOKUP($B47,'Raw Datas'!$54:$101,C$7,FALSE)</f>
        <v>ND</v>
      </c>
      <c r="D47" s="93" t="str">
        <f>VLOOKUP($B47,'Raw Datas'!$54:$101,D$7,FALSE)</f>
        <v>ND</v>
      </c>
      <c r="E47" s="93" t="str">
        <f>VLOOKUP($B47,'Raw Datas'!$54:$101,E$7,FALSE)</f>
        <v>ND</v>
      </c>
      <c r="F47" s="93" t="str">
        <f>VLOOKUP($B47,'Raw Datas'!$54:$101,F$7,FALSE)</f>
        <v>ND</v>
      </c>
      <c r="G47" s="93" t="str">
        <f>VLOOKUP($B47,'Raw Datas'!$54:$101,G$7,FALSE)</f>
        <v>ND</v>
      </c>
      <c r="H47" s="93" t="str">
        <f>VLOOKUP($B47,'Raw Datas'!$54:$101,H$7,FALSE)</f>
        <v>ND</v>
      </c>
      <c r="I47" s="93" t="str">
        <f>VLOOKUP($B47,'Raw Datas'!$54:$101,I$7,FALSE)</f>
        <v>ND</v>
      </c>
      <c r="J47" s="89" t="str">
        <f>VLOOKUP($B47,'Raw Datas'!$54:$101,J$7,FALSE)</f>
        <v>ND</v>
      </c>
      <c r="K47" s="89" t="str">
        <f>VLOOKUP($B47,'Raw Datas'!$54:$101,K$7,FALSE)</f>
        <v>ND</v>
      </c>
      <c r="L47" s="89" t="str">
        <f>VLOOKUP($B47,'Raw Datas'!$54:$101,L$7,FALSE)</f>
        <v>ND</v>
      </c>
      <c r="M47" s="89" t="str">
        <f>VLOOKUP($B47,'Raw Datas'!$54:$101,M$7,FALSE)</f>
        <v>ND</v>
      </c>
      <c r="N47" s="89" t="str">
        <f>VLOOKUP($B47,'Raw Datas'!$54:$101,N$7,FALSE)</f>
        <v>ND</v>
      </c>
      <c r="O47" s="89" t="str">
        <f>VLOOKUP($B47,'Raw Datas'!$54:$101,O$7,FALSE)</f>
        <v>ND</v>
      </c>
      <c r="P47" s="89" t="str">
        <f>VLOOKUP($B47,'Raw Datas'!$54:$101,P$7,FALSE)</f>
        <v>ND</v>
      </c>
      <c r="Q47" s="89" t="str">
        <f>VLOOKUP($B47,'Raw Datas'!$54:$101,Q$7,FALSE)</f>
        <v>ND</v>
      </c>
      <c r="R47" s="89" t="str">
        <f>VLOOKUP($B47,'Raw Datas'!$54:$101,R$7,FALSE)</f>
        <v>ND</v>
      </c>
      <c r="S47" s="89" t="str">
        <f>VLOOKUP($B47,'Raw Datas'!$54:$101,S$7,FALSE)</f>
        <v>ND</v>
      </c>
      <c r="T47" s="89" t="str">
        <f>VLOOKUP($B47,'Raw Datas'!$54:$101,T$7,FALSE)</f>
        <v>ND</v>
      </c>
      <c r="U47" s="89" t="str">
        <f>VLOOKUP($B47,'Raw Datas'!$54:$101,U$7,FALSE)</f>
        <v>ND</v>
      </c>
      <c r="V47" s="89" t="str">
        <f>VLOOKUP($B47,'Raw Datas'!$54:$101,V$7,FALSE)</f>
        <v>ND</v>
      </c>
    </row>
    <row r="48" spans="1:16048" ht="15.75" customHeight="1" x14ac:dyDescent="0.25">
      <c r="A48" s="116"/>
      <c r="B48" s="38" t="s">
        <v>48</v>
      </c>
      <c r="C48" s="93" t="str">
        <f>VLOOKUP($B48,'Raw Datas'!$54:$101,C$7,FALSE)</f>
        <v>ND</v>
      </c>
      <c r="D48" s="93" t="str">
        <f>VLOOKUP($B48,'Raw Datas'!$54:$101,D$7,FALSE)</f>
        <v>ND</v>
      </c>
      <c r="E48" s="93" t="str">
        <f>VLOOKUP($B48,'Raw Datas'!$54:$101,E$7,FALSE)</f>
        <v>ND</v>
      </c>
      <c r="F48" s="93" t="str">
        <f>VLOOKUP($B48,'Raw Datas'!$54:$101,F$7,FALSE)</f>
        <v>ND</v>
      </c>
      <c r="G48" s="93" t="str">
        <f>VLOOKUP($B48,'Raw Datas'!$54:$101,G$7,FALSE)</f>
        <v>ND</v>
      </c>
      <c r="H48" s="93" t="str">
        <f>VLOOKUP($B48,'Raw Datas'!$54:$101,H$7,FALSE)</f>
        <v>ND</v>
      </c>
      <c r="I48" s="93" t="str">
        <f>VLOOKUP($B48,'Raw Datas'!$54:$101,I$7,FALSE)</f>
        <v>ND</v>
      </c>
      <c r="J48" s="89" t="str">
        <f>VLOOKUP($B48,'Raw Datas'!$54:$101,J$7,FALSE)</f>
        <v>ND</v>
      </c>
      <c r="K48" s="89" t="str">
        <f>VLOOKUP($B48,'Raw Datas'!$54:$101,K$7,FALSE)</f>
        <v>ND</v>
      </c>
      <c r="L48" s="89" t="str">
        <f>VLOOKUP($B48,'Raw Datas'!$54:$101,L$7,FALSE)</f>
        <v>ND</v>
      </c>
      <c r="M48" s="89" t="str">
        <f>VLOOKUP($B48,'Raw Datas'!$54:$101,M$7,FALSE)</f>
        <v>ND</v>
      </c>
      <c r="N48" s="89" t="str">
        <f>VLOOKUP($B48,'Raw Datas'!$54:$101,N$7,FALSE)</f>
        <v>ND</v>
      </c>
      <c r="O48" s="89" t="str">
        <f>VLOOKUP($B48,'Raw Datas'!$54:$101,O$7,FALSE)</f>
        <v>ND</v>
      </c>
      <c r="P48" s="89" t="str">
        <f>VLOOKUP($B48,'Raw Datas'!$54:$101,P$7,FALSE)</f>
        <v>ND</v>
      </c>
      <c r="Q48" s="89" t="str">
        <f>VLOOKUP($B48,'Raw Datas'!$54:$101,Q$7,FALSE)</f>
        <v>ND</v>
      </c>
      <c r="R48" s="89" t="str">
        <f>VLOOKUP($B48,'Raw Datas'!$54:$101,R$7,FALSE)</f>
        <v>ND</v>
      </c>
      <c r="S48" s="89" t="str">
        <f>VLOOKUP($B48,'Raw Datas'!$54:$101,S$7,FALSE)</f>
        <v>ND</v>
      </c>
      <c r="T48" s="89" t="str">
        <f>VLOOKUP($B48,'Raw Datas'!$54:$101,T$7,FALSE)</f>
        <v>ND</v>
      </c>
      <c r="U48" s="89" t="str">
        <f>VLOOKUP($B48,'Raw Datas'!$54:$101,U$7,FALSE)</f>
        <v>ND</v>
      </c>
      <c r="V48" s="89" t="str">
        <f>VLOOKUP($B48,'Raw Datas'!$54:$101,V$7,FALSE)</f>
        <v>ND</v>
      </c>
    </row>
    <row r="49" spans="1:16048" ht="15.75" thickBot="1" x14ac:dyDescent="0.3">
      <c r="A49" s="117"/>
      <c r="B49" s="39" t="s">
        <v>49</v>
      </c>
      <c r="C49" s="94" t="str">
        <f>VLOOKUP($B49,'Raw Datas'!$54:$101,C$7,FALSE)</f>
        <v>&lt;LLOQ</v>
      </c>
      <c r="D49" s="94">
        <f>VLOOKUP($B49,'Raw Datas'!$54:$101,D$7,FALSE)</f>
        <v>9.0407999999999991</v>
      </c>
      <c r="E49" s="94" t="str">
        <f>VLOOKUP($B49,'Raw Datas'!$54:$101,E$7,FALSE)</f>
        <v>&lt;LLOQ</v>
      </c>
      <c r="F49" s="94">
        <f>VLOOKUP($B49,'Raw Datas'!$54:$101,F$7,FALSE)</f>
        <v>1.3332166666666665</v>
      </c>
      <c r="G49" s="94" t="str">
        <f>VLOOKUP($B49,'Raw Datas'!$54:$101,G$7,FALSE)</f>
        <v>&lt;LLOQ</v>
      </c>
      <c r="H49" s="94" t="str">
        <f>VLOOKUP($B49,'Raw Datas'!$54:$101,H$7,FALSE)</f>
        <v>&lt;LLOQ</v>
      </c>
      <c r="I49" s="94" t="str">
        <f>VLOOKUP($B49,'Raw Datas'!$54:$101,I$7,FALSE)</f>
        <v>&lt;LLOQ</v>
      </c>
      <c r="J49" s="90" t="str">
        <f>VLOOKUP($B49,'Raw Datas'!$54:$101,J$7,FALSE)</f>
        <v>&lt;LLOQ</v>
      </c>
      <c r="K49" s="90">
        <f>VLOOKUP($B49,'Raw Datas'!$54:$101,K$7,FALSE)</f>
        <v>0.66735000000000011</v>
      </c>
      <c r="L49" s="90" t="str">
        <f>VLOOKUP($B49,'Raw Datas'!$54:$101,L$7,FALSE)</f>
        <v>&lt;LLOQ</v>
      </c>
      <c r="M49" s="90" t="str">
        <f>VLOOKUP($B49,'Raw Datas'!$54:$101,M$7,FALSE)</f>
        <v>&lt;LLOQ</v>
      </c>
      <c r="N49" s="90">
        <f>VLOOKUP($B49,'Raw Datas'!$54:$101,N$7,FALSE)</f>
        <v>2.2973166666666667</v>
      </c>
      <c r="O49" s="90">
        <f>VLOOKUP($B49,'Raw Datas'!$54:$101,O$7,FALSE)</f>
        <v>0.77238333333333331</v>
      </c>
      <c r="P49" s="90" t="str">
        <f>VLOOKUP($B49,'Raw Datas'!$54:$101,P$7,FALSE)</f>
        <v>&lt;LLOQ</v>
      </c>
      <c r="Q49" s="90">
        <f>VLOOKUP($B49,'Raw Datas'!$54:$101,Q$7,FALSE)</f>
        <v>1.5452333333333332</v>
      </c>
      <c r="R49" s="90" t="str">
        <f>VLOOKUP($B49,'Raw Datas'!$54:$101,R$7,FALSE)</f>
        <v>&lt;LLOQ</v>
      </c>
      <c r="S49" s="90">
        <f>VLOOKUP($B49,'Raw Datas'!$54:$101,S$7,FALSE)</f>
        <v>5.3936333333333346</v>
      </c>
      <c r="T49" s="90" t="str">
        <f>VLOOKUP($B49,'Raw Datas'!$54:$101,T$7,FALSE)</f>
        <v>&lt;LLOQ</v>
      </c>
      <c r="U49" s="90" t="str">
        <f>VLOOKUP($B49,'Raw Datas'!$54:$101,U$7,FALSE)</f>
        <v>&lt;LLOQ</v>
      </c>
      <c r="V49" s="90" t="str">
        <f>VLOOKUP($B49,'Raw Datas'!$54:$101,V$7,FALSE)</f>
        <v>&lt;LLOQ</v>
      </c>
    </row>
    <row r="50" spans="1:16048" ht="15.75" thickBot="1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  <c r="AMY50" s="6"/>
      <c r="AMZ50" s="6"/>
      <c r="ANA50" s="6"/>
      <c r="ANB50" s="6"/>
      <c r="ANC50" s="6"/>
      <c r="AND50" s="6"/>
      <c r="ANE50" s="6"/>
      <c r="ANF50" s="6"/>
      <c r="ANG50" s="6"/>
      <c r="ANH50" s="6"/>
      <c r="ANI50" s="6"/>
      <c r="ANJ50" s="6"/>
      <c r="ANK50" s="6"/>
      <c r="ANL50" s="6"/>
      <c r="ANM50" s="6"/>
      <c r="ANN50" s="6"/>
      <c r="ANO50" s="6"/>
      <c r="ANP50" s="6"/>
      <c r="ANQ50" s="6"/>
      <c r="ANR50" s="6"/>
      <c r="ANS50" s="6"/>
      <c r="ANT50" s="6"/>
      <c r="ANU50" s="6"/>
      <c r="ANV50" s="6"/>
      <c r="ANW50" s="6"/>
      <c r="ANX50" s="6"/>
      <c r="ANY50" s="6"/>
      <c r="ANZ50" s="6"/>
      <c r="AOA50" s="6"/>
      <c r="AOB50" s="6"/>
      <c r="AOC50" s="6"/>
      <c r="AOD50" s="6"/>
      <c r="AOE50" s="6"/>
      <c r="AOF50" s="6"/>
      <c r="AOG50" s="6"/>
      <c r="AOH50" s="6"/>
      <c r="AOI50" s="6"/>
      <c r="AOJ50" s="6"/>
      <c r="AOK50" s="6"/>
      <c r="AOL50" s="6"/>
      <c r="AOM50" s="6"/>
      <c r="AON50" s="6"/>
      <c r="AOO50" s="6"/>
      <c r="AOP50" s="6"/>
      <c r="AOQ50" s="6"/>
      <c r="AOR50" s="6"/>
      <c r="AOS50" s="6"/>
      <c r="AOT50" s="6"/>
      <c r="AOU50" s="6"/>
      <c r="AOV50" s="6"/>
      <c r="AOW50" s="6"/>
      <c r="AOX50" s="6"/>
      <c r="AOY50" s="6"/>
      <c r="AOZ50" s="6"/>
      <c r="APA50" s="6"/>
      <c r="APB50" s="6"/>
      <c r="APC50" s="6"/>
      <c r="APD50" s="6"/>
      <c r="APE50" s="6"/>
      <c r="APF50" s="6"/>
      <c r="APG50" s="6"/>
      <c r="APH50" s="6"/>
      <c r="API50" s="6"/>
      <c r="APJ50" s="6"/>
      <c r="APK50" s="6"/>
      <c r="APL50" s="6"/>
      <c r="APM50" s="6"/>
      <c r="APN50" s="6"/>
      <c r="APO50" s="6"/>
      <c r="APP50" s="6"/>
      <c r="APQ50" s="6"/>
      <c r="APR50" s="6"/>
      <c r="APS50" s="6"/>
      <c r="APT50" s="6"/>
      <c r="APU50" s="6"/>
      <c r="APV50" s="6"/>
      <c r="APW50" s="6"/>
      <c r="APX50" s="6"/>
      <c r="APY50" s="6"/>
      <c r="APZ50" s="6"/>
      <c r="AQA50" s="6"/>
      <c r="AQB50" s="6"/>
      <c r="AQC50" s="6"/>
      <c r="AQD50" s="6"/>
      <c r="AQE50" s="6"/>
      <c r="AQF50" s="6"/>
      <c r="AQG50" s="6"/>
      <c r="AQH50" s="6"/>
      <c r="AQI50" s="6"/>
      <c r="AQJ50" s="6"/>
      <c r="AQK50" s="6"/>
      <c r="AQL50" s="6"/>
      <c r="AQM50" s="6"/>
      <c r="AQN50" s="6"/>
      <c r="AQO50" s="6"/>
      <c r="AQP50" s="6"/>
      <c r="AQQ50" s="6"/>
      <c r="AQR50" s="6"/>
      <c r="AQS50" s="6"/>
      <c r="AQT50" s="6"/>
      <c r="AQU50" s="6"/>
      <c r="AQV50" s="6"/>
      <c r="AQW50" s="6"/>
      <c r="AQX50" s="6"/>
      <c r="AQY50" s="6"/>
      <c r="AQZ50" s="6"/>
      <c r="ARA50" s="6"/>
      <c r="ARB50" s="6"/>
      <c r="ARC50" s="6"/>
      <c r="ARD50" s="6"/>
      <c r="ARE50" s="6"/>
      <c r="ARF50" s="6"/>
      <c r="ARG50" s="6"/>
      <c r="ARH50" s="6"/>
      <c r="ARI50" s="6"/>
      <c r="ARJ50" s="6"/>
      <c r="ARK50" s="6"/>
      <c r="ARL50" s="6"/>
      <c r="ARM50" s="6"/>
      <c r="ARN50" s="6"/>
      <c r="ARO50" s="6"/>
      <c r="ARP50" s="6"/>
      <c r="ARQ50" s="6"/>
      <c r="ARR50" s="6"/>
      <c r="ARS50" s="6"/>
      <c r="ART50" s="6"/>
      <c r="ARU50" s="6"/>
      <c r="ARV50" s="6"/>
      <c r="ARW50" s="6"/>
      <c r="ARX50" s="6"/>
      <c r="ARY50" s="6"/>
      <c r="ARZ50" s="6"/>
      <c r="ASA50" s="6"/>
      <c r="ASB50" s="6"/>
      <c r="ASC50" s="6"/>
      <c r="ASD50" s="6"/>
      <c r="ASE50" s="6"/>
      <c r="ASF50" s="6"/>
      <c r="ASG50" s="6"/>
      <c r="ASH50" s="6"/>
      <c r="ASI50" s="6"/>
      <c r="ASJ50" s="6"/>
      <c r="ASK50" s="6"/>
      <c r="ASL50" s="6"/>
      <c r="ASM50" s="6"/>
      <c r="ASN50" s="6"/>
      <c r="ASO50" s="6"/>
      <c r="ASP50" s="6"/>
      <c r="ASQ50" s="6"/>
      <c r="ASR50" s="6"/>
      <c r="ASS50" s="6"/>
      <c r="AST50" s="6"/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/>
      <c r="ATW50" s="6"/>
      <c r="ATX50" s="6"/>
      <c r="ATY50" s="6"/>
      <c r="ATZ50" s="6"/>
      <c r="AUA50" s="6"/>
      <c r="AUB50" s="6"/>
      <c r="AUC50" s="6"/>
      <c r="AUD50" s="6"/>
      <c r="AUE50" s="6"/>
      <c r="AUF50" s="6"/>
      <c r="AUG50" s="6"/>
      <c r="AUH50" s="6"/>
      <c r="AUI50" s="6"/>
      <c r="AUJ50" s="6"/>
      <c r="AUK50" s="6"/>
      <c r="AUL50" s="6"/>
      <c r="AUM50" s="6"/>
      <c r="AUN50" s="6"/>
      <c r="AUO50" s="6"/>
      <c r="AUP50" s="6"/>
      <c r="AUQ50" s="6"/>
      <c r="AUR50" s="6"/>
      <c r="AUS50" s="6"/>
      <c r="AUT50" s="6"/>
      <c r="AUU50" s="6"/>
      <c r="AUV50" s="6"/>
      <c r="AUW50" s="6"/>
      <c r="AUX50" s="6"/>
      <c r="AUY50" s="6"/>
      <c r="AUZ50" s="6"/>
      <c r="AVA50" s="6"/>
      <c r="AVB50" s="6"/>
      <c r="AVC50" s="6"/>
      <c r="AVD50" s="6"/>
      <c r="AVE50" s="6"/>
      <c r="AVF50" s="6"/>
      <c r="AVG50" s="6"/>
      <c r="AVH50" s="6"/>
      <c r="AVI50" s="6"/>
      <c r="AVJ50" s="6"/>
      <c r="AVK50" s="6"/>
      <c r="AVL50" s="6"/>
      <c r="AVM50" s="6"/>
      <c r="AVN50" s="6"/>
      <c r="AVO50" s="6"/>
      <c r="AVP50" s="6"/>
      <c r="AVQ50" s="6"/>
      <c r="AVR50" s="6"/>
      <c r="AVS50" s="6"/>
      <c r="AVT50" s="6"/>
      <c r="AVU50" s="6"/>
      <c r="AVV50" s="6"/>
      <c r="AVW50" s="6"/>
      <c r="AVX50" s="6"/>
      <c r="AVY50" s="6"/>
      <c r="AVZ50" s="6"/>
      <c r="AWA50" s="6"/>
      <c r="AWB50" s="6"/>
      <c r="AWC50" s="6"/>
      <c r="AWD50" s="6"/>
      <c r="AWE50" s="6"/>
      <c r="AWF50" s="6"/>
      <c r="AWG50" s="6"/>
      <c r="AWH50" s="6"/>
      <c r="AWI50" s="6"/>
      <c r="AWJ50" s="6"/>
      <c r="AWK50" s="6"/>
      <c r="AWL50" s="6"/>
      <c r="AWM50" s="6"/>
      <c r="AWN50" s="6"/>
      <c r="AWO50" s="6"/>
      <c r="AWP50" s="6"/>
      <c r="AWQ50" s="6"/>
      <c r="AWR50" s="6"/>
      <c r="AWS50" s="6"/>
      <c r="AWT50" s="6"/>
      <c r="AWU50" s="6"/>
      <c r="AWV50" s="6"/>
      <c r="AWW50" s="6"/>
      <c r="AWX50" s="6"/>
      <c r="AWY50" s="6"/>
      <c r="AWZ50" s="6"/>
      <c r="AXA50" s="6"/>
      <c r="AXB50" s="6"/>
      <c r="AXC50" s="6"/>
      <c r="AXD50" s="6"/>
      <c r="AXE50" s="6"/>
      <c r="AXF50" s="6"/>
      <c r="AXG50" s="6"/>
      <c r="AXH50" s="6"/>
      <c r="AXI50" s="6"/>
      <c r="AXJ50" s="6"/>
      <c r="AXK50" s="6"/>
      <c r="AXL50" s="6"/>
      <c r="AXM50" s="6"/>
      <c r="AXN50" s="6"/>
      <c r="AXO50" s="6"/>
      <c r="AXP50" s="6"/>
      <c r="AXQ50" s="6"/>
      <c r="AXR50" s="6"/>
      <c r="AXS50" s="6"/>
      <c r="AXT50" s="6"/>
      <c r="AXU50" s="6"/>
      <c r="AXV50" s="6"/>
      <c r="AXW50" s="6"/>
      <c r="AXX50" s="6"/>
      <c r="AXY50" s="6"/>
      <c r="AXZ50" s="6"/>
      <c r="AYA50" s="6"/>
      <c r="AYB50" s="6"/>
      <c r="AYC50" s="6"/>
      <c r="AYD50" s="6"/>
      <c r="AYE50" s="6"/>
      <c r="AYF50" s="6"/>
      <c r="AYG50" s="6"/>
      <c r="AYH50" s="6"/>
      <c r="AYI50" s="6"/>
      <c r="AYJ50" s="6"/>
      <c r="AYK50" s="6"/>
      <c r="AYL50" s="6"/>
      <c r="AYM50" s="6"/>
      <c r="AYN50" s="6"/>
      <c r="AYO50" s="6"/>
      <c r="AYP50" s="6"/>
      <c r="AYQ50" s="6"/>
      <c r="AYR50" s="6"/>
      <c r="AYS50" s="6"/>
      <c r="AYT50" s="6"/>
      <c r="AYU50" s="6"/>
      <c r="AYV50" s="6"/>
      <c r="AYW50" s="6"/>
      <c r="AYX50" s="6"/>
      <c r="AYY50" s="6"/>
      <c r="AYZ50" s="6"/>
      <c r="AZA50" s="6"/>
      <c r="AZB50" s="6"/>
      <c r="AZC50" s="6"/>
      <c r="AZD50" s="6"/>
      <c r="AZE50" s="6"/>
      <c r="AZF50" s="6"/>
      <c r="AZG50" s="6"/>
      <c r="AZH50" s="6"/>
      <c r="AZI50" s="6"/>
      <c r="AZJ50" s="6"/>
      <c r="AZK50" s="6"/>
      <c r="AZL50" s="6"/>
      <c r="AZM50" s="6"/>
      <c r="AZN50" s="6"/>
      <c r="AZO50" s="6"/>
      <c r="AZP50" s="6"/>
      <c r="AZQ50" s="6"/>
      <c r="AZR50" s="6"/>
      <c r="AZS50" s="6"/>
      <c r="AZT50" s="6"/>
      <c r="AZU50" s="6"/>
      <c r="AZV50" s="6"/>
      <c r="AZW50" s="6"/>
      <c r="AZX50" s="6"/>
      <c r="AZY50" s="6"/>
      <c r="AZZ50" s="6"/>
      <c r="BAA50" s="6"/>
      <c r="BAB50" s="6"/>
      <c r="BAC50" s="6"/>
      <c r="BAD50" s="6"/>
      <c r="BAE50" s="6"/>
      <c r="BAF50" s="6"/>
      <c r="BAG50" s="6"/>
      <c r="BAH50" s="6"/>
      <c r="BAI50" s="6"/>
      <c r="BAJ50" s="6"/>
      <c r="BAK50" s="6"/>
      <c r="BAL50" s="6"/>
      <c r="BAM50" s="6"/>
      <c r="BAN50" s="6"/>
      <c r="BAO50" s="6"/>
      <c r="BAP50" s="6"/>
      <c r="BAQ50" s="6"/>
      <c r="BAR50" s="6"/>
      <c r="BAS50" s="6"/>
      <c r="BAT50" s="6"/>
      <c r="BAU50" s="6"/>
      <c r="BAV50" s="6"/>
      <c r="BAW50" s="6"/>
      <c r="BAX50" s="6"/>
      <c r="BAY50" s="6"/>
      <c r="BAZ50" s="6"/>
      <c r="BBA50" s="6"/>
      <c r="BBB50" s="6"/>
      <c r="BBC50" s="6"/>
      <c r="BBD50" s="6"/>
      <c r="BBE50" s="6"/>
      <c r="BBF50" s="6"/>
      <c r="BBG50" s="6"/>
      <c r="BBH50" s="6"/>
      <c r="BBI50" s="6"/>
      <c r="BBJ50" s="6"/>
      <c r="BBK50" s="6"/>
      <c r="BBL50" s="6"/>
      <c r="BBM50" s="6"/>
      <c r="BBN50" s="6"/>
      <c r="BBO50" s="6"/>
      <c r="BBP50" s="6"/>
      <c r="BBQ50" s="6"/>
      <c r="BBR50" s="6"/>
      <c r="BBS50" s="6"/>
      <c r="BBT50" s="6"/>
      <c r="BBU50" s="6"/>
      <c r="BBV50" s="6"/>
      <c r="BBW50" s="6"/>
      <c r="BBX50" s="6"/>
      <c r="BBY50" s="6"/>
      <c r="BBZ50" s="6"/>
      <c r="BCA50" s="6"/>
      <c r="BCB50" s="6"/>
      <c r="BCC50" s="6"/>
      <c r="BCD50" s="6"/>
      <c r="BCE50" s="6"/>
      <c r="BCF50" s="6"/>
      <c r="BCG50" s="6"/>
      <c r="BCH50" s="6"/>
      <c r="BCI50" s="6"/>
      <c r="BCJ50" s="6"/>
      <c r="BCK50" s="6"/>
      <c r="BCL50" s="6"/>
      <c r="BCM50" s="6"/>
      <c r="BCN50" s="6"/>
      <c r="BCO50" s="6"/>
      <c r="BCP50" s="6"/>
      <c r="BCQ50" s="6"/>
      <c r="BCR50" s="6"/>
      <c r="BCS50" s="6"/>
      <c r="BCT50" s="6"/>
      <c r="BCU50" s="6"/>
      <c r="BCV50" s="6"/>
      <c r="BCW50" s="6"/>
      <c r="BCX50" s="6"/>
      <c r="BCY50" s="6"/>
      <c r="BCZ50" s="6"/>
      <c r="BDA50" s="6"/>
      <c r="BDB50" s="6"/>
      <c r="BDC50" s="6"/>
      <c r="BDD50" s="6"/>
      <c r="BDE50" s="6"/>
      <c r="BDF50" s="6"/>
      <c r="BDG50" s="6"/>
      <c r="BDH50" s="6"/>
      <c r="BDI50" s="6"/>
      <c r="BDJ50" s="6"/>
      <c r="BDK50" s="6"/>
      <c r="BDL50" s="6"/>
      <c r="BDM50" s="6"/>
      <c r="BDN50" s="6"/>
      <c r="BDO50" s="6"/>
      <c r="BDP50" s="6"/>
      <c r="BDQ50" s="6"/>
      <c r="BDR50" s="6"/>
      <c r="BDS50" s="6"/>
      <c r="BDT50" s="6"/>
      <c r="BDU50" s="6"/>
      <c r="BDV50" s="6"/>
      <c r="BDW50" s="6"/>
      <c r="BDX50" s="6"/>
      <c r="BDY50" s="6"/>
      <c r="BDZ50" s="6"/>
      <c r="BEA50" s="6"/>
      <c r="BEB50" s="6"/>
      <c r="BEC50" s="6"/>
      <c r="BED50" s="6"/>
      <c r="BEE50" s="6"/>
      <c r="BEF50" s="6"/>
      <c r="BEG50" s="6"/>
      <c r="BEH50" s="6"/>
      <c r="BEI50" s="6"/>
      <c r="BEJ50" s="6"/>
      <c r="BEK50" s="6"/>
      <c r="BEL50" s="6"/>
      <c r="BEM50" s="6"/>
      <c r="BEN50" s="6"/>
      <c r="BEO50" s="6"/>
      <c r="BEP50" s="6"/>
      <c r="BEQ50" s="6"/>
      <c r="BER50" s="6"/>
      <c r="BES50" s="6"/>
      <c r="BET50" s="6"/>
      <c r="BEU50" s="6"/>
      <c r="BEV50" s="6"/>
      <c r="BEW50" s="6"/>
      <c r="BEX50" s="6"/>
      <c r="BEY50" s="6"/>
      <c r="BEZ50" s="6"/>
      <c r="BFA50" s="6"/>
      <c r="BFB50" s="6"/>
      <c r="BFC50" s="6"/>
      <c r="BFD50" s="6"/>
      <c r="BFE50" s="6"/>
      <c r="BFF50" s="6"/>
      <c r="BFG50" s="6"/>
      <c r="BFH50" s="6"/>
      <c r="BFI50" s="6"/>
      <c r="BFJ50" s="6"/>
      <c r="BFK50" s="6"/>
      <c r="BFL50" s="6"/>
      <c r="BFM50" s="6"/>
      <c r="BFN50" s="6"/>
      <c r="BFO50" s="6"/>
      <c r="BFP50" s="6"/>
      <c r="BFQ50" s="6"/>
      <c r="BFR50" s="6"/>
      <c r="BFS50" s="6"/>
      <c r="BFT50" s="6"/>
      <c r="BFU50" s="6"/>
      <c r="BFV50" s="6"/>
      <c r="BFW50" s="6"/>
      <c r="BFX50" s="6"/>
      <c r="BFY50" s="6"/>
      <c r="BFZ50" s="6"/>
      <c r="BGA50" s="6"/>
      <c r="BGB50" s="6"/>
      <c r="BGC50" s="6"/>
      <c r="BGD50" s="6"/>
      <c r="BGE50" s="6"/>
      <c r="BGF50" s="6"/>
      <c r="BGG50" s="6"/>
      <c r="BGH50" s="6"/>
      <c r="BGI50" s="6"/>
      <c r="BGJ50" s="6"/>
      <c r="BGK50" s="6"/>
      <c r="BGL50" s="6"/>
      <c r="BGM50" s="6"/>
      <c r="BGN50" s="6"/>
      <c r="BGO50" s="6"/>
      <c r="BGP50" s="6"/>
      <c r="BGQ50" s="6"/>
      <c r="BGR50" s="6"/>
      <c r="BGS50" s="6"/>
      <c r="BGT50" s="6"/>
      <c r="BGU50" s="6"/>
      <c r="BGV50" s="6"/>
      <c r="BGW50" s="6"/>
      <c r="BGX50" s="6"/>
      <c r="BGY50" s="6"/>
      <c r="BGZ50" s="6"/>
      <c r="BHA50" s="6"/>
      <c r="BHB50" s="6"/>
      <c r="BHC50" s="6"/>
      <c r="BHD50" s="6"/>
      <c r="BHE50" s="6"/>
      <c r="BHF50" s="6"/>
      <c r="BHG50" s="6"/>
      <c r="BHH50" s="6"/>
      <c r="BHI50" s="6"/>
      <c r="BHJ50" s="6"/>
      <c r="BHK50" s="6"/>
      <c r="BHL50" s="6"/>
      <c r="BHM50" s="6"/>
      <c r="BHN50" s="6"/>
      <c r="BHO50" s="6"/>
      <c r="BHP50" s="6"/>
      <c r="BHQ50" s="6"/>
      <c r="BHR50" s="6"/>
      <c r="BHS50" s="6"/>
      <c r="BHT50" s="6"/>
      <c r="BHU50" s="6"/>
      <c r="BHV50" s="6"/>
      <c r="BHW50" s="6"/>
      <c r="BHX50" s="6"/>
      <c r="BHY50" s="6"/>
      <c r="BHZ50" s="6"/>
      <c r="BIA50" s="6"/>
      <c r="BIB50" s="6"/>
      <c r="BIC50" s="6"/>
      <c r="BID50" s="6"/>
      <c r="BIE50" s="6"/>
      <c r="BIF50" s="6"/>
      <c r="BIG50" s="6"/>
      <c r="BIH50" s="6"/>
      <c r="BII50" s="6"/>
      <c r="BIJ50" s="6"/>
      <c r="BIK50" s="6"/>
      <c r="BIL50" s="6"/>
      <c r="BIM50" s="6"/>
      <c r="BIN50" s="6"/>
      <c r="BIO50" s="6"/>
      <c r="BIP50" s="6"/>
      <c r="BIQ50" s="6"/>
      <c r="BIR50" s="6"/>
      <c r="BIS50" s="6"/>
      <c r="BIT50" s="6"/>
      <c r="BIU50" s="6"/>
      <c r="BIV50" s="6"/>
      <c r="BIW50" s="6"/>
      <c r="BIX50" s="6"/>
      <c r="BIY50" s="6"/>
      <c r="BIZ50" s="6"/>
      <c r="BJA50" s="6"/>
      <c r="BJB50" s="6"/>
      <c r="BJC50" s="6"/>
      <c r="BJD50" s="6"/>
      <c r="BJE50" s="6"/>
      <c r="BJF50" s="6"/>
      <c r="BJG50" s="6"/>
      <c r="BJH50" s="6"/>
      <c r="BJI50" s="6"/>
      <c r="BJJ50" s="6"/>
      <c r="BJK50" s="6"/>
      <c r="BJL50" s="6"/>
      <c r="BJM50" s="6"/>
      <c r="BJN50" s="6"/>
      <c r="BJO50" s="6"/>
      <c r="BJP50" s="6"/>
      <c r="BJQ50" s="6"/>
      <c r="BJR50" s="6"/>
      <c r="BJS50" s="6"/>
      <c r="BJT50" s="6"/>
      <c r="BJU50" s="6"/>
      <c r="BJV50" s="6"/>
      <c r="BJW50" s="6"/>
      <c r="BJX50" s="6"/>
      <c r="BJY50" s="6"/>
      <c r="BJZ50" s="6"/>
      <c r="BKA50" s="6"/>
      <c r="BKB50" s="6"/>
      <c r="BKC50" s="6"/>
      <c r="BKD50" s="6"/>
      <c r="BKE50" s="6"/>
      <c r="BKF50" s="6"/>
      <c r="BKG50" s="6"/>
      <c r="BKH50" s="6"/>
      <c r="BKI50" s="6"/>
      <c r="BKJ50" s="6"/>
      <c r="BKK50" s="6"/>
      <c r="BKL50" s="6"/>
      <c r="BKM50" s="6"/>
      <c r="BKN50" s="6"/>
      <c r="BKO50" s="6"/>
      <c r="BKP50" s="6"/>
      <c r="BKQ50" s="6"/>
      <c r="BKR50" s="6"/>
      <c r="BKS50" s="6"/>
      <c r="BKT50" s="6"/>
      <c r="BKU50" s="6"/>
      <c r="BKV50" s="6"/>
      <c r="BKW50" s="6"/>
      <c r="BKX50" s="6"/>
      <c r="BKY50" s="6"/>
      <c r="BKZ50" s="6"/>
      <c r="BLA50" s="6"/>
      <c r="BLB50" s="6"/>
      <c r="BLC50" s="6"/>
      <c r="BLD50" s="6"/>
      <c r="BLE50" s="6"/>
      <c r="BLF50" s="6"/>
      <c r="BLG50" s="6"/>
      <c r="BLH50" s="6"/>
      <c r="BLI50" s="6"/>
      <c r="BLJ50" s="6"/>
      <c r="BLK50" s="6"/>
      <c r="BLL50" s="6"/>
      <c r="BLM50" s="6"/>
      <c r="BLN50" s="6"/>
      <c r="BLO50" s="6"/>
      <c r="BLP50" s="6"/>
      <c r="BLQ50" s="6"/>
      <c r="BLR50" s="6"/>
      <c r="BLS50" s="6"/>
      <c r="BLT50" s="6"/>
      <c r="BLU50" s="6"/>
      <c r="BLV50" s="6"/>
      <c r="BLW50" s="6"/>
      <c r="BLX50" s="6"/>
      <c r="BLY50" s="6"/>
      <c r="BLZ50" s="6"/>
      <c r="BMA50" s="6"/>
      <c r="BMB50" s="6"/>
      <c r="BMC50" s="6"/>
      <c r="BMD50" s="6"/>
      <c r="BME50" s="6"/>
      <c r="BMF50" s="6"/>
      <c r="BMG50" s="6"/>
      <c r="BMH50" s="6"/>
      <c r="BMI50" s="6"/>
      <c r="BMJ50" s="6"/>
      <c r="BMK50" s="6"/>
      <c r="BML50" s="6"/>
      <c r="BMM50" s="6"/>
      <c r="BMN50" s="6"/>
      <c r="BMO50" s="6"/>
      <c r="BMP50" s="6"/>
      <c r="BMQ50" s="6"/>
      <c r="BMR50" s="6"/>
      <c r="BMS50" s="6"/>
      <c r="BMT50" s="6"/>
      <c r="BMU50" s="6"/>
      <c r="BMV50" s="6"/>
      <c r="BMW50" s="6"/>
      <c r="BMX50" s="6"/>
      <c r="BMY50" s="6"/>
      <c r="BMZ50" s="6"/>
      <c r="BNA50" s="6"/>
      <c r="BNB50" s="6"/>
      <c r="BNC50" s="6"/>
      <c r="BND50" s="6"/>
      <c r="BNE50" s="6"/>
      <c r="BNF50" s="6"/>
      <c r="BNG50" s="6"/>
      <c r="BNH50" s="6"/>
      <c r="BNI50" s="6"/>
      <c r="BNJ50" s="6"/>
      <c r="BNK50" s="6"/>
      <c r="BNL50" s="6"/>
      <c r="BNM50" s="6"/>
      <c r="BNN50" s="6"/>
      <c r="BNO50" s="6"/>
      <c r="BNP50" s="6"/>
      <c r="BNQ50" s="6"/>
      <c r="BNR50" s="6"/>
      <c r="BNS50" s="6"/>
      <c r="BNT50" s="6"/>
      <c r="BNU50" s="6"/>
      <c r="BNV50" s="6"/>
      <c r="BNW50" s="6"/>
      <c r="BNX50" s="6"/>
      <c r="BNY50" s="6"/>
      <c r="BNZ50" s="6"/>
      <c r="BOA50" s="6"/>
      <c r="BOB50" s="6"/>
      <c r="BOC50" s="6"/>
      <c r="BOD50" s="6"/>
      <c r="BOE50" s="6"/>
      <c r="BOF50" s="6"/>
      <c r="BOG50" s="6"/>
      <c r="BOH50" s="6"/>
      <c r="BOI50" s="6"/>
      <c r="BOJ50" s="6"/>
      <c r="BOK50" s="6"/>
      <c r="BOL50" s="6"/>
      <c r="BOM50" s="6"/>
      <c r="BON50" s="6"/>
      <c r="BOO50" s="6"/>
      <c r="BOP50" s="6"/>
      <c r="BOQ50" s="6"/>
      <c r="BOR50" s="6"/>
      <c r="BOS50" s="6"/>
      <c r="BOT50" s="6"/>
      <c r="BOU50" s="6"/>
      <c r="BOV50" s="6"/>
      <c r="BOW50" s="6"/>
      <c r="BOX50" s="6"/>
      <c r="BOY50" s="6"/>
      <c r="BOZ50" s="6"/>
      <c r="BPA50" s="6"/>
      <c r="BPB50" s="6"/>
      <c r="BPC50" s="6"/>
      <c r="BPD50" s="6"/>
      <c r="BPE50" s="6"/>
      <c r="BPF50" s="6"/>
      <c r="BPG50" s="6"/>
      <c r="BPH50" s="6"/>
      <c r="BPI50" s="6"/>
      <c r="BPJ50" s="6"/>
      <c r="BPK50" s="6"/>
      <c r="BPL50" s="6"/>
      <c r="BPM50" s="6"/>
      <c r="BPN50" s="6"/>
      <c r="BPO50" s="6"/>
      <c r="BPP50" s="6"/>
      <c r="BPQ50" s="6"/>
      <c r="BPR50" s="6"/>
      <c r="BPS50" s="6"/>
      <c r="BPT50" s="6"/>
      <c r="BPU50" s="6"/>
      <c r="BPV50" s="6"/>
      <c r="BPW50" s="6"/>
      <c r="BPX50" s="6"/>
      <c r="BPY50" s="6"/>
      <c r="BPZ50" s="6"/>
      <c r="BQA50" s="6"/>
      <c r="BQB50" s="6"/>
      <c r="BQC50" s="6"/>
      <c r="BQD50" s="6"/>
      <c r="BQE50" s="6"/>
      <c r="BQF50" s="6"/>
      <c r="BQG50" s="6"/>
      <c r="BQH50" s="6"/>
      <c r="BQI50" s="6"/>
      <c r="BQJ50" s="6"/>
      <c r="BQK50" s="6"/>
      <c r="BQL50" s="6"/>
      <c r="BQM50" s="6"/>
      <c r="BQN50" s="6"/>
      <c r="BQO50" s="6"/>
      <c r="BQP50" s="6"/>
      <c r="BQQ50" s="6"/>
      <c r="BQR50" s="6"/>
      <c r="BQS50" s="6"/>
      <c r="BQT50" s="6"/>
      <c r="BQU50" s="6"/>
      <c r="BQV50" s="6"/>
      <c r="BQW50" s="6"/>
      <c r="BQX50" s="6"/>
      <c r="BQY50" s="6"/>
      <c r="BQZ50" s="6"/>
      <c r="BRA50" s="6"/>
      <c r="BRB50" s="6"/>
      <c r="BRC50" s="6"/>
      <c r="BRD50" s="6"/>
      <c r="BRE50" s="6"/>
      <c r="BRF50" s="6"/>
      <c r="BRG50" s="6"/>
      <c r="BRH50" s="6"/>
      <c r="BRI50" s="6"/>
      <c r="BRJ50" s="6"/>
      <c r="BRK50" s="6"/>
      <c r="BRL50" s="6"/>
      <c r="BRM50" s="6"/>
      <c r="BRN50" s="6"/>
      <c r="BRO50" s="6"/>
      <c r="BRP50" s="6"/>
      <c r="BRQ50" s="6"/>
      <c r="BRR50" s="6"/>
      <c r="BRS50" s="6"/>
      <c r="BRT50" s="6"/>
      <c r="BRU50" s="6"/>
      <c r="BRV50" s="6"/>
      <c r="BRW50" s="6"/>
      <c r="BRX50" s="6"/>
      <c r="BRY50" s="6"/>
      <c r="BRZ50" s="6"/>
      <c r="BSA50" s="6"/>
      <c r="BSB50" s="6"/>
      <c r="BSC50" s="6"/>
      <c r="BSD50" s="6"/>
      <c r="BSE50" s="6"/>
      <c r="BSF50" s="6"/>
      <c r="BSG50" s="6"/>
      <c r="BSH50" s="6"/>
      <c r="BSI50" s="6"/>
      <c r="BSJ50" s="6"/>
      <c r="BSK50" s="6"/>
      <c r="BSL50" s="6"/>
      <c r="BSM50" s="6"/>
      <c r="BSN50" s="6"/>
      <c r="BSO50" s="6"/>
      <c r="BSP50" s="6"/>
      <c r="BSQ50" s="6"/>
      <c r="BSR50" s="6"/>
      <c r="BSS50" s="6"/>
      <c r="BST50" s="6"/>
      <c r="BSU50" s="6"/>
      <c r="BSV50" s="6"/>
      <c r="BSW50" s="6"/>
      <c r="BSX50" s="6"/>
      <c r="BSY50" s="6"/>
      <c r="BSZ50" s="6"/>
      <c r="BTA50" s="6"/>
      <c r="BTB50" s="6"/>
      <c r="BTC50" s="6"/>
      <c r="BTD50" s="6"/>
      <c r="BTE50" s="6"/>
      <c r="BTF50" s="6"/>
      <c r="BTG50" s="6"/>
      <c r="BTH50" s="6"/>
      <c r="BTI50" s="6"/>
      <c r="BTJ50" s="6"/>
      <c r="BTK50" s="6"/>
      <c r="BTL50" s="6"/>
      <c r="BTM50" s="6"/>
      <c r="BTN50" s="6"/>
      <c r="BTO50" s="6"/>
      <c r="BTP50" s="6"/>
      <c r="BTQ50" s="6"/>
      <c r="BTR50" s="6"/>
      <c r="BTS50" s="6"/>
      <c r="BTT50" s="6"/>
      <c r="BTU50" s="6"/>
      <c r="BTV50" s="6"/>
      <c r="BTW50" s="6"/>
      <c r="BTX50" s="6"/>
      <c r="BTY50" s="6"/>
      <c r="BTZ50" s="6"/>
      <c r="BUA50" s="6"/>
      <c r="BUB50" s="6"/>
      <c r="BUC50" s="6"/>
      <c r="BUD50" s="6"/>
      <c r="BUE50" s="6"/>
      <c r="BUF50" s="6"/>
      <c r="BUG50" s="6"/>
      <c r="BUH50" s="6"/>
      <c r="BUI50" s="6"/>
      <c r="BUJ50" s="6"/>
      <c r="BUK50" s="6"/>
      <c r="BUL50" s="6"/>
      <c r="BUM50" s="6"/>
      <c r="BUN50" s="6"/>
      <c r="BUO50" s="6"/>
      <c r="BUP50" s="6"/>
      <c r="BUQ50" s="6"/>
      <c r="BUR50" s="6"/>
      <c r="BUS50" s="6"/>
      <c r="BUT50" s="6"/>
      <c r="BUU50" s="6"/>
      <c r="BUV50" s="6"/>
      <c r="BUW50" s="6"/>
      <c r="BUX50" s="6"/>
      <c r="BUY50" s="6"/>
      <c r="BUZ50" s="6"/>
      <c r="BVA50" s="6"/>
      <c r="BVB50" s="6"/>
      <c r="BVC50" s="6"/>
      <c r="BVD50" s="6"/>
      <c r="BVE50" s="6"/>
      <c r="BVF50" s="6"/>
      <c r="BVG50" s="6"/>
      <c r="BVH50" s="6"/>
      <c r="BVI50" s="6"/>
      <c r="BVJ50" s="6"/>
      <c r="BVK50" s="6"/>
      <c r="BVL50" s="6"/>
      <c r="BVM50" s="6"/>
      <c r="BVN50" s="6"/>
      <c r="BVO50" s="6"/>
      <c r="BVP50" s="6"/>
      <c r="BVQ50" s="6"/>
      <c r="BVR50" s="6"/>
      <c r="BVS50" s="6"/>
      <c r="BVT50" s="6"/>
      <c r="BVU50" s="6"/>
      <c r="BVV50" s="6"/>
      <c r="BVW50" s="6"/>
      <c r="BVX50" s="6"/>
      <c r="BVY50" s="6"/>
      <c r="BVZ50" s="6"/>
      <c r="BWA50" s="6"/>
      <c r="BWB50" s="6"/>
      <c r="BWC50" s="6"/>
      <c r="BWD50" s="6"/>
      <c r="BWE50" s="6"/>
      <c r="BWF50" s="6"/>
      <c r="BWG50" s="6"/>
      <c r="BWH50" s="6"/>
      <c r="BWI50" s="6"/>
      <c r="BWJ50" s="6"/>
      <c r="BWK50" s="6"/>
      <c r="BWL50" s="6"/>
      <c r="BWM50" s="6"/>
      <c r="BWN50" s="6"/>
      <c r="BWO50" s="6"/>
      <c r="BWP50" s="6"/>
      <c r="BWQ50" s="6"/>
      <c r="BWR50" s="6"/>
      <c r="BWS50" s="6"/>
      <c r="BWT50" s="6"/>
      <c r="BWU50" s="6"/>
      <c r="BWV50" s="6"/>
      <c r="BWW50" s="6"/>
      <c r="BWX50" s="6"/>
      <c r="BWY50" s="6"/>
      <c r="BWZ50" s="6"/>
      <c r="BXA50" s="6"/>
      <c r="BXB50" s="6"/>
      <c r="BXC50" s="6"/>
      <c r="BXD50" s="6"/>
      <c r="BXE50" s="6"/>
      <c r="BXF50" s="6"/>
      <c r="BXG50" s="6"/>
      <c r="BXH50" s="6"/>
      <c r="BXI50" s="6"/>
      <c r="BXJ50" s="6"/>
      <c r="BXK50" s="6"/>
      <c r="BXL50" s="6"/>
      <c r="BXM50" s="6"/>
      <c r="BXN50" s="6"/>
      <c r="BXO50" s="6"/>
      <c r="BXP50" s="6"/>
      <c r="BXQ50" s="6"/>
      <c r="BXR50" s="6"/>
      <c r="BXS50" s="6"/>
      <c r="BXT50" s="6"/>
      <c r="BXU50" s="6"/>
      <c r="BXV50" s="6"/>
      <c r="BXW50" s="6"/>
      <c r="BXX50" s="6"/>
      <c r="BXY50" s="6"/>
      <c r="BXZ50" s="6"/>
      <c r="BYA50" s="6"/>
      <c r="BYB50" s="6"/>
      <c r="BYC50" s="6"/>
      <c r="BYD50" s="6"/>
      <c r="BYE50" s="6"/>
      <c r="BYF50" s="6"/>
      <c r="BYG50" s="6"/>
      <c r="BYH50" s="6"/>
      <c r="BYI50" s="6"/>
      <c r="BYJ50" s="6"/>
      <c r="BYK50" s="6"/>
      <c r="BYL50" s="6"/>
      <c r="BYM50" s="6"/>
      <c r="BYN50" s="6"/>
      <c r="BYO50" s="6"/>
      <c r="BYP50" s="6"/>
      <c r="BYQ50" s="6"/>
      <c r="BYR50" s="6"/>
      <c r="BYS50" s="6"/>
      <c r="BYT50" s="6"/>
      <c r="BYU50" s="6"/>
      <c r="BYV50" s="6"/>
      <c r="BYW50" s="6"/>
      <c r="BYX50" s="6"/>
      <c r="BYY50" s="6"/>
      <c r="BYZ50" s="6"/>
      <c r="BZA50" s="6"/>
      <c r="BZB50" s="6"/>
      <c r="BZC50" s="6"/>
      <c r="BZD50" s="6"/>
      <c r="BZE50" s="6"/>
      <c r="BZF50" s="6"/>
      <c r="BZG50" s="6"/>
      <c r="BZH50" s="6"/>
      <c r="BZI50" s="6"/>
      <c r="BZJ50" s="6"/>
      <c r="BZK50" s="6"/>
      <c r="BZL50" s="6"/>
      <c r="BZM50" s="6"/>
      <c r="BZN50" s="6"/>
      <c r="BZO50" s="6"/>
      <c r="BZP50" s="6"/>
      <c r="BZQ50" s="6"/>
      <c r="BZR50" s="6"/>
      <c r="BZS50" s="6"/>
      <c r="BZT50" s="6"/>
      <c r="BZU50" s="6"/>
      <c r="BZV50" s="6"/>
      <c r="BZW50" s="6"/>
      <c r="BZX50" s="6"/>
      <c r="BZY50" s="6"/>
      <c r="BZZ50" s="6"/>
      <c r="CAA50" s="6"/>
      <c r="CAB50" s="6"/>
      <c r="CAC50" s="6"/>
      <c r="CAD50" s="6"/>
      <c r="CAE50" s="6"/>
      <c r="CAF50" s="6"/>
      <c r="CAG50" s="6"/>
      <c r="CAH50" s="6"/>
      <c r="CAI50" s="6"/>
      <c r="CAJ50" s="6"/>
      <c r="CAK50" s="6"/>
      <c r="CAL50" s="6"/>
      <c r="CAM50" s="6"/>
      <c r="CAN50" s="6"/>
      <c r="CAO50" s="6"/>
      <c r="CAP50" s="6"/>
      <c r="CAQ50" s="6"/>
      <c r="CAR50" s="6"/>
      <c r="CAS50" s="6"/>
      <c r="CAT50" s="6"/>
      <c r="CAU50" s="6"/>
      <c r="CAV50" s="6"/>
      <c r="CAW50" s="6"/>
      <c r="CAX50" s="6"/>
      <c r="CAY50" s="6"/>
      <c r="CAZ50" s="6"/>
      <c r="CBA50" s="6"/>
      <c r="CBB50" s="6"/>
      <c r="CBC50" s="6"/>
      <c r="CBD50" s="6"/>
      <c r="CBE50" s="6"/>
      <c r="CBF50" s="6"/>
      <c r="CBG50" s="6"/>
      <c r="CBH50" s="6"/>
      <c r="CBI50" s="6"/>
      <c r="CBJ50" s="6"/>
      <c r="CBK50" s="6"/>
      <c r="CBL50" s="6"/>
      <c r="CBM50" s="6"/>
      <c r="CBN50" s="6"/>
      <c r="CBO50" s="6"/>
      <c r="CBP50" s="6"/>
      <c r="CBQ50" s="6"/>
      <c r="CBR50" s="6"/>
      <c r="CBS50" s="6"/>
      <c r="CBT50" s="6"/>
      <c r="CBU50" s="6"/>
      <c r="CBV50" s="6"/>
      <c r="CBW50" s="6"/>
      <c r="CBX50" s="6"/>
      <c r="CBY50" s="6"/>
      <c r="CBZ50" s="6"/>
      <c r="CCA50" s="6"/>
      <c r="CCB50" s="6"/>
      <c r="CCC50" s="6"/>
      <c r="CCD50" s="6"/>
      <c r="CCE50" s="6"/>
      <c r="CCF50" s="6"/>
      <c r="CCG50" s="6"/>
      <c r="CCH50" s="6"/>
      <c r="CCI50" s="6"/>
      <c r="CCJ50" s="6"/>
      <c r="CCK50" s="6"/>
      <c r="CCL50" s="6"/>
      <c r="CCM50" s="6"/>
      <c r="CCN50" s="6"/>
      <c r="CCO50" s="6"/>
      <c r="CCP50" s="6"/>
      <c r="CCQ50" s="6"/>
      <c r="CCR50" s="6"/>
      <c r="CCS50" s="6"/>
      <c r="CCT50" s="6"/>
      <c r="CCU50" s="6"/>
      <c r="CCV50" s="6"/>
      <c r="CCW50" s="6"/>
      <c r="CCX50" s="6"/>
      <c r="CCY50" s="6"/>
      <c r="CCZ50" s="6"/>
      <c r="CDA50" s="6"/>
      <c r="CDB50" s="6"/>
      <c r="CDC50" s="6"/>
      <c r="CDD50" s="6"/>
      <c r="CDE50" s="6"/>
      <c r="CDF50" s="6"/>
      <c r="CDG50" s="6"/>
      <c r="CDH50" s="6"/>
      <c r="CDI50" s="6"/>
      <c r="CDJ50" s="6"/>
      <c r="CDK50" s="6"/>
      <c r="CDL50" s="6"/>
      <c r="CDM50" s="6"/>
      <c r="CDN50" s="6"/>
      <c r="CDO50" s="6"/>
      <c r="CDP50" s="6"/>
      <c r="CDQ50" s="6"/>
      <c r="CDR50" s="6"/>
      <c r="CDS50" s="6"/>
      <c r="CDT50" s="6"/>
      <c r="CDU50" s="6"/>
      <c r="CDV50" s="6"/>
      <c r="CDW50" s="6"/>
      <c r="CDX50" s="6"/>
      <c r="CDY50" s="6"/>
      <c r="CDZ50" s="6"/>
      <c r="CEA50" s="6"/>
      <c r="CEB50" s="6"/>
      <c r="CEC50" s="6"/>
      <c r="CED50" s="6"/>
      <c r="CEE50" s="6"/>
      <c r="CEF50" s="6"/>
      <c r="CEG50" s="6"/>
      <c r="CEH50" s="6"/>
      <c r="CEI50" s="6"/>
      <c r="CEJ50" s="6"/>
      <c r="CEK50" s="6"/>
      <c r="CEL50" s="6"/>
      <c r="CEM50" s="6"/>
      <c r="CEN50" s="6"/>
      <c r="CEO50" s="6"/>
      <c r="CEP50" s="6"/>
      <c r="CEQ50" s="6"/>
      <c r="CER50" s="6"/>
      <c r="CES50" s="6"/>
      <c r="CET50" s="6"/>
      <c r="CEU50" s="6"/>
      <c r="CEV50" s="6"/>
      <c r="CEW50" s="6"/>
      <c r="CEX50" s="6"/>
      <c r="CEY50" s="6"/>
      <c r="CEZ50" s="6"/>
      <c r="CFA50" s="6"/>
      <c r="CFB50" s="6"/>
      <c r="CFC50" s="6"/>
      <c r="CFD50" s="6"/>
      <c r="CFE50" s="6"/>
      <c r="CFF50" s="6"/>
      <c r="CFG50" s="6"/>
      <c r="CFH50" s="6"/>
      <c r="CFI50" s="6"/>
      <c r="CFJ50" s="6"/>
      <c r="CFK50" s="6"/>
      <c r="CFL50" s="6"/>
      <c r="CFM50" s="6"/>
      <c r="CFN50" s="6"/>
      <c r="CFO50" s="6"/>
      <c r="CFP50" s="6"/>
      <c r="CFQ50" s="6"/>
      <c r="CFR50" s="6"/>
      <c r="CFS50" s="6"/>
      <c r="CFT50" s="6"/>
      <c r="CFU50" s="6"/>
      <c r="CFV50" s="6"/>
      <c r="CFW50" s="6"/>
      <c r="CFX50" s="6"/>
      <c r="CFY50" s="6"/>
      <c r="CFZ50" s="6"/>
      <c r="CGA50" s="6"/>
      <c r="CGB50" s="6"/>
      <c r="CGC50" s="6"/>
      <c r="CGD50" s="6"/>
      <c r="CGE50" s="6"/>
      <c r="CGF50" s="6"/>
      <c r="CGG50" s="6"/>
      <c r="CGH50" s="6"/>
      <c r="CGI50" s="6"/>
      <c r="CGJ50" s="6"/>
      <c r="CGK50" s="6"/>
      <c r="CGL50" s="6"/>
      <c r="CGM50" s="6"/>
      <c r="CGN50" s="6"/>
      <c r="CGO50" s="6"/>
      <c r="CGP50" s="6"/>
      <c r="CGQ50" s="6"/>
      <c r="CGR50" s="6"/>
      <c r="CGS50" s="6"/>
      <c r="CGT50" s="6"/>
      <c r="CGU50" s="6"/>
      <c r="CGV50" s="6"/>
      <c r="CGW50" s="6"/>
      <c r="CGX50" s="6"/>
      <c r="CGY50" s="6"/>
      <c r="CGZ50" s="6"/>
      <c r="CHA50" s="6"/>
      <c r="CHB50" s="6"/>
      <c r="CHC50" s="6"/>
      <c r="CHD50" s="6"/>
      <c r="CHE50" s="6"/>
      <c r="CHF50" s="6"/>
      <c r="CHG50" s="6"/>
      <c r="CHH50" s="6"/>
      <c r="CHI50" s="6"/>
      <c r="CHJ50" s="6"/>
      <c r="CHK50" s="6"/>
      <c r="CHL50" s="6"/>
      <c r="CHM50" s="6"/>
      <c r="CHN50" s="6"/>
      <c r="CHO50" s="6"/>
      <c r="CHP50" s="6"/>
      <c r="CHQ50" s="6"/>
      <c r="CHR50" s="6"/>
      <c r="CHS50" s="6"/>
      <c r="CHT50" s="6"/>
      <c r="CHU50" s="6"/>
      <c r="CHV50" s="6"/>
      <c r="CHW50" s="6"/>
      <c r="CHX50" s="6"/>
      <c r="CHY50" s="6"/>
      <c r="CHZ50" s="6"/>
      <c r="CIA50" s="6"/>
      <c r="CIB50" s="6"/>
      <c r="CIC50" s="6"/>
      <c r="CID50" s="6"/>
      <c r="CIE50" s="6"/>
      <c r="CIF50" s="6"/>
      <c r="CIG50" s="6"/>
      <c r="CIH50" s="6"/>
      <c r="CII50" s="6"/>
      <c r="CIJ50" s="6"/>
      <c r="CIK50" s="6"/>
      <c r="CIL50" s="6"/>
      <c r="CIM50" s="6"/>
      <c r="CIN50" s="6"/>
      <c r="CIO50" s="6"/>
      <c r="CIP50" s="6"/>
      <c r="CIQ50" s="6"/>
      <c r="CIR50" s="6"/>
      <c r="CIS50" s="6"/>
      <c r="CIT50" s="6"/>
      <c r="CIU50" s="6"/>
      <c r="CIV50" s="6"/>
      <c r="CIW50" s="6"/>
      <c r="CIX50" s="6"/>
      <c r="CIY50" s="6"/>
      <c r="CIZ50" s="6"/>
      <c r="CJA50" s="6"/>
      <c r="CJB50" s="6"/>
      <c r="CJC50" s="6"/>
      <c r="CJD50" s="6"/>
      <c r="CJE50" s="6"/>
      <c r="CJF50" s="6"/>
      <c r="CJG50" s="6"/>
      <c r="CJH50" s="6"/>
      <c r="CJI50" s="6"/>
      <c r="CJJ50" s="6"/>
      <c r="CJK50" s="6"/>
      <c r="CJL50" s="6"/>
      <c r="CJM50" s="6"/>
      <c r="CJN50" s="6"/>
      <c r="CJO50" s="6"/>
      <c r="CJP50" s="6"/>
      <c r="CJQ50" s="6"/>
      <c r="CJR50" s="6"/>
      <c r="CJS50" s="6"/>
      <c r="CJT50" s="6"/>
      <c r="CJU50" s="6"/>
      <c r="CJV50" s="6"/>
      <c r="CJW50" s="6"/>
      <c r="CJX50" s="6"/>
      <c r="CJY50" s="6"/>
      <c r="CJZ50" s="6"/>
      <c r="CKA50" s="6"/>
      <c r="CKB50" s="6"/>
      <c r="CKC50" s="6"/>
      <c r="CKD50" s="6"/>
      <c r="CKE50" s="6"/>
      <c r="CKF50" s="6"/>
      <c r="CKG50" s="6"/>
      <c r="CKH50" s="6"/>
      <c r="CKI50" s="6"/>
      <c r="CKJ50" s="6"/>
      <c r="CKK50" s="6"/>
      <c r="CKL50" s="6"/>
      <c r="CKM50" s="6"/>
      <c r="CKN50" s="6"/>
      <c r="CKO50" s="6"/>
      <c r="CKP50" s="6"/>
      <c r="CKQ50" s="6"/>
      <c r="CKR50" s="6"/>
      <c r="CKS50" s="6"/>
      <c r="CKT50" s="6"/>
      <c r="CKU50" s="6"/>
      <c r="CKV50" s="6"/>
      <c r="CKW50" s="6"/>
      <c r="CKX50" s="6"/>
      <c r="CKY50" s="6"/>
      <c r="CKZ50" s="6"/>
      <c r="CLA50" s="6"/>
      <c r="CLB50" s="6"/>
      <c r="CLC50" s="6"/>
      <c r="CLD50" s="6"/>
      <c r="CLE50" s="6"/>
      <c r="CLF50" s="6"/>
      <c r="CLG50" s="6"/>
      <c r="CLH50" s="6"/>
      <c r="CLI50" s="6"/>
      <c r="CLJ50" s="6"/>
      <c r="CLK50" s="6"/>
      <c r="CLL50" s="6"/>
      <c r="CLM50" s="6"/>
      <c r="CLN50" s="6"/>
      <c r="CLO50" s="6"/>
      <c r="CLP50" s="6"/>
      <c r="CLQ50" s="6"/>
      <c r="CLR50" s="6"/>
      <c r="CLS50" s="6"/>
      <c r="CLT50" s="6"/>
      <c r="CLU50" s="6"/>
      <c r="CLV50" s="6"/>
      <c r="CLW50" s="6"/>
      <c r="CLX50" s="6"/>
      <c r="CLY50" s="6"/>
      <c r="CLZ50" s="6"/>
      <c r="CMA50" s="6"/>
      <c r="CMB50" s="6"/>
      <c r="CMC50" s="6"/>
      <c r="CMD50" s="6"/>
      <c r="CME50" s="6"/>
      <c r="CMF50" s="6"/>
      <c r="CMG50" s="6"/>
      <c r="CMH50" s="6"/>
      <c r="CMI50" s="6"/>
      <c r="CMJ50" s="6"/>
      <c r="CMK50" s="6"/>
      <c r="CML50" s="6"/>
      <c r="CMM50" s="6"/>
      <c r="CMN50" s="6"/>
      <c r="CMO50" s="6"/>
      <c r="CMP50" s="6"/>
      <c r="CMQ50" s="6"/>
      <c r="CMR50" s="6"/>
      <c r="CMS50" s="6"/>
      <c r="CMT50" s="6"/>
      <c r="CMU50" s="6"/>
      <c r="CMV50" s="6"/>
      <c r="CMW50" s="6"/>
      <c r="CMX50" s="6"/>
      <c r="CMY50" s="6"/>
      <c r="CMZ50" s="6"/>
      <c r="CNA50" s="6"/>
      <c r="CNB50" s="6"/>
      <c r="CNC50" s="6"/>
      <c r="CND50" s="6"/>
      <c r="CNE50" s="6"/>
      <c r="CNF50" s="6"/>
      <c r="CNG50" s="6"/>
      <c r="CNH50" s="6"/>
      <c r="CNI50" s="6"/>
      <c r="CNJ50" s="6"/>
      <c r="CNK50" s="6"/>
      <c r="CNL50" s="6"/>
      <c r="CNM50" s="6"/>
      <c r="CNN50" s="6"/>
      <c r="CNO50" s="6"/>
      <c r="CNP50" s="6"/>
      <c r="CNQ50" s="6"/>
      <c r="CNR50" s="6"/>
      <c r="CNS50" s="6"/>
      <c r="CNT50" s="6"/>
      <c r="CNU50" s="6"/>
      <c r="CNV50" s="6"/>
      <c r="CNW50" s="6"/>
      <c r="CNX50" s="6"/>
      <c r="CNY50" s="6"/>
      <c r="CNZ50" s="6"/>
      <c r="COA50" s="6"/>
      <c r="COB50" s="6"/>
      <c r="COC50" s="6"/>
      <c r="COD50" s="6"/>
      <c r="COE50" s="6"/>
      <c r="COF50" s="6"/>
      <c r="COG50" s="6"/>
      <c r="COH50" s="6"/>
      <c r="COI50" s="6"/>
      <c r="COJ50" s="6"/>
      <c r="COK50" s="6"/>
      <c r="COL50" s="6"/>
      <c r="COM50" s="6"/>
      <c r="CON50" s="6"/>
      <c r="COO50" s="6"/>
      <c r="COP50" s="6"/>
      <c r="COQ50" s="6"/>
      <c r="COR50" s="6"/>
      <c r="COS50" s="6"/>
      <c r="COT50" s="6"/>
      <c r="COU50" s="6"/>
      <c r="COV50" s="6"/>
      <c r="COW50" s="6"/>
      <c r="COX50" s="6"/>
      <c r="COY50" s="6"/>
      <c r="COZ50" s="6"/>
      <c r="CPA50" s="6"/>
      <c r="CPB50" s="6"/>
      <c r="CPC50" s="6"/>
      <c r="CPD50" s="6"/>
      <c r="CPE50" s="6"/>
      <c r="CPF50" s="6"/>
      <c r="CPG50" s="6"/>
      <c r="CPH50" s="6"/>
      <c r="CPI50" s="6"/>
      <c r="CPJ50" s="6"/>
      <c r="CPK50" s="6"/>
      <c r="CPL50" s="6"/>
      <c r="CPM50" s="6"/>
      <c r="CPN50" s="6"/>
      <c r="CPO50" s="6"/>
      <c r="CPP50" s="6"/>
      <c r="CPQ50" s="6"/>
      <c r="CPR50" s="6"/>
      <c r="CPS50" s="6"/>
      <c r="CPT50" s="6"/>
      <c r="CPU50" s="6"/>
      <c r="CPV50" s="6"/>
      <c r="CPW50" s="6"/>
      <c r="CPX50" s="6"/>
      <c r="CPY50" s="6"/>
      <c r="CPZ50" s="6"/>
      <c r="CQA50" s="6"/>
      <c r="CQB50" s="6"/>
      <c r="CQC50" s="6"/>
      <c r="CQD50" s="6"/>
      <c r="CQE50" s="6"/>
      <c r="CQF50" s="6"/>
      <c r="CQG50" s="6"/>
      <c r="CQH50" s="6"/>
      <c r="CQI50" s="6"/>
      <c r="CQJ50" s="6"/>
      <c r="CQK50" s="6"/>
      <c r="CQL50" s="6"/>
      <c r="CQM50" s="6"/>
      <c r="CQN50" s="6"/>
      <c r="CQO50" s="6"/>
      <c r="CQP50" s="6"/>
      <c r="CQQ50" s="6"/>
      <c r="CQR50" s="6"/>
      <c r="CQS50" s="6"/>
      <c r="CQT50" s="6"/>
      <c r="CQU50" s="6"/>
      <c r="CQV50" s="6"/>
      <c r="CQW50" s="6"/>
      <c r="CQX50" s="6"/>
      <c r="CQY50" s="6"/>
      <c r="CQZ50" s="6"/>
      <c r="CRA50" s="6"/>
      <c r="CRB50" s="6"/>
      <c r="CRC50" s="6"/>
      <c r="CRD50" s="6"/>
      <c r="CRE50" s="6"/>
      <c r="CRF50" s="6"/>
      <c r="CRG50" s="6"/>
      <c r="CRH50" s="6"/>
      <c r="CRI50" s="6"/>
      <c r="CRJ50" s="6"/>
      <c r="CRK50" s="6"/>
      <c r="CRL50" s="6"/>
      <c r="CRM50" s="6"/>
      <c r="CRN50" s="6"/>
      <c r="CRO50" s="6"/>
      <c r="CRP50" s="6"/>
      <c r="CRQ50" s="6"/>
      <c r="CRR50" s="6"/>
      <c r="CRS50" s="6"/>
      <c r="CRT50" s="6"/>
      <c r="CRU50" s="6"/>
      <c r="CRV50" s="6"/>
      <c r="CRW50" s="6"/>
      <c r="CRX50" s="6"/>
      <c r="CRY50" s="6"/>
      <c r="CRZ50" s="6"/>
      <c r="CSA50" s="6"/>
      <c r="CSB50" s="6"/>
      <c r="CSC50" s="6"/>
      <c r="CSD50" s="6"/>
      <c r="CSE50" s="6"/>
      <c r="CSF50" s="6"/>
      <c r="CSG50" s="6"/>
      <c r="CSH50" s="6"/>
      <c r="CSI50" s="6"/>
      <c r="CSJ50" s="6"/>
      <c r="CSK50" s="6"/>
      <c r="CSL50" s="6"/>
      <c r="CSM50" s="6"/>
      <c r="CSN50" s="6"/>
      <c r="CSO50" s="6"/>
      <c r="CSP50" s="6"/>
      <c r="CSQ50" s="6"/>
      <c r="CSR50" s="6"/>
      <c r="CSS50" s="6"/>
      <c r="CST50" s="6"/>
      <c r="CSU50" s="6"/>
      <c r="CSV50" s="6"/>
      <c r="CSW50" s="6"/>
      <c r="CSX50" s="6"/>
      <c r="CSY50" s="6"/>
      <c r="CSZ50" s="6"/>
      <c r="CTA50" s="6"/>
      <c r="CTB50" s="6"/>
      <c r="CTC50" s="6"/>
      <c r="CTD50" s="6"/>
      <c r="CTE50" s="6"/>
      <c r="CTF50" s="6"/>
      <c r="CTG50" s="6"/>
      <c r="CTH50" s="6"/>
      <c r="CTI50" s="6"/>
      <c r="CTJ50" s="6"/>
      <c r="CTK50" s="6"/>
      <c r="CTL50" s="6"/>
      <c r="CTM50" s="6"/>
      <c r="CTN50" s="6"/>
      <c r="CTO50" s="6"/>
      <c r="CTP50" s="6"/>
      <c r="CTQ50" s="6"/>
      <c r="CTR50" s="6"/>
      <c r="CTS50" s="6"/>
      <c r="CTT50" s="6"/>
      <c r="CTU50" s="6"/>
      <c r="CTV50" s="6"/>
      <c r="CTW50" s="6"/>
      <c r="CTX50" s="6"/>
      <c r="CTY50" s="6"/>
      <c r="CTZ50" s="6"/>
      <c r="CUA50" s="6"/>
      <c r="CUB50" s="6"/>
      <c r="CUC50" s="6"/>
      <c r="CUD50" s="6"/>
      <c r="CUE50" s="6"/>
      <c r="CUF50" s="6"/>
      <c r="CUG50" s="6"/>
      <c r="CUH50" s="6"/>
      <c r="CUI50" s="6"/>
      <c r="CUJ50" s="6"/>
      <c r="CUK50" s="6"/>
      <c r="CUL50" s="6"/>
      <c r="CUM50" s="6"/>
      <c r="CUN50" s="6"/>
      <c r="CUO50" s="6"/>
      <c r="CUP50" s="6"/>
      <c r="CUQ50" s="6"/>
      <c r="CUR50" s="6"/>
      <c r="CUS50" s="6"/>
      <c r="CUT50" s="6"/>
      <c r="CUU50" s="6"/>
      <c r="CUV50" s="6"/>
      <c r="CUW50" s="6"/>
      <c r="CUX50" s="6"/>
      <c r="CUY50" s="6"/>
      <c r="CUZ50" s="6"/>
      <c r="CVA50" s="6"/>
      <c r="CVB50" s="6"/>
      <c r="CVC50" s="6"/>
      <c r="CVD50" s="6"/>
      <c r="CVE50" s="6"/>
      <c r="CVF50" s="6"/>
      <c r="CVG50" s="6"/>
      <c r="CVH50" s="6"/>
      <c r="CVI50" s="6"/>
      <c r="CVJ50" s="6"/>
      <c r="CVK50" s="6"/>
      <c r="CVL50" s="6"/>
      <c r="CVM50" s="6"/>
      <c r="CVN50" s="6"/>
      <c r="CVO50" s="6"/>
      <c r="CVP50" s="6"/>
      <c r="CVQ50" s="6"/>
      <c r="CVR50" s="6"/>
      <c r="CVS50" s="6"/>
      <c r="CVT50" s="6"/>
      <c r="CVU50" s="6"/>
      <c r="CVV50" s="6"/>
      <c r="CVW50" s="6"/>
      <c r="CVX50" s="6"/>
      <c r="CVY50" s="6"/>
      <c r="CVZ50" s="6"/>
      <c r="CWA50" s="6"/>
      <c r="CWB50" s="6"/>
      <c r="CWC50" s="6"/>
      <c r="CWD50" s="6"/>
      <c r="CWE50" s="6"/>
      <c r="CWF50" s="6"/>
      <c r="CWG50" s="6"/>
      <c r="CWH50" s="6"/>
      <c r="CWI50" s="6"/>
      <c r="CWJ50" s="6"/>
      <c r="CWK50" s="6"/>
      <c r="CWL50" s="6"/>
      <c r="CWM50" s="6"/>
      <c r="CWN50" s="6"/>
      <c r="CWO50" s="6"/>
      <c r="CWP50" s="6"/>
      <c r="CWQ50" s="6"/>
      <c r="CWR50" s="6"/>
      <c r="CWS50" s="6"/>
      <c r="CWT50" s="6"/>
      <c r="CWU50" s="6"/>
      <c r="CWV50" s="6"/>
      <c r="CWW50" s="6"/>
      <c r="CWX50" s="6"/>
      <c r="CWY50" s="6"/>
      <c r="CWZ50" s="6"/>
      <c r="CXA50" s="6"/>
      <c r="CXB50" s="6"/>
      <c r="CXC50" s="6"/>
      <c r="CXD50" s="6"/>
      <c r="CXE50" s="6"/>
      <c r="CXF50" s="6"/>
      <c r="CXG50" s="6"/>
      <c r="CXH50" s="6"/>
      <c r="CXI50" s="6"/>
      <c r="CXJ50" s="6"/>
      <c r="CXK50" s="6"/>
      <c r="CXL50" s="6"/>
      <c r="CXM50" s="6"/>
      <c r="CXN50" s="6"/>
      <c r="CXO50" s="6"/>
      <c r="CXP50" s="6"/>
      <c r="CXQ50" s="6"/>
      <c r="CXR50" s="6"/>
      <c r="CXS50" s="6"/>
      <c r="CXT50" s="6"/>
      <c r="CXU50" s="6"/>
      <c r="CXV50" s="6"/>
      <c r="CXW50" s="6"/>
      <c r="CXX50" s="6"/>
      <c r="CXY50" s="6"/>
      <c r="CXZ50" s="6"/>
      <c r="CYA50" s="6"/>
      <c r="CYB50" s="6"/>
      <c r="CYC50" s="6"/>
      <c r="CYD50" s="6"/>
      <c r="CYE50" s="6"/>
      <c r="CYF50" s="6"/>
      <c r="CYG50" s="6"/>
      <c r="CYH50" s="6"/>
      <c r="CYI50" s="6"/>
      <c r="CYJ50" s="6"/>
      <c r="CYK50" s="6"/>
      <c r="CYL50" s="6"/>
      <c r="CYM50" s="6"/>
      <c r="CYN50" s="6"/>
      <c r="CYO50" s="6"/>
      <c r="CYP50" s="6"/>
      <c r="CYQ50" s="6"/>
      <c r="CYR50" s="6"/>
      <c r="CYS50" s="6"/>
      <c r="CYT50" s="6"/>
      <c r="CYU50" s="6"/>
      <c r="CYV50" s="6"/>
      <c r="CYW50" s="6"/>
      <c r="CYX50" s="6"/>
      <c r="CYY50" s="6"/>
      <c r="CYZ50" s="6"/>
      <c r="CZA50" s="6"/>
      <c r="CZB50" s="6"/>
      <c r="CZC50" s="6"/>
      <c r="CZD50" s="6"/>
      <c r="CZE50" s="6"/>
      <c r="CZF50" s="6"/>
      <c r="CZG50" s="6"/>
      <c r="CZH50" s="6"/>
      <c r="CZI50" s="6"/>
      <c r="CZJ50" s="6"/>
      <c r="CZK50" s="6"/>
      <c r="CZL50" s="6"/>
      <c r="CZM50" s="6"/>
      <c r="CZN50" s="6"/>
      <c r="CZO50" s="6"/>
      <c r="CZP50" s="6"/>
      <c r="CZQ50" s="6"/>
      <c r="CZR50" s="6"/>
      <c r="CZS50" s="6"/>
      <c r="CZT50" s="6"/>
      <c r="CZU50" s="6"/>
      <c r="CZV50" s="6"/>
      <c r="CZW50" s="6"/>
      <c r="CZX50" s="6"/>
      <c r="CZY50" s="6"/>
      <c r="CZZ50" s="6"/>
      <c r="DAA50" s="6"/>
      <c r="DAB50" s="6"/>
      <c r="DAC50" s="6"/>
      <c r="DAD50" s="6"/>
      <c r="DAE50" s="6"/>
      <c r="DAF50" s="6"/>
      <c r="DAG50" s="6"/>
      <c r="DAH50" s="6"/>
      <c r="DAI50" s="6"/>
      <c r="DAJ50" s="6"/>
      <c r="DAK50" s="6"/>
      <c r="DAL50" s="6"/>
      <c r="DAM50" s="6"/>
      <c r="DAN50" s="6"/>
      <c r="DAO50" s="6"/>
      <c r="DAP50" s="6"/>
      <c r="DAQ50" s="6"/>
      <c r="DAR50" s="6"/>
      <c r="DAS50" s="6"/>
      <c r="DAT50" s="6"/>
      <c r="DAU50" s="6"/>
      <c r="DAV50" s="6"/>
      <c r="DAW50" s="6"/>
      <c r="DAX50" s="6"/>
      <c r="DAY50" s="6"/>
      <c r="DAZ50" s="6"/>
      <c r="DBA50" s="6"/>
      <c r="DBB50" s="6"/>
      <c r="DBC50" s="6"/>
      <c r="DBD50" s="6"/>
      <c r="DBE50" s="6"/>
      <c r="DBF50" s="6"/>
      <c r="DBG50" s="6"/>
      <c r="DBH50" s="6"/>
      <c r="DBI50" s="6"/>
      <c r="DBJ50" s="6"/>
      <c r="DBK50" s="6"/>
      <c r="DBL50" s="6"/>
      <c r="DBM50" s="6"/>
      <c r="DBN50" s="6"/>
      <c r="DBO50" s="6"/>
      <c r="DBP50" s="6"/>
      <c r="DBQ50" s="6"/>
      <c r="DBR50" s="6"/>
      <c r="DBS50" s="6"/>
      <c r="DBT50" s="6"/>
      <c r="DBU50" s="6"/>
      <c r="DBV50" s="6"/>
      <c r="DBW50" s="6"/>
      <c r="DBX50" s="6"/>
      <c r="DBY50" s="6"/>
      <c r="DBZ50" s="6"/>
      <c r="DCA50" s="6"/>
      <c r="DCB50" s="6"/>
      <c r="DCC50" s="6"/>
      <c r="DCD50" s="6"/>
      <c r="DCE50" s="6"/>
      <c r="DCF50" s="6"/>
      <c r="DCG50" s="6"/>
      <c r="DCH50" s="6"/>
      <c r="DCI50" s="6"/>
      <c r="DCJ50" s="6"/>
      <c r="DCK50" s="6"/>
      <c r="DCL50" s="6"/>
      <c r="DCM50" s="6"/>
      <c r="DCN50" s="6"/>
      <c r="DCO50" s="6"/>
      <c r="DCP50" s="6"/>
      <c r="DCQ50" s="6"/>
      <c r="DCR50" s="6"/>
      <c r="DCS50" s="6"/>
      <c r="DCT50" s="6"/>
      <c r="DCU50" s="6"/>
      <c r="DCV50" s="6"/>
      <c r="DCW50" s="6"/>
      <c r="DCX50" s="6"/>
      <c r="DCY50" s="6"/>
      <c r="DCZ50" s="6"/>
      <c r="DDA50" s="6"/>
      <c r="DDB50" s="6"/>
      <c r="DDC50" s="6"/>
      <c r="DDD50" s="6"/>
      <c r="DDE50" s="6"/>
      <c r="DDF50" s="6"/>
      <c r="DDG50" s="6"/>
      <c r="DDH50" s="6"/>
      <c r="DDI50" s="6"/>
      <c r="DDJ50" s="6"/>
      <c r="DDK50" s="6"/>
      <c r="DDL50" s="6"/>
      <c r="DDM50" s="6"/>
      <c r="DDN50" s="6"/>
      <c r="DDO50" s="6"/>
      <c r="DDP50" s="6"/>
      <c r="DDQ50" s="6"/>
      <c r="DDR50" s="6"/>
      <c r="DDS50" s="6"/>
      <c r="DDT50" s="6"/>
      <c r="DDU50" s="6"/>
      <c r="DDV50" s="6"/>
      <c r="DDW50" s="6"/>
      <c r="DDX50" s="6"/>
      <c r="DDY50" s="6"/>
      <c r="DDZ50" s="6"/>
      <c r="DEA50" s="6"/>
      <c r="DEB50" s="6"/>
      <c r="DEC50" s="6"/>
      <c r="DED50" s="6"/>
      <c r="DEE50" s="6"/>
      <c r="DEF50" s="6"/>
      <c r="DEG50" s="6"/>
      <c r="DEH50" s="6"/>
      <c r="DEI50" s="6"/>
      <c r="DEJ50" s="6"/>
      <c r="DEK50" s="6"/>
      <c r="DEL50" s="6"/>
      <c r="DEM50" s="6"/>
      <c r="DEN50" s="6"/>
      <c r="DEO50" s="6"/>
      <c r="DEP50" s="6"/>
      <c r="DEQ50" s="6"/>
      <c r="DER50" s="6"/>
      <c r="DES50" s="6"/>
      <c r="DET50" s="6"/>
      <c r="DEU50" s="6"/>
      <c r="DEV50" s="6"/>
      <c r="DEW50" s="6"/>
      <c r="DEX50" s="6"/>
      <c r="DEY50" s="6"/>
      <c r="DEZ50" s="6"/>
      <c r="DFA50" s="6"/>
      <c r="DFB50" s="6"/>
      <c r="DFC50" s="6"/>
      <c r="DFD50" s="6"/>
      <c r="DFE50" s="6"/>
      <c r="DFF50" s="6"/>
      <c r="DFG50" s="6"/>
      <c r="DFH50" s="6"/>
      <c r="DFI50" s="6"/>
      <c r="DFJ50" s="6"/>
      <c r="DFK50" s="6"/>
      <c r="DFL50" s="6"/>
      <c r="DFM50" s="6"/>
      <c r="DFN50" s="6"/>
      <c r="DFO50" s="6"/>
      <c r="DFP50" s="6"/>
      <c r="DFQ50" s="6"/>
      <c r="DFR50" s="6"/>
      <c r="DFS50" s="6"/>
      <c r="DFT50" s="6"/>
      <c r="DFU50" s="6"/>
      <c r="DFV50" s="6"/>
      <c r="DFW50" s="6"/>
      <c r="DFX50" s="6"/>
      <c r="DFY50" s="6"/>
      <c r="DFZ50" s="6"/>
      <c r="DGA50" s="6"/>
      <c r="DGB50" s="6"/>
      <c r="DGC50" s="6"/>
      <c r="DGD50" s="6"/>
      <c r="DGE50" s="6"/>
      <c r="DGF50" s="6"/>
      <c r="DGG50" s="6"/>
      <c r="DGH50" s="6"/>
      <c r="DGI50" s="6"/>
      <c r="DGJ50" s="6"/>
      <c r="DGK50" s="6"/>
      <c r="DGL50" s="6"/>
      <c r="DGM50" s="6"/>
      <c r="DGN50" s="6"/>
      <c r="DGO50" s="6"/>
      <c r="DGP50" s="6"/>
      <c r="DGQ50" s="6"/>
      <c r="DGR50" s="6"/>
      <c r="DGS50" s="6"/>
      <c r="DGT50" s="6"/>
      <c r="DGU50" s="6"/>
      <c r="DGV50" s="6"/>
      <c r="DGW50" s="6"/>
      <c r="DGX50" s="6"/>
      <c r="DGY50" s="6"/>
      <c r="DGZ50" s="6"/>
      <c r="DHA50" s="6"/>
      <c r="DHB50" s="6"/>
      <c r="DHC50" s="6"/>
      <c r="DHD50" s="6"/>
      <c r="DHE50" s="6"/>
      <c r="DHF50" s="6"/>
      <c r="DHG50" s="6"/>
      <c r="DHH50" s="6"/>
      <c r="DHI50" s="6"/>
      <c r="DHJ50" s="6"/>
      <c r="DHK50" s="6"/>
      <c r="DHL50" s="6"/>
      <c r="DHM50" s="6"/>
      <c r="DHN50" s="6"/>
      <c r="DHO50" s="6"/>
      <c r="DHP50" s="6"/>
      <c r="DHQ50" s="6"/>
      <c r="DHR50" s="6"/>
      <c r="DHS50" s="6"/>
      <c r="DHT50" s="6"/>
      <c r="DHU50" s="6"/>
      <c r="DHV50" s="6"/>
      <c r="DHW50" s="6"/>
      <c r="DHX50" s="6"/>
      <c r="DHY50" s="6"/>
      <c r="DHZ50" s="6"/>
      <c r="DIA50" s="6"/>
      <c r="DIB50" s="6"/>
      <c r="DIC50" s="6"/>
      <c r="DID50" s="6"/>
      <c r="DIE50" s="6"/>
      <c r="DIF50" s="6"/>
      <c r="DIG50" s="6"/>
      <c r="DIH50" s="6"/>
      <c r="DII50" s="6"/>
      <c r="DIJ50" s="6"/>
      <c r="DIK50" s="6"/>
      <c r="DIL50" s="6"/>
      <c r="DIM50" s="6"/>
      <c r="DIN50" s="6"/>
      <c r="DIO50" s="6"/>
      <c r="DIP50" s="6"/>
      <c r="DIQ50" s="6"/>
      <c r="DIR50" s="6"/>
      <c r="DIS50" s="6"/>
      <c r="DIT50" s="6"/>
      <c r="DIU50" s="6"/>
      <c r="DIV50" s="6"/>
      <c r="DIW50" s="6"/>
      <c r="DIX50" s="6"/>
      <c r="DIY50" s="6"/>
      <c r="DIZ50" s="6"/>
      <c r="DJA50" s="6"/>
      <c r="DJB50" s="6"/>
      <c r="DJC50" s="6"/>
      <c r="DJD50" s="6"/>
      <c r="DJE50" s="6"/>
      <c r="DJF50" s="6"/>
      <c r="DJG50" s="6"/>
      <c r="DJH50" s="6"/>
      <c r="DJI50" s="6"/>
      <c r="DJJ50" s="6"/>
      <c r="DJK50" s="6"/>
      <c r="DJL50" s="6"/>
      <c r="DJM50" s="6"/>
      <c r="DJN50" s="6"/>
      <c r="DJO50" s="6"/>
      <c r="DJP50" s="6"/>
      <c r="DJQ50" s="6"/>
      <c r="DJR50" s="6"/>
      <c r="DJS50" s="6"/>
      <c r="DJT50" s="6"/>
      <c r="DJU50" s="6"/>
      <c r="DJV50" s="6"/>
      <c r="DJW50" s="6"/>
      <c r="DJX50" s="6"/>
      <c r="DJY50" s="6"/>
      <c r="DJZ50" s="6"/>
      <c r="DKA50" s="6"/>
      <c r="DKB50" s="6"/>
      <c r="DKC50" s="6"/>
      <c r="DKD50" s="6"/>
      <c r="DKE50" s="6"/>
      <c r="DKF50" s="6"/>
      <c r="DKG50" s="6"/>
      <c r="DKH50" s="6"/>
      <c r="DKI50" s="6"/>
      <c r="DKJ50" s="6"/>
      <c r="DKK50" s="6"/>
      <c r="DKL50" s="6"/>
      <c r="DKM50" s="6"/>
      <c r="DKN50" s="6"/>
      <c r="DKO50" s="6"/>
      <c r="DKP50" s="6"/>
      <c r="DKQ50" s="6"/>
      <c r="DKR50" s="6"/>
      <c r="DKS50" s="6"/>
      <c r="DKT50" s="6"/>
      <c r="DKU50" s="6"/>
      <c r="DKV50" s="6"/>
      <c r="DKW50" s="6"/>
      <c r="DKX50" s="6"/>
      <c r="DKY50" s="6"/>
      <c r="DKZ50" s="6"/>
      <c r="DLA50" s="6"/>
      <c r="DLB50" s="6"/>
      <c r="DLC50" s="6"/>
      <c r="DLD50" s="6"/>
      <c r="DLE50" s="6"/>
      <c r="DLF50" s="6"/>
      <c r="DLG50" s="6"/>
      <c r="DLH50" s="6"/>
      <c r="DLI50" s="6"/>
      <c r="DLJ50" s="6"/>
      <c r="DLK50" s="6"/>
      <c r="DLL50" s="6"/>
      <c r="DLM50" s="6"/>
      <c r="DLN50" s="6"/>
      <c r="DLO50" s="6"/>
      <c r="DLP50" s="6"/>
      <c r="DLQ50" s="6"/>
      <c r="DLR50" s="6"/>
      <c r="DLS50" s="6"/>
      <c r="DLT50" s="6"/>
      <c r="DLU50" s="6"/>
      <c r="DLV50" s="6"/>
      <c r="DLW50" s="6"/>
      <c r="DLX50" s="6"/>
      <c r="DLY50" s="6"/>
      <c r="DLZ50" s="6"/>
      <c r="DMA50" s="6"/>
      <c r="DMB50" s="6"/>
      <c r="DMC50" s="6"/>
      <c r="DMD50" s="6"/>
      <c r="DME50" s="6"/>
      <c r="DMF50" s="6"/>
      <c r="DMG50" s="6"/>
      <c r="DMH50" s="6"/>
      <c r="DMI50" s="6"/>
      <c r="DMJ50" s="6"/>
      <c r="DMK50" s="6"/>
      <c r="DML50" s="6"/>
      <c r="DMM50" s="6"/>
      <c r="DMN50" s="6"/>
      <c r="DMO50" s="6"/>
      <c r="DMP50" s="6"/>
      <c r="DMQ50" s="6"/>
      <c r="DMR50" s="6"/>
      <c r="DMS50" s="6"/>
      <c r="DMT50" s="6"/>
      <c r="DMU50" s="6"/>
      <c r="DMV50" s="6"/>
      <c r="DMW50" s="6"/>
      <c r="DMX50" s="6"/>
      <c r="DMY50" s="6"/>
      <c r="DMZ50" s="6"/>
      <c r="DNA50" s="6"/>
      <c r="DNB50" s="6"/>
      <c r="DNC50" s="6"/>
      <c r="DND50" s="6"/>
      <c r="DNE50" s="6"/>
      <c r="DNF50" s="6"/>
      <c r="DNG50" s="6"/>
      <c r="DNH50" s="6"/>
      <c r="DNI50" s="6"/>
      <c r="DNJ50" s="6"/>
      <c r="DNK50" s="6"/>
      <c r="DNL50" s="6"/>
      <c r="DNM50" s="6"/>
      <c r="DNN50" s="6"/>
      <c r="DNO50" s="6"/>
      <c r="DNP50" s="6"/>
      <c r="DNQ50" s="6"/>
      <c r="DNR50" s="6"/>
      <c r="DNS50" s="6"/>
      <c r="DNT50" s="6"/>
      <c r="DNU50" s="6"/>
      <c r="DNV50" s="6"/>
      <c r="DNW50" s="6"/>
      <c r="DNX50" s="6"/>
      <c r="DNY50" s="6"/>
      <c r="DNZ50" s="6"/>
      <c r="DOA50" s="6"/>
      <c r="DOB50" s="6"/>
      <c r="DOC50" s="6"/>
      <c r="DOD50" s="6"/>
      <c r="DOE50" s="6"/>
      <c r="DOF50" s="6"/>
      <c r="DOG50" s="6"/>
      <c r="DOH50" s="6"/>
      <c r="DOI50" s="6"/>
      <c r="DOJ50" s="6"/>
      <c r="DOK50" s="6"/>
      <c r="DOL50" s="6"/>
      <c r="DOM50" s="6"/>
      <c r="DON50" s="6"/>
      <c r="DOO50" s="6"/>
      <c r="DOP50" s="6"/>
      <c r="DOQ50" s="6"/>
      <c r="DOR50" s="6"/>
      <c r="DOS50" s="6"/>
      <c r="DOT50" s="6"/>
      <c r="DOU50" s="6"/>
      <c r="DOV50" s="6"/>
      <c r="DOW50" s="6"/>
      <c r="DOX50" s="6"/>
      <c r="DOY50" s="6"/>
      <c r="DOZ50" s="6"/>
      <c r="DPA50" s="6"/>
      <c r="DPB50" s="6"/>
      <c r="DPC50" s="6"/>
      <c r="DPD50" s="6"/>
      <c r="DPE50" s="6"/>
      <c r="DPF50" s="6"/>
      <c r="DPG50" s="6"/>
      <c r="DPH50" s="6"/>
      <c r="DPI50" s="6"/>
      <c r="DPJ50" s="6"/>
      <c r="DPK50" s="6"/>
      <c r="DPL50" s="6"/>
      <c r="DPM50" s="6"/>
      <c r="DPN50" s="6"/>
      <c r="DPO50" s="6"/>
      <c r="DPP50" s="6"/>
      <c r="DPQ50" s="6"/>
      <c r="DPR50" s="6"/>
      <c r="DPS50" s="6"/>
      <c r="DPT50" s="6"/>
      <c r="DPU50" s="6"/>
      <c r="DPV50" s="6"/>
      <c r="DPW50" s="6"/>
      <c r="DPX50" s="6"/>
      <c r="DPY50" s="6"/>
      <c r="DPZ50" s="6"/>
      <c r="DQA50" s="6"/>
      <c r="DQB50" s="6"/>
      <c r="DQC50" s="6"/>
      <c r="DQD50" s="6"/>
      <c r="DQE50" s="6"/>
      <c r="DQF50" s="6"/>
      <c r="DQG50" s="6"/>
      <c r="DQH50" s="6"/>
      <c r="DQI50" s="6"/>
      <c r="DQJ50" s="6"/>
      <c r="DQK50" s="6"/>
      <c r="DQL50" s="6"/>
      <c r="DQM50" s="6"/>
      <c r="DQN50" s="6"/>
      <c r="DQO50" s="6"/>
      <c r="DQP50" s="6"/>
      <c r="DQQ50" s="6"/>
      <c r="DQR50" s="6"/>
      <c r="DQS50" s="6"/>
      <c r="DQT50" s="6"/>
      <c r="DQU50" s="6"/>
      <c r="DQV50" s="6"/>
      <c r="DQW50" s="6"/>
      <c r="DQX50" s="6"/>
      <c r="DQY50" s="6"/>
      <c r="DQZ50" s="6"/>
      <c r="DRA50" s="6"/>
      <c r="DRB50" s="6"/>
      <c r="DRC50" s="6"/>
      <c r="DRD50" s="6"/>
      <c r="DRE50" s="6"/>
      <c r="DRF50" s="6"/>
      <c r="DRG50" s="6"/>
      <c r="DRH50" s="6"/>
      <c r="DRI50" s="6"/>
      <c r="DRJ50" s="6"/>
      <c r="DRK50" s="6"/>
      <c r="DRL50" s="6"/>
      <c r="DRM50" s="6"/>
      <c r="DRN50" s="6"/>
      <c r="DRO50" s="6"/>
      <c r="DRP50" s="6"/>
      <c r="DRQ50" s="6"/>
      <c r="DRR50" s="6"/>
      <c r="DRS50" s="6"/>
      <c r="DRT50" s="6"/>
      <c r="DRU50" s="6"/>
      <c r="DRV50" s="6"/>
      <c r="DRW50" s="6"/>
      <c r="DRX50" s="6"/>
      <c r="DRY50" s="6"/>
      <c r="DRZ50" s="6"/>
      <c r="DSA50" s="6"/>
      <c r="DSB50" s="6"/>
      <c r="DSC50" s="6"/>
      <c r="DSD50" s="6"/>
      <c r="DSE50" s="6"/>
      <c r="DSF50" s="6"/>
      <c r="DSG50" s="6"/>
      <c r="DSH50" s="6"/>
      <c r="DSI50" s="6"/>
      <c r="DSJ50" s="6"/>
      <c r="DSK50" s="6"/>
      <c r="DSL50" s="6"/>
      <c r="DSM50" s="6"/>
      <c r="DSN50" s="6"/>
      <c r="DSO50" s="6"/>
      <c r="DSP50" s="6"/>
      <c r="DSQ50" s="6"/>
      <c r="DSR50" s="6"/>
      <c r="DSS50" s="6"/>
      <c r="DST50" s="6"/>
      <c r="DSU50" s="6"/>
      <c r="DSV50" s="6"/>
      <c r="DSW50" s="6"/>
      <c r="DSX50" s="6"/>
      <c r="DSY50" s="6"/>
      <c r="DSZ50" s="6"/>
      <c r="DTA50" s="6"/>
      <c r="DTB50" s="6"/>
      <c r="DTC50" s="6"/>
      <c r="DTD50" s="6"/>
      <c r="DTE50" s="6"/>
      <c r="DTF50" s="6"/>
      <c r="DTG50" s="6"/>
      <c r="DTH50" s="6"/>
      <c r="DTI50" s="6"/>
      <c r="DTJ50" s="6"/>
      <c r="DTK50" s="6"/>
      <c r="DTL50" s="6"/>
      <c r="DTM50" s="6"/>
      <c r="DTN50" s="6"/>
      <c r="DTO50" s="6"/>
      <c r="DTP50" s="6"/>
      <c r="DTQ50" s="6"/>
      <c r="DTR50" s="6"/>
      <c r="DTS50" s="6"/>
      <c r="DTT50" s="6"/>
      <c r="DTU50" s="6"/>
      <c r="DTV50" s="6"/>
      <c r="DTW50" s="6"/>
      <c r="DTX50" s="6"/>
      <c r="DTY50" s="6"/>
      <c r="DTZ50" s="6"/>
      <c r="DUA50" s="6"/>
      <c r="DUB50" s="6"/>
      <c r="DUC50" s="6"/>
      <c r="DUD50" s="6"/>
      <c r="DUE50" s="6"/>
      <c r="DUF50" s="6"/>
      <c r="DUG50" s="6"/>
      <c r="DUH50" s="6"/>
      <c r="DUI50" s="6"/>
      <c r="DUJ50" s="6"/>
      <c r="DUK50" s="6"/>
      <c r="DUL50" s="6"/>
      <c r="DUM50" s="6"/>
      <c r="DUN50" s="6"/>
      <c r="DUO50" s="6"/>
      <c r="DUP50" s="6"/>
      <c r="DUQ50" s="6"/>
      <c r="DUR50" s="6"/>
      <c r="DUS50" s="6"/>
      <c r="DUT50" s="6"/>
      <c r="DUU50" s="6"/>
      <c r="DUV50" s="6"/>
      <c r="DUW50" s="6"/>
      <c r="DUX50" s="6"/>
      <c r="DUY50" s="6"/>
      <c r="DUZ50" s="6"/>
      <c r="DVA50" s="6"/>
      <c r="DVB50" s="6"/>
      <c r="DVC50" s="6"/>
      <c r="DVD50" s="6"/>
      <c r="DVE50" s="6"/>
      <c r="DVF50" s="6"/>
      <c r="DVG50" s="6"/>
      <c r="DVH50" s="6"/>
      <c r="DVI50" s="6"/>
      <c r="DVJ50" s="6"/>
      <c r="DVK50" s="6"/>
      <c r="DVL50" s="6"/>
      <c r="DVM50" s="6"/>
      <c r="DVN50" s="6"/>
      <c r="DVO50" s="6"/>
      <c r="DVP50" s="6"/>
      <c r="DVQ50" s="6"/>
      <c r="DVR50" s="6"/>
      <c r="DVS50" s="6"/>
      <c r="DVT50" s="6"/>
      <c r="DVU50" s="6"/>
      <c r="DVV50" s="6"/>
      <c r="DVW50" s="6"/>
      <c r="DVX50" s="6"/>
      <c r="DVY50" s="6"/>
      <c r="DVZ50" s="6"/>
      <c r="DWA50" s="6"/>
      <c r="DWB50" s="6"/>
      <c r="DWC50" s="6"/>
      <c r="DWD50" s="6"/>
      <c r="DWE50" s="6"/>
      <c r="DWF50" s="6"/>
      <c r="DWG50" s="6"/>
      <c r="DWH50" s="6"/>
      <c r="DWI50" s="6"/>
      <c r="DWJ50" s="6"/>
      <c r="DWK50" s="6"/>
      <c r="DWL50" s="6"/>
      <c r="DWM50" s="6"/>
      <c r="DWN50" s="6"/>
      <c r="DWO50" s="6"/>
      <c r="DWP50" s="6"/>
      <c r="DWQ50" s="6"/>
      <c r="DWR50" s="6"/>
      <c r="DWS50" s="6"/>
      <c r="DWT50" s="6"/>
      <c r="DWU50" s="6"/>
      <c r="DWV50" s="6"/>
      <c r="DWW50" s="6"/>
      <c r="DWX50" s="6"/>
      <c r="DWY50" s="6"/>
      <c r="DWZ50" s="6"/>
      <c r="DXA50" s="6"/>
      <c r="DXB50" s="6"/>
      <c r="DXC50" s="6"/>
      <c r="DXD50" s="6"/>
      <c r="DXE50" s="6"/>
      <c r="DXF50" s="6"/>
      <c r="DXG50" s="6"/>
      <c r="DXH50" s="6"/>
      <c r="DXI50" s="6"/>
      <c r="DXJ50" s="6"/>
      <c r="DXK50" s="6"/>
      <c r="DXL50" s="6"/>
      <c r="DXM50" s="6"/>
      <c r="DXN50" s="6"/>
      <c r="DXO50" s="6"/>
      <c r="DXP50" s="6"/>
      <c r="DXQ50" s="6"/>
      <c r="DXR50" s="6"/>
      <c r="DXS50" s="6"/>
      <c r="DXT50" s="6"/>
      <c r="DXU50" s="6"/>
      <c r="DXV50" s="6"/>
      <c r="DXW50" s="6"/>
      <c r="DXX50" s="6"/>
      <c r="DXY50" s="6"/>
      <c r="DXZ50" s="6"/>
      <c r="DYA50" s="6"/>
      <c r="DYB50" s="6"/>
      <c r="DYC50" s="6"/>
      <c r="DYD50" s="6"/>
      <c r="DYE50" s="6"/>
      <c r="DYF50" s="6"/>
      <c r="DYG50" s="6"/>
      <c r="DYH50" s="6"/>
      <c r="DYI50" s="6"/>
      <c r="DYJ50" s="6"/>
      <c r="DYK50" s="6"/>
      <c r="DYL50" s="6"/>
      <c r="DYM50" s="6"/>
      <c r="DYN50" s="6"/>
      <c r="DYO50" s="6"/>
      <c r="DYP50" s="6"/>
      <c r="DYQ50" s="6"/>
      <c r="DYR50" s="6"/>
      <c r="DYS50" s="6"/>
      <c r="DYT50" s="6"/>
      <c r="DYU50" s="6"/>
      <c r="DYV50" s="6"/>
      <c r="DYW50" s="6"/>
      <c r="DYX50" s="6"/>
      <c r="DYY50" s="6"/>
      <c r="DYZ50" s="6"/>
      <c r="DZA50" s="6"/>
      <c r="DZB50" s="6"/>
      <c r="DZC50" s="6"/>
      <c r="DZD50" s="6"/>
      <c r="DZE50" s="6"/>
      <c r="DZF50" s="6"/>
      <c r="DZG50" s="6"/>
      <c r="DZH50" s="6"/>
      <c r="DZI50" s="6"/>
      <c r="DZJ50" s="6"/>
      <c r="DZK50" s="6"/>
      <c r="DZL50" s="6"/>
      <c r="DZM50" s="6"/>
      <c r="DZN50" s="6"/>
      <c r="DZO50" s="6"/>
      <c r="DZP50" s="6"/>
      <c r="DZQ50" s="6"/>
      <c r="DZR50" s="6"/>
      <c r="DZS50" s="6"/>
      <c r="DZT50" s="6"/>
      <c r="DZU50" s="6"/>
      <c r="DZV50" s="6"/>
      <c r="DZW50" s="6"/>
      <c r="DZX50" s="6"/>
      <c r="DZY50" s="6"/>
      <c r="DZZ50" s="6"/>
      <c r="EAA50" s="6"/>
      <c r="EAB50" s="6"/>
      <c r="EAC50" s="6"/>
      <c r="EAD50" s="6"/>
      <c r="EAE50" s="6"/>
      <c r="EAF50" s="6"/>
      <c r="EAG50" s="6"/>
      <c r="EAH50" s="6"/>
      <c r="EAI50" s="6"/>
      <c r="EAJ50" s="6"/>
      <c r="EAK50" s="6"/>
      <c r="EAL50" s="6"/>
      <c r="EAM50" s="6"/>
      <c r="EAN50" s="6"/>
      <c r="EAO50" s="6"/>
      <c r="EAP50" s="6"/>
      <c r="EAQ50" s="6"/>
      <c r="EAR50" s="6"/>
      <c r="EAS50" s="6"/>
      <c r="EAT50" s="6"/>
      <c r="EAU50" s="6"/>
      <c r="EAV50" s="6"/>
      <c r="EAW50" s="6"/>
      <c r="EAX50" s="6"/>
      <c r="EAY50" s="6"/>
      <c r="EAZ50" s="6"/>
      <c r="EBA50" s="6"/>
      <c r="EBB50" s="6"/>
      <c r="EBC50" s="6"/>
      <c r="EBD50" s="6"/>
      <c r="EBE50" s="6"/>
      <c r="EBF50" s="6"/>
      <c r="EBG50" s="6"/>
      <c r="EBH50" s="6"/>
      <c r="EBI50" s="6"/>
      <c r="EBJ50" s="6"/>
      <c r="EBK50" s="6"/>
      <c r="EBL50" s="6"/>
      <c r="EBM50" s="6"/>
      <c r="EBN50" s="6"/>
      <c r="EBO50" s="6"/>
      <c r="EBP50" s="6"/>
      <c r="EBQ50" s="6"/>
      <c r="EBR50" s="6"/>
      <c r="EBS50" s="6"/>
      <c r="EBT50" s="6"/>
      <c r="EBU50" s="6"/>
      <c r="EBV50" s="6"/>
      <c r="EBW50" s="6"/>
      <c r="EBX50" s="6"/>
      <c r="EBY50" s="6"/>
      <c r="EBZ50" s="6"/>
      <c r="ECA50" s="6"/>
      <c r="ECB50" s="6"/>
      <c r="ECC50" s="6"/>
      <c r="ECD50" s="6"/>
      <c r="ECE50" s="6"/>
      <c r="ECF50" s="6"/>
      <c r="ECG50" s="6"/>
      <c r="ECH50" s="6"/>
      <c r="ECI50" s="6"/>
      <c r="ECJ50" s="6"/>
      <c r="ECK50" s="6"/>
      <c r="ECL50" s="6"/>
      <c r="ECM50" s="6"/>
      <c r="ECN50" s="6"/>
      <c r="ECO50" s="6"/>
      <c r="ECP50" s="6"/>
      <c r="ECQ50" s="6"/>
      <c r="ECR50" s="6"/>
      <c r="ECS50" s="6"/>
      <c r="ECT50" s="6"/>
      <c r="ECU50" s="6"/>
      <c r="ECV50" s="6"/>
      <c r="ECW50" s="6"/>
      <c r="ECX50" s="6"/>
      <c r="ECY50" s="6"/>
      <c r="ECZ50" s="6"/>
      <c r="EDA50" s="6"/>
      <c r="EDB50" s="6"/>
      <c r="EDC50" s="6"/>
      <c r="EDD50" s="6"/>
      <c r="EDE50" s="6"/>
      <c r="EDF50" s="6"/>
      <c r="EDG50" s="6"/>
      <c r="EDH50" s="6"/>
      <c r="EDI50" s="6"/>
      <c r="EDJ50" s="6"/>
      <c r="EDK50" s="6"/>
      <c r="EDL50" s="6"/>
      <c r="EDM50" s="6"/>
      <c r="EDN50" s="6"/>
      <c r="EDO50" s="6"/>
      <c r="EDP50" s="6"/>
      <c r="EDQ50" s="6"/>
      <c r="EDR50" s="6"/>
      <c r="EDS50" s="6"/>
      <c r="EDT50" s="6"/>
      <c r="EDU50" s="6"/>
      <c r="EDV50" s="6"/>
      <c r="EDW50" s="6"/>
      <c r="EDX50" s="6"/>
      <c r="EDY50" s="6"/>
      <c r="EDZ50" s="6"/>
      <c r="EEA50" s="6"/>
      <c r="EEB50" s="6"/>
      <c r="EEC50" s="6"/>
      <c r="EED50" s="6"/>
      <c r="EEE50" s="6"/>
      <c r="EEF50" s="6"/>
      <c r="EEG50" s="6"/>
      <c r="EEH50" s="6"/>
      <c r="EEI50" s="6"/>
      <c r="EEJ50" s="6"/>
      <c r="EEK50" s="6"/>
      <c r="EEL50" s="6"/>
      <c r="EEM50" s="6"/>
      <c r="EEN50" s="6"/>
      <c r="EEO50" s="6"/>
      <c r="EEP50" s="6"/>
      <c r="EEQ50" s="6"/>
      <c r="EER50" s="6"/>
      <c r="EES50" s="6"/>
      <c r="EET50" s="6"/>
      <c r="EEU50" s="6"/>
      <c r="EEV50" s="6"/>
      <c r="EEW50" s="6"/>
      <c r="EEX50" s="6"/>
      <c r="EEY50" s="6"/>
      <c r="EEZ50" s="6"/>
      <c r="EFA50" s="6"/>
      <c r="EFB50" s="6"/>
      <c r="EFC50" s="6"/>
      <c r="EFD50" s="6"/>
      <c r="EFE50" s="6"/>
      <c r="EFF50" s="6"/>
      <c r="EFG50" s="6"/>
      <c r="EFH50" s="6"/>
      <c r="EFI50" s="6"/>
      <c r="EFJ50" s="6"/>
      <c r="EFK50" s="6"/>
      <c r="EFL50" s="6"/>
      <c r="EFM50" s="6"/>
      <c r="EFN50" s="6"/>
      <c r="EFO50" s="6"/>
      <c r="EFP50" s="6"/>
      <c r="EFQ50" s="6"/>
      <c r="EFR50" s="6"/>
      <c r="EFS50" s="6"/>
      <c r="EFT50" s="6"/>
      <c r="EFU50" s="6"/>
      <c r="EFV50" s="6"/>
      <c r="EFW50" s="6"/>
      <c r="EFX50" s="6"/>
      <c r="EFY50" s="6"/>
      <c r="EFZ50" s="6"/>
      <c r="EGA50" s="6"/>
      <c r="EGB50" s="6"/>
      <c r="EGC50" s="6"/>
      <c r="EGD50" s="6"/>
      <c r="EGE50" s="6"/>
      <c r="EGF50" s="6"/>
      <c r="EGG50" s="6"/>
      <c r="EGH50" s="6"/>
      <c r="EGI50" s="6"/>
      <c r="EGJ50" s="6"/>
      <c r="EGK50" s="6"/>
      <c r="EGL50" s="6"/>
      <c r="EGM50" s="6"/>
      <c r="EGN50" s="6"/>
      <c r="EGO50" s="6"/>
      <c r="EGP50" s="6"/>
      <c r="EGQ50" s="6"/>
      <c r="EGR50" s="6"/>
      <c r="EGS50" s="6"/>
      <c r="EGT50" s="6"/>
      <c r="EGU50" s="6"/>
      <c r="EGV50" s="6"/>
      <c r="EGW50" s="6"/>
      <c r="EGX50" s="6"/>
      <c r="EGY50" s="6"/>
      <c r="EGZ50" s="6"/>
      <c r="EHA50" s="6"/>
      <c r="EHB50" s="6"/>
      <c r="EHC50" s="6"/>
      <c r="EHD50" s="6"/>
      <c r="EHE50" s="6"/>
      <c r="EHF50" s="6"/>
      <c r="EHG50" s="6"/>
      <c r="EHH50" s="6"/>
      <c r="EHI50" s="6"/>
      <c r="EHJ50" s="6"/>
      <c r="EHK50" s="6"/>
      <c r="EHL50" s="6"/>
      <c r="EHM50" s="6"/>
      <c r="EHN50" s="6"/>
      <c r="EHO50" s="6"/>
      <c r="EHP50" s="6"/>
      <c r="EHQ50" s="6"/>
      <c r="EHR50" s="6"/>
      <c r="EHS50" s="6"/>
      <c r="EHT50" s="6"/>
      <c r="EHU50" s="6"/>
      <c r="EHV50" s="6"/>
      <c r="EHW50" s="6"/>
      <c r="EHX50" s="6"/>
      <c r="EHY50" s="6"/>
      <c r="EHZ50" s="6"/>
      <c r="EIA50" s="6"/>
      <c r="EIB50" s="6"/>
      <c r="EIC50" s="6"/>
      <c r="EID50" s="6"/>
      <c r="EIE50" s="6"/>
      <c r="EIF50" s="6"/>
      <c r="EIG50" s="6"/>
      <c r="EIH50" s="6"/>
      <c r="EII50" s="6"/>
      <c r="EIJ50" s="6"/>
      <c r="EIK50" s="6"/>
      <c r="EIL50" s="6"/>
      <c r="EIM50" s="6"/>
      <c r="EIN50" s="6"/>
      <c r="EIO50" s="6"/>
      <c r="EIP50" s="6"/>
      <c r="EIQ50" s="6"/>
      <c r="EIR50" s="6"/>
      <c r="EIS50" s="6"/>
      <c r="EIT50" s="6"/>
      <c r="EIU50" s="6"/>
      <c r="EIV50" s="6"/>
      <c r="EIW50" s="6"/>
      <c r="EIX50" s="6"/>
      <c r="EIY50" s="6"/>
      <c r="EIZ50" s="6"/>
      <c r="EJA50" s="6"/>
      <c r="EJB50" s="6"/>
      <c r="EJC50" s="6"/>
      <c r="EJD50" s="6"/>
      <c r="EJE50" s="6"/>
      <c r="EJF50" s="6"/>
      <c r="EJG50" s="6"/>
      <c r="EJH50" s="6"/>
      <c r="EJI50" s="6"/>
      <c r="EJJ50" s="6"/>
      <c r="EJK50" s="6"/>
      <c r="EJL50" s="6"/>
      <c r="EJM50" s="6"/>
      <c r="EJN50" s="6"/>
      <c r="EJO50" s="6"/>
      <c r="EJP50" s="6"/>
      <c r="EJQ50" s="6"/>
      <c r="EJR50" s="6"/>
      <c r="EJS50" s="6"/>
      <c r="EJT50" s="6"/>
      <c r="EJU50" s="6"/>
      <c r="EJV50" s="6"/>
      <c r="EJW50" s="6"/>
      <c r="EJX50" s="6"/>
      <c r="EJY50" s="6"/>
      <c r="EJZ50" s="6"/>
      <c r="EKA50" s="6"/>
      <c r="EKB50" s="6"/>
      <c r="EKC50" s="6"/>
      <c r="EKD50" s="6"/>
      <c r="EKE50" s="6"/>
      <c r="EKF50" s="6"/>
      <c r="EKG50" s="6"/>
      <c r="EKH50" s="6"/>
      <c r="EKI50" s="6"/>
      <c r="EKJ50" s="6"/>
      <c r="EKK50" s="6"/>
      <c r="EKL50" s="6"/>
      <c r="EKM50" s="6"/>
      <c r="EKN50" s="6"/>
      <c r="EKO50" s="6"/>
      <c r="EKP50" s="6"/>
      <c r="EKQ50" s="6"/>
      <c r="EKR50" s="6"/>
      <c r="EKS50" s="6"/>
      <c r="EKT50" s="6"/>
      <c r="EKU50" s="6"/>
      <c r="EKV50" s="6"/>
      <c r="EKW50" s="6"/>
      <c r="EKX50" s="6"/>
      <c r="EKY50" s="6"/>
      <c r="EKZ50" s="6"/>
      <c r="ELA50" s="6"/>
      <c r="ELB50" s="6"/>
      <c r="ELC50" s="6"/>
      <c r="ELD50" s="6"/>
      <c r="ELE50" s="6"/>
      <c r="ELF50" s="6"/>
      <c r="ELG50" s="6"/>
      <c r="ELH50" s="6"/>
      <c r="ELI50" s="6"/>
      <c r="ELJ50" s="6"/>
      <c r="ELK50" s="6"/>
      <c r="ELL50" s="6"/>
      <c r="ELM50" s="6"/>
      <c r="ELN50" s="6"/>
      <c r="ELO50" s="6"/>
      <c r="ELP50" s="6"/>
      <c r="ELQ50" s="6"/>
      <c r="ELR50" s="6"/>
      <c r="ELS50" s="6"/>
      <c r="ELT50" s="6"/>
      <c r="ELU50" s="6"/>
      <c r="ELV50" s="6"/>
      <c r="ELW50" s="6"/>
      <c r="ELX50" s="6"/>
      <c r="ELY50" s="6"/>
      <c r="ELZ50" s="6"/>
      <c r="EMA50" s="6"/>
      <c r="EMB50" s="6"/>
      <c r="EMC50" s="6"/>
      <c r="EMD50" s="6"/>
      <c r="EME50" s="6"/>
      <c r="EMF50" s="6"/>
      <c r="EMG50" s="6"/>
      <c r="EMH50" s="6"/>
      <c r="EMI50" s="6"/>
      <c r="EMJ50" s="6"/>
      <c r="EMK50" s="6"/>
      <c r="EML50" s="6"/>
      <c r="EMM50" s="6"/>
      <c r="EMN50" s="6"/>
      <c r="EMO50" s="6"/>
      <c r="EMP50" s="6"/>
      <c r="EMQ50" s="6"/>
      <c r="EMR50" s="6"/>
      <c r="EMS50" s="6"/>
      <c r="EMT50" s="6"/>
      <c r="EMU50" s="6"/>
      <c r="EMV50" s="6"/>
      <c r="EMW50" s="6"/>
      <c r="EMX50" s="6"/>
      <c r="EMY50" s="6"/>
      <c r="EMZ50" s="6"/>
      <c r="ENA50" s="6"/>
      <c r="ENB50" s="6"/>
      <c r="ENC50" s="6"/>
      <c r="END50" s="6"/>
      <c r="ENE50" s="6"/>
      <c r="ENF50" s="6"/>
      <c r="ENG50" s="6"/>
      <c r="ENH50" s="6"/>
      <c r="ENI50" s="6"/>
      <c r="ENJ50" s="6"/>
      <c r="ENK50" s="6"/>
      <c r="ENL50" s="6"/>
      <c r="ENM50" s="6"/>
      <c r="ENN50" s="6"/>
      <c r="ENO50" s="6"/>
      <c r="ENP50" s="6"/>
      <c r="ENQ50" s="6"/>
      <c r="ENR50" s="6"/>
      <c r="ENS50" s="6"/>
      <c r="ENT50" s="6"/>
      <c r="ENU50" s="6"/>
      <c r="ENV50" s="6"/>
      <c r="ENW50" s="6"/>
      <c r="ENX50" s="6"/>
      <c r="ENY50" s="6"/>
      <c r="ENZ50" s="6"/>
      <c r="EOA50" s="6"/>
      <c r="EOB50" s="6"/>
      <c r="EOC50" s="6"/>
      <c r="EOD50" s="6"/>
      <c r="EOE50" s="6"/>
      <c r="EOF50" s="6"/>
      <c r="EOG50" s="6"/>
      <c r="EOH50" s="6"/>
      <c r="EOI50" s="6"/>
      <c r="EOJ50" s="6"/>
      <c r="EOK50" s="6"/>
      <c r="EOL50" s="6"/>
      <c r="EOM50" s="6"/>
      <c r="EON50" s="6"/>
      <c r="EOO50" s="6"/>
      <c r="EOP50" s="6"/>
      <c r="EOQ50" s="6"/>
      <c r="EOR50" s="6"/>
      <c r="EOS50" s="6"/>
      <c r="EOT50" s="6"/>
      <c r="EOU50" s="6"/>
      <c r="EOV50" s="6"/>
      <c r="EOW50" s="6"/>
      <c r="EOX50" s="6"/>
      <c r="EOY50" s="6"/>
      <c r="EOZ50" s="6"/>
      <c r="EPA50" s="6"/>
      <c r="EPB50" s="6"/>
      <c r="EPC50" s="6"/>
      <c r="EPD50" s="6"/>
      <c r="EPE50" s="6"/>
      <c r="EPF50" s="6"/>
      <c r="EPG50" s="6"/>
      <c r="EPH50" s="6"/>
      <c r="EPI50" s="6"/>
      <c r="EPJ50" s="6"/>
      <c r="EPK50" s="6"/>
      <c r="EPL50" s="6"/>
      <c r="EPM50" s="6"/>
      <c r="EPN50" s="6"/>
      <c r="EPO50" s="6"/>
      <c r="EPP50" s="6"/>
      <c r="EPQ50" s="6"/>
      <c r="EPR50" s="6"/>
      <c r="EPS50" s="6"/>
      <c r="EPT50" s="6"/>
      <c r="EPU50" s="6"/>
      <c r="EPV50" s="6"/>
      <c r="EPW50" s="6"/>
      <c r="EPX50" s="6"/>
      <c r="EPY50" s="6"/>
      <c r="EPZ50" s="6"/>
      <c r="EQA50" s="6"/>
      <c r="EQB50" s="6"/>
      <c r="EQC50" s="6"/>
      <c r="EQD50" s="6"/>
      <c r="EQE50" s="6"/>
      <c r="EQF50" s="6"/>
      <c r="EQG50" s="6"/>
      <c r="EQH50" s="6"/>
      <c r="EQI50" s="6"/>
      <c r="EQJ50" s="6"/>
      <c r="EQK50" s="6"/>
      <c r="EQL50" s="6"/>
      <c r="EQM50" s="6"/>
      <c r="EQN50" s="6"/>
      <c r="EQO50" s="6"/>
      <c r="EQP50" s="6"/>
      <c r="EQQ50" s="6"/>
      <c r="EQR50" s="6"/>
      <c r="EQS50" s="6"/>
      <c r="EQT50" s="6"/>
      <c r="EQU50" s="6"/>
      <c r="EQV50" s="6"/>
      <c r="EQW50" s="6"/>
      <c r="EQX50" s="6"/>
      <c r="EQY50" s="6"/>
      <c r="EQZ50" s="6"/>
      <c r="ERA50" s="6"/>
      <c r="ERB50" s="6"/>
      <c r="ERC50" s="6"/>
      <c r="ERD50" s="6"/>
      <c r="ERE50" s="6"/>
      <c r="ERF50" s="6"/>
      <c r="ERG50" s="6"/>
      <c r="ERH50" s="6"/>
      <c r="ERI50" s="6"/>
      <c r="ERJ50" s="6"/>
      <c r="ERK50" s="6"/>
      <c r="ERL50" s="6"/>
      <c r="ERM50" s="6"/>
      <c r="ERN50" s="6"/>
      <c r="ERO50" s="6"/>
      <c r="ERP50" s="6"/>
      <c r="ERQ50" s="6"/>
      <c r="ERR50" s="6"/>
      <c r="ERS50" s="6"/>
      <c r="ERT50" s="6"/>
      <c r="ERU50" s="6"/>
      <c r="ERV50" s="6"/>
      <c r="ERW50" s="6"/>
      <c r="ERX50" s="6"/>
      <c r="ERY50" s="6"/>
      <c r="ERZ50" s="6"/>
      <c r="ESA50" s="6"/>
      <c r="ESB50" s="6"/>
      <c r="ESC50" s="6"/>
      <c r="ESD50" s="6"/>
      <c r="ESE50" s="6"/>
      <c r="ESF50" s="6"/>
      <c r="ESG50" s="6"/>
      <c r="ESH50" s="6"/>
      <c r="ESI50" s="6"/>
      <c r="ESJ50" s="6"/>
      <c r="ESK50" s="6"/>
      <c r="ESL50" s="6"/>
      <c r="ESM50" s="6"/>
      <c r="ESN50" s="6"/>
      <c r="ESO50" s="6"/>
      <c r="ESP50" s="6"/>
      <c r="ESQ50" s="6"/>
      <c r="ESR50" s="6"/>
      <c r="ESS50" s="6"/>
      <c r="EST50" s="6"/>
      <c r="ESU50" s="6"/>
      <c r="ESV50" s="6"/>
      <c r="ESW50" s="6"/>
      <c r="ESX50" s="6"/>
      <c r="ESY50" s="6"/>
      <c r="ESZ50" s="6"/>
      <c r="ETA50" s="6"/>
      <c r="ETB50" s="6"/>
      <c r="ETC50" s="6"/>
      <c r="ETD50" s="6"/>
      <c r="ETE50" s="6"/>
      <c r="ETF50" s="6"/>
      <c r="ETG50" s="6"/>
      <c r="ETH50" s="6"/>
      <c r="ETI50" s="6"/>
      <c r="ETJ50" s="6"/>
      <c r="ETK50" s="6"/>
      <c r="ETL50" s="6"/>
      <c r="ETM50" s="6"/>
      <c r="ETN50" s="6"/>
      <c r="ETO50" s="6"/>
      <c r="ETP50" s="6"/>
      <c r="ETQ50" s="6"/>
      <c r="ETR50" s="6"/>
      <c r="ETS50" s="6"/>
      <c r="ETT50" s="6"/>
      <c r="ETU50" s="6"/>
      <c r="ETV50" s="6"/>
      <c r="ETW50" s="6"/>
      <c r="ETX50" s="6"/>
      <c r="ETY50" s="6"/>
      <c r="ETZ50" s="6"/>
      <c r="EUA50" s="6"/>
      <c r="EUB50" s="6"/>
      <c r="EUC50" s="6"/>
      <c r="EUD50" s="6"/>
      <c r="EUE50" s="6"/>
      <c r="EUF50" s="6"/>
      <c r="EUG50" s="6"/>
      <c r="EUH50" s="6"/>
      <c r="EUI50" s="6"/>
      <c r="EUJ50" s="6"/>
      <c r="EUK50" s="6"/>
      <c r="EUL50" s="6"/>
      <c r="EUM50" s="6"/>
      <c r="EUN50" s="6"/>
      <c r="EUO50" s="6"/>
      <c r="EUP50" s="6"/>
      <c r="EUQ50" s="6"/>
      <c r="EUR50" s="6"/>
      <c r="EUS50" s="6"/>
      <c r="EUT50" s="6"/>
      <c r="EUU50" s="6"/>
      <c r="EUV50" s="6"/>
      <c r="EUW50" s="6"/>
      <c r="EUX50" s="6"/>
      <c r="EUY50" s="6"/>
      <c r="EUZ50" s="6"/>
      <c r="EVA50" s="6"/>
      <c r="EVB50" s="6"/>
      <c r="EVC50" s="6"/>
      <c r="EVD50" s="6"/>
      <c r="EVE50" s="6"/>
      <c r="EVF50" s="6"/>
      <c r="EVG50" s="6"/>
      <c r="EVH50" s="6"/>
      <c r="EVI50" s="6"/>
      <c r="EVJ50" s="6"/>
      <c r="EVK50" s="6"/>
      <c r="EVL50" s="6"/>
      <c r="EVM50" s="6"/>
      <c r="EVN50" s="6"/>
      <c r="EVO50" s="6"/>
      <c r="EVP50" s="6"/>
      <c r="EVQ50" s="6"/>
      <c r="EVR50" s="6"/>
      <c r="EVS50" s="6"/>
      <c r="EVT50" s="6"/>
      <c r="EVU50" s="6"/>
      <c r="EVV50" s="6"/>
      <c r="EVW50" s="6"/>
      <c r="EVX50" s="6"/>
      <c r="EVY50" s="6"/>
      <c r="EVZ50" s="6"/>
      <c r="EWA50" s="6"/>
      <c r="EWB50" s="6"/>
      <c r="EWC50" s="6"/>
      <c r="EWD50" s="6"/>
      <c r="EWE50" s="6"/>
      <c r="EWF50" s="6"/>
      <c r="EWG50" s="6"/>
      <c r="EWH50" s="6"/>
      <c r="EWI50" s="6"/>
      <c r="EWJ50" s="6"/>
      <c r="EWK50" s="6"/>
      <c r="EWL50" s="6"/>
      <c r="EWM50" s="6"/>
      <c r="EWN50" s="6"/>
      <c r="EWO50" s="6"/>
      <c r="EWP50" s="6"/>
      <c r="EWQ50" s="6"/>
      <c r="EWR50" s="6"/>
      <c r="EWS50" s="6"/>
      <c r="EWT50" s="6"/>
      <c r="EWU50" s="6"/>
      <c r="EWV50" s="6"/>
      <c r="EWW50" s="6"/>
      <c r="EWX50" s="6"/>
      <c r="EWY50" s="6"/>
      <c r="EWZ50" s="6"/>
      <c r="EXA50" s="6"/>
      <c r="EXB50" s="6"/>
      <c r="EXC50" s="6"/>
      <c r="EXD50" s="6"/>
      <c r="EXE50" s="6"/>
      <c r="EXF50" s="6"/>
      <c r="EXG50" s="6"/>
      <c r="EXH50" s="6"/>
      <c r="EXI50" s="6"/>
      <c r="EXJ50" s="6"/>
      <c r="EXK50" s="6"/>
      <c r="EXL50" s="6"/>
      <c r="EXM50" s="6"/>
      <c r="EXN50" s="6"/>
      <c r="EXO50" s="6"/>
      <c r="EXP50" s="6"/>
      <c r="EXQ50" s="6"/>
      <c r="EXR50" s="6"/>
      <c r="EXS50" s="6"/>
      <c r="EXT50" s="6"/>
      <c r="EXU50" s="6"/>
      <c r="EXV50" s="6"/>
      <c r="EXW50" s="6"/>
      <c r="EXX50" s="6"/>
      <c r="EXY50" s="6"/>
      <c r="EXZ50" s="6"/>
      <c r="EYA50" s="6"/>
      <c r="EYB50" s="6"/>
      <c r="EYC50" s="6"/>
      <c r="EYD50" s="6"/>
      <c r="EYE50" s="6"/>
      <c r="EYF50" s="6"/>
      <c r="EYG50" s="6"/>
      <c r="EYH50" s="6"/>
      <c r="EYI50" s="6"/>
      <c r="EYJ50" s="6"/>
      <c r="EYK50" s="6"/>
      <c r="EYL50" s="6"/>
      <c r="EYM50" s="6"/>
      <c r="EYN50" s="6"/>
      <c r="EYO50" s="6"/>
      <c r="EYP50" s="6"/>
      <c r="EYQ50" s="6"/>
      <c r="EYR50" s="6"/>
      <c r="EYS50" s="6"/>
      <c r="EYT50" s="6"/>
      <c r="EYU50" s="6"/>
      <c r="EYV50" s="6"/>
      <c r="EYW50" s="6"/>
      <c r="EYX50" s="6"/>
      <c r="EYY50" s="6"/>
      <c r="EYZ50" s="6"/>
      <c r="EZA50" s="6"/>
      <c r="EZB50" s="6"/>
      <c r="EZC50" s="6"/>
      <c r="EZD50" s="6"/>
      <c r="EZE50" s="6"/>
      <c r="EZF50" s="6"/>
      <c r="EZG50" s="6"/>
      <c r="EZH50" s="6"/>
      <c r="EZI50" s="6"/>
      <c r="EZJ50" s="6"/>
      <c r="EZK50" s="6"/>
      <c r="EZL50" s="6"/>
      <c r="EZM50" s="6"/>
      <c r="EZN50" s="6"/>
      <c r="EZO50" s="6"/>
      <c r="EZP50" s="6"/>
      <c r="EZQ50" s="6"/>
      <c r="EZR50" s="6"/>
      <c r="EZS50" s="6"/>
      <c r="EZT50" s="6"/>
      <c r="EZU50" s="6"/>
      <c r="EZV50" s="6"/>
      <c r="EZW50" s="6"/>
      <c r="EZX50" s="6"/>
      <c r="EZY50" s="6"/>
      <c r="EZZ50" s="6"/>
      <c r="FAA50" s="6"/>
      <c r="FAB50" s="6"/>
      <c r="FAC50" s="6"/>
      <c r="FAD50" s="6"/>
      <c r="FAE50" s="6"/>
      <c r="FAF50" s="6"/>
      <c r="FAG50" s="6"/>
      <c r="FAH50" s="6"/>
      <c r="FAI50" s="6"/>
      <c r="FAJ50" s="6"/>
      <c r="FAK50" s="6"/>
      <c r="FAL50" s="6"/>
      <c r="FAM50" s="6"/>
      <c r="FAN50" s="6"/>
      <c r="FAO50" s="6"/>
      <c r="FAP50" s="6"/>
      <c r="FAQ50" s="6"/>
      <c r="FAR50" s="6"/>
      <c r="FAS50" s="6"/>
      <c r="FAT50" s="6"/>
      <c r="FAU50" s="6"/>
      <c r="FAV50" s="6"/>
      <c r="FAW50" s="6"/>
      <c r="FAX50" s="6"/>
      <c r="FAY50" s="6"/>
      <c r="FAZ50" s="6"/>
      <c r="FBA50" s="6"/>
      <c r="FBB50" s="6"/>
      <c r="FBC50" s="6"/>
      <c r="FBD50" s="6"/>
      <c r="FBE50" s="6"/>
      <c r="FBF50" s="6"/>
      <c r="FBG50" s="6"/>
      <c r="FBH50" s="6"/>
      <c r="FBI50" s="6"/>
      <c r="FBJ50" s="6"/>
      <c r="FBK50" s="6"/>
      <c r="FBL50" s="6"/>
      <c r="FBM50" s="6"/>
      <c r="FBN50" s="6"/>
      <c r="FBO50" s="6"/>
      <c r="FBP50" s="6"/>
      <c r="FBQ50" s="6"/>
      <c r="FBR50" s="6"/>
      <c r="FBS50" s="6"/>
      <c r="FBT50" s="6"/>
      <c r="FBU50" s="6"/>
      <c r="FBV50" s="6"/>
      <c r="FBW50" s="6"/>
      <c r="FBX50" s="6"/>
      <c r="FBY50" s="6"/>
      <c r="FBZ50" s="6"/>
      <c r="FCA50" s="6"/>
      <c r="FCB50" s="6"/>
      <c r="FCC50" s="6"/>
      <c r="FCD50" s="6"/>
      <c r="FCE50" s="6"/>
      <c r="FCF50" s="6"/>
      <c r="FCG50" s="6"/>
      <c r="FCH50" s="6"/>
      <c r="FCI50" s="6"/>
      <c r="FCJ50" s="6"/>
      <c r="FCK50" s="6"/>
      <c r="FCL50" s="6"/>
      <c r="FCM50" s="6"/>
      <c r="FCN50" s="6"/>
      <c r="FCO50" s="6"/>
      <c r="FCP50" s="6"/>
      <c r="FCQ50" s="6"/>
      <c r="FCR50" s="6"/>
      <c r="FCS50" s="6"/>
      <c r="FCT50" s="6"/>
      <c r="FCU50" s="6"/>
      <c r="FCV50" s="6"/>
      <c r="FCW50" s="6"/>
      <c r="FCX50" s="6"/>
      <c r="FCY50" s="6"/>
      <c r="FCZ50" s="6"/>
      <c r="FDA50" s="6"/>
      <c r="FDB50" s="6"/>
      <c r="FDC50" s="6"/>
      <c r="FDD50" s="6"/>
      <c r="FDE50" s="6"/>
      <c r="FDF50" s="6"/>
      <c r="FDG50" s="6"/>
      <c r="FDH50" s="6"/>
      <c r="FDI50" s="6"/>
      <c r="FDJ50" s="6"/>
      <c r="FDK50" s="6"/>
      <c r="FDL50" s="6"/>
      <c r="FDM50" s="6"/>
      <c r="FDN50" s="6"/>
      <c r="FDO50" s="6"/>
      <c r="FDP50" s="6"/>
      <c r="FDQ50" s="6"/>
      <c r="FDR50" s="6"/>
      <c r="FDS50" s="6"/>
      <c r="FDT50" s="6"/>
      <c r="FDU50" s="6"/>
      <c r="FDV50" s="6"/>
      <c r="FDW50" s="6"/>
      <c r="FDX50" s="6"/>
      <c r="FDY50" s="6"/>
      <c r="FDZ50" s="6"/>
      <c r="FEA50" s="6"/>
      <c r="FEB50" s="6"/>
      <c r="FEC50" s="6"/>
      <c r="FED50" s="6"/>
      <c r="FEE50" s="6"/>
      <c r="FEF50" s="6"/>
      <c r="FEG50" s="6"/>
      <c r="FEH50" s="6"/>
      <c r="FEI50" s="6"/>
      <c r="FEJ50" s="6"/>
      <c r="FEK50" s="6"/>
      <c r="FEL50" s="6"/>
      <c r="FEM50" s="6"/>
      <c r="FEN50" s="6"/>
      <c r="FEO50" s="6"/>
      <c r="FEP50" s="6"/>
      <c r="FEQ50" s="6"/>
      <c r="FER50" s="6"/>
      <c r="FES50" s="6"/>
      <c r="FET50" s="6"/>
      <c r="FEU50" s="6"/>
      <c r="FEV50" s="6"/>
      <c r="FEW50" s="6"/>
      <c r="FEX50" s="6"/>
      <c r="FEY50" s="6"/>
      <c r="FEZ50" s="6"/>
      <c r="FFA50" s="6"/>
      <c r="FFB50" s="6"/>
      <c r="FFC50" s="6"/>
      <c r="FFD50" s="6"/>
      <c r="FFE50" s="6"/>
      <c r="FFF50" s="6"/>
      <c r="FFG50" s="6"/>
      <c r="FFH50" s="6"/>
      <c r="FFI50" s="6"/>
      <c r="FFJ50" s="6"/>
      <c r="FFK50" s="6"/>
      <c r="FFL50" s="6"/>
      <c r="FFM50" s="6"/>
      <c r="FFN50" s="6"/>
      <c r="FFO50" s="6"/>
      <c r="FFP50" s="6"/>
      <c r="FFQ50" s="6"/>
      <c r="FFR50" s="6"/>
      <c r="FFS50" s="6"/>
      <c r="FFT50" s="6"/>
      <c r="FFU50" s="6"/>
      <c r="FFV50" s="6"/>
      <c r="FFW50" s="6"/>
      <c r="FFX50" s="6"/>
      <c r="FFY50" s="6"/>
      <c r="FFZ50" s="6"/>
      <c r="FGA50" s="6"/>
      <c r="FGB50" s="6"/>
      <c r="FGC50" s="6"/>
      <c r="FGD50" s="6"/>
      <c r="FGE50" s="6"/>
      <c r="FGF50" s="6"/>
      <c r="FGG50" s="6"/>
      <c r="FGH50" s="6"/>
      <c r="FGI50" s="6"/>
      <c r="FGJ50" s="6"/>
      <c r="FGK50" s="6"/>
      <c r="FGL50" s="6"/>
      <c r="FGM50" s="6"/>
      <c r="FGN50" s="6"/>
      <c r="FGO50" s="6"/>
      <c r="FGP50" s="6"/>
      <c r="FGQ50" s="6"/>
      <c r="FGR50" s="6"/>
      <c r="FGS50" s="6"/>
      <c r="FGT50" s="6"/>
      <c r="FGU50" s="6"/>
      <c r="FGV50" s="6"/>
      <c r="FGW50" s="6"/>
      <c r="FGX50" s="6"/>
      <c r="FGY50" s="6"/>
      <c r="FGZ50" s="6"/>
      <c r="FHA50" s="6"/>
      <c r="FHB50" s="6"/>
      <c r="FHC50" s="6"/>
      <c r="FHD50" s="6"/>
      <c r="FHE50" s="6"/>
      <c r="FHF50" s="6"/>
      <c r="FHG50" s="6"/>
      <c r="FHH50" s="6"/>
      <c r="FHI50" s="6"/>
      <c r="FHJ50" s="6"/>
      <c r="FHK50" s="6"/>
      <c r="FHL50" s="6"/>
      <c r="FHM50" s="6"/>
      <c r="FHN50" s="6"/>
      <c r="FHO50" s="6"/>
      <c r="FHP50" s="6"/>
      <c r="FHQ50" s="6"/>
      <c r="FHR50" s="6"/>
      <c r="FHS50" s="6"/>
      <c r="FHT50" s="6"/>
      <c r="FHU50" s="6"/>
      <c r="FHV50" s="6"/>
      <c r="FHW50" s="6"/>
      <c r="FHX50" s="6"/>
      <c r="FHY50" s="6"/>
      <c r="FHZ50" s="6"/>
      <c r="FIA50" s="6"/>
      <c r="FIB50" s="6"/>
      <c r="FIC50" s="6"/>
      <c r="FID50" s="6"/>
      <c r="FIE50" s="6"/>
      <c r="FIF50" s="6"/>
      <c r="FIG50" s="6"/>
      <c r="FIH50" s="6"/>
      <c r="FII50" s="6"/>
      <c r="FIJ50" s="6"/>
      <c r="FIK50" s="6"/>
      <c r="FIL50" s="6"/>
      <c r="FIM50" s="6"/>
      <c r="FIN50" s="6"/>
      <c r="FIO50" s="6"/>
      <c r="FIP50" s="6"/>
      <c r="FIQ50" s="6"/>
      <c r="FIR50" s="6"/>
      <c r="FIS50" s="6"/>
      <c r="FIT50" s="6"/>
      <c r="FIU50" s="6"/>
      <c r="FIV50" s="6"/>
      <c r="FIW50" s="6"/>
      <c r="FIX50" s="6"/>
      <c r="FIY50" s="6"/>
      <c r="FIZ50" s="6"/>
      <c r="FJA50" s="6"/>
      <c r="FJB50" s="6"/>
      <c r="FJC50" s="6"/>
      <c r="FJD50" s="6"/>
      <c r="FJE50" s="6"/>
      <c r="FJF50" s="6"/>
      <c r="FJG50" s="6"/>
      <c r="FJH50" s="6"/>
      <c r="FJI50" s="6"/>
      <c r="FJJ50" s="6"/>
      <c r="FJK50" s="6"/>
      <c r="FJL50" s="6"/>
      <c r="FJM50" s="6"/>
      <c r="FJN50" s="6"/>
      <c r="FJO50" s="6"/>
      <c r="FJP50" s="6"/>
      <c r="FJQ50" s="6"/>
      <c r="FJR50" s="6"/>
      <c r="FJS50" s="6"/>
      <c r="FJT50" s="6"/>
      <c r="FJU50" s="6"/>
      <c r="FJV50" s="6"/>
      <c r="FJW50" s="6"/>
      <c r="FJX50" s="6"/>
      <c r="FJY50" s="6"/>
      <c r="FJZ50" s="6"/>
      <c r="FKA50" s="6"/>
      <c r="FKB50" s="6"/>
      <c r="FKC50" s="6"/>
      <c r="FKD50" s="6"/>
      <c r="FKE50" s="6"/>
      <c r="FKF50" s="6"/>
      <c r="FKG50" s="6"/>
      <c r="FKH50" s="6"/>
      <c r="FKI50" s="6"/>
      <c r="FKJ50" s="6"/>
      <c r="FKK50" s="6"/>
      <c r="FKL50" s="6"/>
      <c r="FKM50" s="6"/>
      <c r="FKN50" s="6"/>
      <c r="FKO50" s="6"/>
      <c r="FKP50" s="6"/>
      <c r="FKQ50" s="6"/>
      <c r="FKR50" s="6"/>
      <c r="FKS50" s="6"/>
      <c r="FKT50" s="6"/>
      <c r="FKU50" s="6"/>
      <c r="FKV50" s="6"/>
      <c r="FKW50" s="6"/>
      <c r="FKX50" s="6"/>
      <c r="FKY50" s="6"/>
      <c r="FKZ50" s="6"/>
      <c r="FLA50" s="6"/>
      <c r="FLB50" s="6"/>
      <c r="FLC50" s="6"/>
      <c r="FLD50" s="6"/>
      <c r="FLE50" s="6"/>
      <c r="FLF50" s="6"/>
      <c r="FLG50" s="6"/>
      <c r="FLH50" s="6"/>
      <c r="FLI50" s="6"/>
      <c r="FLJ50" s="6"/>
      <c r="FLK50" s="6"/>
      <c r="FLL50" s="6"/>
      <c r="FLM50" s="6"/>
      <c r="FLN50" s="6"/>
      <c r="FLO50" s="6"/>
      <c r="FLP50" s="6"/>
      <c r="FLQ50" s="6"/>
      <c r="FLR50" s="6"/>
      <c r="FLS50" s="6"/>
      <c r="FLT50" s="6"/>
      <c r="FLU50" s="6"/>
      <c r="FLV50" s="6"/>
      <c r="FLW50" s="6"/>
      <c r="FLX50" s="6"/>
      <c r="FLY50" s="6"/>
      <c r="FLZ50" s="6"/>
      <c r="FMA50" s="6"/>
      <c r="FMB50" s="6"/>
      <c r="FMC50" s="6"/>
      <c r="FMD50" s="6"/>
      <c r="FME50" s="6"/>
      <c r="FMF50" s="6"/>
      <c r="FMG50" s="6"/>
      <c r="FMH50" s="6"/>
      <c r="FMI50" s="6"/>
      <c r="FMJ50" s="6"/>
      <c r="FMK50" s="6"/>
      <c r="FML50" s="6"/>
      <c r="FMM50" s="6"/>
      <c r="FMN50" s="6"/>
      <c r="FMO50" s="6"/>
      <c r="FMP50" s="6"/>
      <c r="FMQ50" s="6"/>
      <c r="FMR50" s="6"/>
      <c r="FMS50" s="6"/>
      <c r="FMT50" s="6"/>
      <c r="FMU50" s="6"/>
      <c r="FMV50" s="6"/>
      <c r="FMW50" s="6"/>
      <c r="FMX50" s="6"/>
      <c r="FMY50" s="6"/>
      <c r="FMZ50" s="6"/>
      <c r="FNA50" s="6"/>
      <c r="FNB50" s="6"/>
      <c r="FNC50" s="6"/>
      <c r="FND50" s="6"/>
      <c r="FNE50" s="6"/>
      <c r="FNF50" s="6"/>
      <c r="FNG50" s="6"/>
      <c r="FNH50" s="6"/>
      <c r="FNI50" s="6"/>
      <c r="FNJ50" s="6"/>
      <c r="FNK50" s="6"/>
      <c r="FNL50" s="6"/>
      <c r="FNM50" s="6"/>
      <c r="FNN50" s="6"/>
      <c r="FNO50" s="6"/>
      <c r="FNP50" s="6"/>
      <c r="FNQ50" s="6"/>
      <c r="FNR50" s="6"/>
      <c r="FNS50" s="6"/>
      <c r="FNT50" s="6"/>
      <c r="FNU50" s="6"/>
      <c r="FNV50" s="6"/>
      <c r="FNW50" s="6"/>
      <c r="FNX50" s="6"/>
      <c r="FNY50" s="6"/>
      <c r="FNZ50" s="6"/>
      <c r="FOA50" s="6"/>
      <c r="FOB50" s="6"/>
      <c r="FOC50" s="6"/>
      <c r="FOD50" s="6"/>
      <c r="FOE50" s="6"/>
      <c r="FOF50" s="6"/>
      <c r="FOG50" s="6"/>
      <c r="FOH50" s="6"/>
      <c r="FOI50" s="6"/>
      <c r="FOJ50" s="6"/>
      <c r="FOK50" s="6"/>
      <c r="FOL50" s="6"/>
      <c r="FOM50" s="6"/>
      <c r="FON50" s="6"/>
      <c r="FOO50" s="6"/>
      <c r="FOP50" s="6"/>
      <c r="FOQ50" s="6"/>
      <c r="FOR50" s="6"/>
      <c r="FOS50" s="6"/>
      <c r="FOT50" s="6"/>
      <c r="FOU50" s="6"/>
      <c r="FOV50" s="6"/>
      <c r="FOW50" s="6"/>
      <c r="FOX50" s="6"/>
      <c r="FOY50" s="6"/>
      <c r="FOZ50" s="6"/>
      <c r="FPA50" s="6"/>
      <c r="FPB50" s="6"/>
      <c r="FPC50" s="6"/>
      <c r="FPD50" s="6"/>
      <c r="FPE50" s="6"/>
      <c r="FPF50" s="6"/>
      <c r="FPG50" s="6"/>
      <c r="FPH50" s="6"/>
      <c r="FPI50" s="6"/>
      <c r="FPJ50" s="6"/>
      <c r="FPK50" s="6"/>
      <c r="FPL50" s="6"/>
      <c r="FPM50" s="6"/>
      <c r="FPN50" s="6"/>
      <c r="FPO50" s="6"/>
      <c r="FPP50" s="6"/>
      <c r="FPQ50" s="6"/>
      <c r="FPR50" s="6"/>
      <c r="FPS50" s="6"/>
      <c r="FPT50" s="6"/>
      <c r="FPU50" s="6"/>
      <c r="FPV50" s="6"/>
      <c r="FPW50" s="6"/>
      <c r="FPX50" s="6"/>
      <c r="FPY50" s="6"/>
      <c r="FPZ50" s="6"/>
      <c r="FQA50" s="6"/>
      <c r="FQB50" s="6"/>
      <c r="FQC50" s="6"/>
      <c r="FQD50" s="6"/>
      <c r="FQE50" s="6"/>
      <c r="FQF50" s="6"/>
      <c r="FQG50" s="6"/>
      <c r="FQH50" s="6"/>
      <c r="FQI50" s="6"/>
      <c r="FQJ50" s="6"/>
      <c r="FQK50" s="6"/>
      <c r="FQL50" s="6"/>
      <c r="FQM50" s="6"/>
      <c r="FQN50" s="6"/>
      <c r="FQO50" s="6"/>
      <c r="FQP50" s="6"/>
      <c r="FQQ50" s="6"/>
      <c r="FQR50" s="6"/>
      <c r="FQS50" s="6"/>
      <c r="FQT50" s="6"/>
      <c r="FQU50" s="6"/>
      <c r="FQV50" s="6"/>
      <c r="FQW50" s="6"/>
      <c r="FQX50" s="6"/>
      <c r="FQY50" s="6"/>
      <c r="FQZ50" s="6"/>
      <c r="FRA50" s="6"/>
      <c r="FRB50" s="6"/>
      <c r="FRC50" s="6"/>
      <c r="FRD50" s="6"/>
      <c r="FRE50" s="6"/>
      <c r="FRF50" s="6"/>
      <c r="FRG50" s="6"/>
      <c r="FRH50" s="6"/>
      <c r="FRI50" s="6"/>
      <c r="FRJ50" s="6"/>
      <c r="FRK50" s="6"/>
      <c r="FRL50" s="6"/>
      <c r="FRM50" s="6"/>
      <c r="FRN50" s="6"/>
      <c r="FRO50" s="6"/>
      <c r="FRP50" s="6"/>
      <c r="FRQ50" s="6"/>
      <c r="FRR50" s="6"/>
      <c r="FRS50" s="6"/>
      <c r="FRT50" s="6"/>
      <c r="FRU50" s="6"/>
      <c r="FRV50" s="6"/>
      <c r="FRW50" s="6"/>
      <c r="FRX50" s="6"/>
      <c r="FRY50" s="6"/>
      <c r="FRZ50" s="6"/>
      <c r="FSA50" s="6"/>
      <c r="FSB50" s="6"/>
      <c r="FSC50" s="6"/>
      <c r="FSD50" s="6"/>
      <c r="FSE50" s="6"/>
      <c r="FSF50" s="6"/>
      <c r="FSG50" s="6"/>
      <c r="FSH50" s="6"/>
      <c r="FSI50" s="6"/>
      <c r="FSJ50" s="6"/>
      <c r="FSK50" s="6"/>
      <c r="FSL50" s="6"/>
      <c r="FSM50" s="6"/>
      <c r="FSN50" s="6"/>
      <c r="FSO50" s="6"/>
      <c r="FSP50" s="6"/>
      <c r="FSQ50" s="6"/>
      <c r="FSR50" s="6"/>
      <c r="FSS50" s="6"/>
      <c r="FST50" s="6"/>
      <c r="FSU50" s="6"/>
      <c r="FSV50" s="6"/>
      <c r="FSW50" s="6"/>
      <c r="FSX50" s="6"/>
      <c r="FSY50" s="6"/>
      <c r="FSZ50" s="6"/>
      <c r="FTA50" s="6"/>
      <c r="FTB50" s="6"/>
      <c r="FTC50" s="6"/>
      <c r="FTD50" s="6"/>
      <c r="FTE50" s="6"/>
      <c r="FTF50" s="6"/>
      <c r="FTG50" s="6"/>
      <c r="FTH50" s="6"/>
      <c r="FTI50" s="6"/>
      <c r="FTJ50" s="6"/>
      <c r="FTK50" s="6"/>
      <c r="FTL50" s="6"/>
      <c r="FTM50" s="6"/>
      <c r="FTN50" s="6"/>
      <c r="FTO50" s="6"/>
      <c r="FTP50" s="6"/>
      <c r="FTQ50" s="6"/>
      <c r="FTR50" s="6"/>
      <c r="FTS50" s="6"/>
      <c r="FTT50" s="6"/>
      <c r="FTU50" s="6"/>
      <c r="FTV50" s="6"/>
      <c r="FTW50" s="6"/>
      <c r="FTX50" s="6"/>
      <c r="FTY50" s="6"/>
      <c r="FTZ50" s="6"/>
      <c r="FUA50" s="6"/>
      <c r="FUB50" s="6"/>
      <c r="FUC50" s="6"/>
      <c r="FUD50" s="6"/>
      <c r="FUE50" s="6"/>
      <c r="FUF50" s="6"/>
      <c r="FUG50" s="6"/>
      <c r="FUH50" s="6"/>
      <c r="FUI50" s="6"/>
      <c r="FUJ50" s="6"/>
      <c r="FUK50" s="6"/>
      <c r="FUL50" s="6"/>
      <c r="FUM50" s="6"/>
      <c r="FUN50" s="6"/>
      <c r="FUO50" s="6"/>
      <c r="FUP50" s="6"/>
      <c r="FUQ50" s="6"/>
      <c r="FUR50" s="6"/>
      <c r="FUS50" s="6"/>
      <c r="FUT50" s="6"/>
      <c r="FUU50" s="6"/>
      <c r="FUV50" s="6"/>
      <c r="FUW50" s="6"/>
      <c r="FUX50" s="6"/>
      <c r="FUY50" s="6"/>
      <c r="FUZ50" s="6"/>
      <c r="FVA50" s="6"/>
      <c r="FVB50" s="6"/>
      <c r="FVC50" s="6"/>
      <c r="FVD50" s="6"/>
      <c r="FVE50" s="6"/>
      <c r="FVF50" s="6"/>
      <c r="FVG50" s="6"/>
      <c r="FVH50" s="6"/>
      <c r="FVI50" s="6"/>
      <c r="FVJ50" s="6"/>
      <c r="FVK50" s="6"/>
      <c r="FVL50" s="6"/>
      <c r="FVM50" s="6"/>
      <c r="FVN50" s="6"/>
      <c r="FVO50" s="6"/>
      <c r="FVP50" s="6"/>
      <c r="FVQ50" s="6"/>
      <c r="FVR50" s="6"/>
      <c r="FVS50" s="6"/>
      <c r="FVT50" s="6"/>
      <c r="FVU50" s="6"/>
      <c r="FVV50" s="6"/>
      <c r="FVW50" s="6"/>
      <c r="FVX50" s="6"/>
      <c r="FVY50" s="6"/>
      <c r="FVZ50" s="6"/>
      <c r="FWA50" s="6"/>
      <c r="FWB50" s="6"/>
      <c r="FWC50" s="6"/>
      <c r="FWD50" s="6"/>
      <c r="FWE50" s="6"/>
      <c r="FWF50" s="6"/>
      <c r="FWG50" s="6"/>
      <c r="FWH50" s="6"/>
      <c r="FWI50" s="6"/>
      <c r="FWJ50" s="6"/>
      <c r="FWK50" s="6"/>
      <c r="FWL50" s="6"/>
      <c r="FWM50" s="6"/>
      <c r="FWN50" s="6"/>
      <c r="FWO50" s="6"/>
      <c r="FWP50" s="6"/>
      <c r="FWQ50" s="6"/>
      <c r="FWR50" s="6"/>
      <c r="FWS50" s="6"/>
      <c r="FWT50" s="6"/>
      <c r="FWU50" s="6"/>
      <c r="FWV50" s="6"/>
      <c r="FWW50" s="6"/>
      <c r="FWX50" s="6"/>
      <c r="FWY50" s="6"/>
      <c r="FWZ50" s="6"/>
      <c r="FXA50" s="6"/>
      <c r="FXB50" s="6"/>
      <c r="FXC50" s="6"/>
      <c r="FXD50" s="6"/>
      <c r="FXE50" s="6"/>
      <c r="FXF50" s="6"/>
      <c r="FXG50" s="6"/>
      <c r="FXH50" s="6"/>
      <c r="FXI50" s="6"/>
      <c r="FXJ50" s="6"/>
      <c r="FXK50" s="6"/>
      <c r="FXL50" s="6"/>
      <c r="FXM50" s="6"/>
      <c r="FXN50" s="6"/>
      <c r="FXO50" s="6"/>
      <c r="FXP50" s="6"/>
      <c r="FXQ50" s="6"/>
      <c r="FXR50" s="6"/>
      <c r="FXS50" s="6"/>
      <c r="FXT50" s="6"/>
      <c r="FXU50" s="6"/>
      <c r="FXV50" s="6"/>
      <c r="FXW50" s="6"/>
      <c r="FXX50" s="6"/>
      <c r="FXY50" s="6"/>
      <c r="FXZ50" s="6"/>
      <c r="FYA50" s="6"/>
      <c r="FYB50" s="6"/>
      <c r="FYC50" s="6"/>
      <c r="FYD50" s="6"/>
      <c r="FYE50" s="6"/>
      <c r="FYF50" s="6"/>
      <c r="FYG50" s="6"/>
      <c r="FYH50" s="6"/>
      <c r="FYI50" s="6"/>
      <c r="FYJ50" s="6"/>
      <c r="FYK50" s="6"/>
      <c r="FYL50" s="6"/>
      <c r="FYM50" s="6"/>
      <c r="FYN50" s="6"/>
      <c r="FYO50" s="6"/>
      <c r="FYP50" s="6"/>
      <c r="FYQ50" s="6"/>
      <c r="FYR50" s="6"/>
      <c r="FYS50" s="6"/>
      <c r="FYT50" s="6"/>
      <c r="FYU50" s="6"/>
      <c r="FYV50" s="6"/>
      <c r="FYW50" s="6"/>
      <c r="FYX50" s="6"/>
      <c r="FYY50" s="6"/>
      <c r="FYZ50" s="6"/>
      <c r="FZA50" s="6"/>
      <c r="FZB50" s="6"/>
      <c r="FZC50" s="6"/>
      <c r="FZD50" s="6"/>
      <c r="FZE50" s="6"/>
      <c r="FZF50" s="6"/>
      <c r="FZG50" s="6"/>
      <c r="FZH50" s="6"/>
      <c r="FZI50" s="6"/>
      <c r="FZJ50" s="6"/>
      <c r="FZK50" s="6"/>
      <c r="FZL50" s="6"/>
      <c r="FZM50" s="6"/>
      <c r="FZN50" s="6"/>
      <c r="FZO50" s="6"/>
      <c r="FZP50" s="6"/>
      <c r="FZQ50" s="6"/>
      <c r="FZR50" s="6"/>
      <c r="FZS50" s="6"/>
      <c r="FZT50" s="6"/>
      <c r="FZU50" s="6"/>
      <c r="FZV50" s="6"/>
      <c r="FZW50" s="6"/>
      <c r="FZX50" s="6"/>
      <c r="FZY50" s="6"/>
      <c r="FZZ50" s="6"/>
      <c r="GAA50" s="6"/>
      <c r="GAB50" s="6"/>
      <c r="GAC50" s="6"/>
      <c r="GAD50" s="6"/>
      <c r="GAE50" s="6"/>
      <c r="GAF50" s="6"/>
      <c r="GAG50" s="6"/>
      <c r="GAH50" s="6"/>
      <c r="GAI50" s="6"/>
      <c r="GAJ50" s="6"/>
      <c r="GAK50" s="6"/>
      <c r="GAL50" s="6"/>
      <c r="GAM50" s="6"/>
      <c r="GAN50" s="6"/>
      <c r="GAO50" s="6"/>
      <c r="GAP50" s="6"/>
      <c r="GAQ50" s="6"/>
      <c r="GAR50" s="6"/>
      <c r="GAS50" s="6"/>
      <c r="GAT50" s="6"/>
      <c r="GAU50" s="6"/>
      <c r="GAV50" s="6"/>
      <c r="GAW50" s="6"/>
      <c r="GAX50" s="6"/>
      <c r="GAY50" s="6"/>
      <c r="GAZ50" s="6"/>
      <c r="GBA50" s="6"/>
      <c r="GBB50" s="6"/>
      <c r="GBC50" s="6"/>
      <c r="GBD50" s="6"/>
      <c r="GBE50" s="6"/>
      <c r="GBF50" s="6"/>
      <c r="GBG50" s="6"/>
      <c r="GBH50" s="6"/>
      <c r="GBI50" s="6"/>
      <c r="GBJ50" s="6"/>
      <c r="GBK50" s="6"/>
      <c r="GBL50" s="6"/>
      <c r="GBM50" s="6"/>
      <c r="GBN50" s="6"/>
      <c r="GBO50" s="6"/>
      <c r="GBP50" s="6"/>
      <c r="GBQ50" s="6"/>
      <c r="GBR50" s="6"/>
      <c r="GBS50" s="6"/>
      <c r="GBT50" s="6"/>
      <c r="GBU50" s="6"/>
      <c r="GBV50" s="6"/>
      <c r="GBW50" s="6"/>
      <c r="GBX50" s="6"/>
      <c r="GBY50" s="6"/>
      <c r="GBZ50" s="6"/>
      <c r="GCA50" s="6"/>
      <c r="GCB50" s="6"/>
      <c r="GCC50" s="6"/>
      <c r="GCD50" s="6"/>
      <c r="GCE50" s="6"/>
      <c r="GCF50" s="6"/>
      <c r="GCG50" s="6"/>
      <c r="GCH50" s="6"/>
      <c r="GCI50" s="6"/>
      <c r="GCJ50" s="6"/>
      <c r="GCK50" s="6"/>
      <c r="GCL50" s="6"/>
      <c r="GCM50" s="6"/>
      <c r="GCN50" s="6"/>
      <c r="GCO50" s="6"/>
      <c r="GCP50" s="6"/>
      <c r="GCQ50" s="6"/>
      <c r="GCR50" s="6"/>
      <c r="GCS50" s="6"/>
      <c r="GCT50" s="6"/>
      <c r="GCU50" s="6"/>
      <c r="GCV50" s="6"/>
      <c r="GCW50" s="6"/>
      <c r="GCX50" s="6"/>
      <c r="GCY50" s="6"/>
      <c r="GCZ50" s="6"/>
      <c r="GDA50" s="6"/>
      <c r="GDB50" s="6"/>
      <c r="GDC50" s="6"/>
      <c r="GDD50" s="6"/>
      <c r="GDE50" s="6"/>
      <c r="GDF50" s="6"/>
      <c r="GDG50" s="6"/>
      <c r="GDH50" s="6"/>
      <c r="GDI50" s="6"/>
      <c r="GDJ50" s="6"/>
      <c r="GDK50" s="6"/>
      <c r="GDL50" s="6"/>
      <c r="GDM50" s="6"/>
      <c r="GDN50" s="6"/>
      <c r="GDO50" s="6"/>
      <c r="GDP50" s="6"/>
      <c r="GDQ50" s="6"/>
      <c r="GDR50" s="6"/>
      <c r="GDS50" s="6"/>
      <c r="GDT50" s="6"/>
      <c r="GDU50" s="6"/>
      <c r="GDV50" s="6"/>
      <c r="GDW50" s="6"/>
      <c r="GDX50" s="6"/>
      <c r="GDY50" s="6"/>
      <c r="GDZ50" s="6"/>
      <c r="GEA50" s="6"/>
      <c r="GEB50" s="6"/>
      <c r="GEC50" s="6"/>
      <c r="GED50" s="6"/>
      <c r="GEE50" s="6"/>
      <c r="GEF50" s="6"/>
      <c r="GEG50" s="6"/>
      <c r="GEH50" s="6"/>
      <c r="GEI50" s="6"/>
      <c r="GEJ50" s="6"/>
      <c r="GEK50" s="6"/>
      <c r="GEL50" s="6"/>
      <c r="GEM50" s="6"/>
      <c r="GEN50" s="6"/>
      <c r="GEO50" s="6"/>
      <c r="GEP50" s="6"/>
      <c r="GEQ50" s="6"/>
      <c r="GER50" s="6"/>
      <c r="GES50" s="6"/>
      <c r="GET50" s="6"/>
      <c r="GEU50" s="6"/>
      <c r="GEV50" s="6"/>
      <c r="GEW50" s="6"/>
      <c r="GEX50" s="6"/>
      <c r="GEY50" s="6"/>
      <c r="GEZ50" s="6"/>
      <c r="GFA50" s="6"/>
      <c r="GFB50" s="6"/>
      <c r="GFC50" s="6"/>
      <c r="GFD50" s="6"/>
      <c r="GFE50" s="6"/>
      <c r="GFF50" s="6"/>
      <c r="GFG50" s="6"/>
      <c r="GFH50" s="6"/>
      <c r="GFI50" s="6"/>
      <c r="GFJ50" s="6"/>
      <c r="GFK50" s="6"/>
      <c r="GFL50" s="6"/>
      <c r="GFM50" s="6"/>
      <c r="GFN50" s="6"/>
      <c r="GFO50" s="6"/>
      <c r="GFP50" s="6"/>
      <c r="GFQ50" s="6"/>
      <c r="GFR50" s="6"/>
      <c r="GFS50" s="6"/>
      <c r="GFT50" s="6"/>
      <c r="GFU50" s="6"/>
      <c r="GFV50" s="6"/>
      <c r="GFW50" s="6"/>
      <c r="GFX50" s="6"/>
      <c r="GFY50" s="6"/>
      <c r="GFZ50" s="6"/>
      <c r="GGA50" s="6"/>
      <c r="GGB50" s="6"/>
      <c r="GGC50" s="6"/>
      <c r="GGD50" s="6"/>
      <c r="GGE50" s="6"/>
      <c r="GGF50" s="6"/>
      <c r="GGG50" s="6"/>
      <c r="GGH50" s="6"/>
      <c r="GGI50" s="6"/>
      <c r="GGJ50" s="6"/>
      <c r="GGK50" s="6"/>
      <c r="GGL50" s="6"/>
      <c r="GGM50" s="6"/>
      <c r="GGN50" s="6"/>
      <c r="GGO50" s="6"/>
      <c r="GGP50" s="6"/>
      <c r="GGQ50" s="6"/>
      <c r="GGR50" s="6"/>
      <c r="GGS50" s="6"/>
      <c r="GGT50" s="6"/>
      <c r="GGU50" s="6"/>
      <c r="GGV50" s="6"/>
      <c r="GGW50" s="6"/>
      <c r="GGX50" s="6"/>
      <c r="GGY50" s="6"/>
      <c r="GGZ50" s="6"/>
      <c r="GHA50" s="6"/>
      <c r="GHB50" s="6"/>
      <c r="GHC50" s="6"/>
      <c r="GHD50" s="6"/>
      <c r="GHE50" s="6"/>
      <c r="GHF50" s="6"/>
      <c r="GHG50" s="6"/>
      <c r="GHH50" s="6"/>
      <c r="GHI50" s="6"/>
      <c r="GHJ50" s="6"/>
      <c r="GHK50" s="6"/>
      <c r="GHL50" s="6"/>
      <c r="GHM50" s="6"/>
      <c r="GHN50" s="6"/>
      <c r="GHO50" s="6"/>
      <c r="GHP50" s="6"/>
      <c r="GHQ50" s="6"/>
      <c r="GHR50" s="6"/>
      <c r="GHS50" s="6"/>
      <c r="GHT50" s="6"/>
      <c r="GHU50" s="6"/>
      <c r="GHV50" s="6"/>
      <c r="GHW50" s="6"/>
      <c r="GHX50" s="6"/>
      <c r="GHY50" s="6"/>
      <c r="GHZ50" s="6"/>
      <c r="GIA50" s="6"/>
      <c r="GIB50" s="6"/>
      <c r="GIC50" s="6"/>
      <c r="GID50" s="6"/>
      <c r="GIE50" s="6"/>
      <c r="GIF50" s="6"/>
      <c r="GIG50" s="6"/>
      <c r="GIH50" s="6"/>
      <c r="GII50" s="6"/>
      <c r="GIJ50" s="6"/>
      <c r="GIK50" s="6"/>
      <c r="GIL50" s="6"/>
      <c r="GIM50" s="6"/>
      <c r="GIN50" s="6"/>
      <c r="GIO50" s="6"/>
      <c r="GIP50" s="6"/>
      <c r="GIQ50" s="6"/>
      <c r="GIR50" s="6"/>
      <c r="GIS50" s="6"/>
      <c r="GIT50" s="6"/>
      <c r="GIU50" s="6"/>
      <c r="GIV50" s="6"/>
      <c r="GIW50" s="6"/>
      <c r="GIX50" s="6"/>
      <c r="GIY50" s="6"/>
      <c r="GIZ50" s="6"/>
      <c r="GJA50" s="6"/>
      <c r="GJB50" s="6"/>
      <c r="GJC50" s="6"/>
      <c r="GJD50" s="6"/>
      <c r="GJE50" s="6"/>
      <c r="GJF50" s="6"/>
      <c r="GJG50" s="6"/>
      <c r="GJH50" s="6"/>
      <c r="GJI50" s="6"/>
      <c r="GJJ50" s="6"/>
      <c r="GJK50" s="6"/>
      <c r="GJL50" s="6"/>
      <c r="GJM50" s="6"/>
      <c r="GJN50" s="6"/>
      <c r="GJO50" s="6"/>
      <c r="GJP50" s="6"/>
      <c r="GJQ50" s="6"/>
      <c r="GJR50" s="6"/>
      <c r="GJS50" s="6"/>
      <c r="GJT50" s="6"/>
      <c r="GJU50" s="6"/>
      <c r="GJV50" s="6"/>
      <c r="GJW50" s="6"/>
      <c r="GJX50" s="6"/>
      <c r="GJY50" s="6"/>
      <c r="GJZ50" s="6"/>
      <c r="GKA50" s="6"/>
      <c r="GKB50" s="6"/>
      <c r="GKC50" s="6"/>
      <c r="GKD50" s="6"/>
      <c r="GKE50" s="6"/>
      <c r="GKF50" s="6"/>
      <c r="GKG50" s="6"/>
      <c r="GKH50" s="6"/>
      <c r="GKI50" s="6"/>
      <c r="GKJ50" s="6"/>
      <c r="GKK50" s="6"/>
      <c r="GKL50" s="6"/>
      <c r="GKM50" s="6"/>
      <c r="GKN50" s="6"/>
      <c r="GKO50" s="6"/>
      <c r="GKP50" s="6"/>
      <c r="GKQ50" s="6"/>
      <c r="GKR50" s="6"/>
      <c r="GKS50" s="6"/>
      <c r="GKT50" s="6"/>
      <c r="GKU50" s="6"/>
      <c r="GKV50" s="6"/>
      <c r="GKW50" s="6"/>
      <c r="GKX50" s="6"/>
      <c r="GKY50" s="6"/>
      <c r="GKZ50" s="6"/>
      <c r="GLA50" s="6"/>
      <c r="GLB50" s="6"/>
      <c r="GLC50" s="6"/>
      <c r="GLD50" s="6"/>
      <c r="GLE50" s="6"/>
      <c r="GLF50" s="6"/>
      <c r="GLG50" s="6"/>
      <c r="GLH50" s="6"/>
      <c r="GLI50" s="6"/>
      <c r="GLJ50" s="6"/>
      <c r="GLK50" s="6"/>
      <c r="GLL50" s="6"/>
      <c r="GLM50" s="6"/>
      <c r="GLN50" s="6"/>
      <c r="GLO50" s="6"/>
      <c r="GLP50" s="6"/>
      <c r="GLQ50" s="6"/>
      <c r="GLR50" s="6"/>
      <c r="GLS50" s="6"/>
      <c r="GLT50" s="6"/>
      <c r="GLU50" s="6"/>
      <c r="GLV50" s="6"/>
      <c r="GLW50" s="6"/>
      <c r="GLX50" s="6"/>
      <c r="GLY50" s="6"/>
      <c r="GLZ50" s="6"/>
      <c r="GMA50" s="6"/>
      <c r="GMB50" s="6"/>
      <c r="GMC50" s="6"/>
      <c r="GMD50" s="6"/>
      <c r="GME50" s="6"/>
      <c r="GMF50" s="6"/>
      <c r="GMG50" s="6"/>
      <c r="GMH50" s="6"/>
      <c r="GMI50" s="6"/>
      <c r="GMJ50" s="6"/>
      <c r="GMK50" s="6"/>
      <c r="GML50" s="6"/>
      <c r="GMM50" s="6"/>
      <c r="GMN50" s="6"/>
      <c r="GMO50" s="6"/>
      <c r="GMP50" s="6"/>
      <c r="GMQ50" s="6"/>
      <c r="GMR50" s="6"/>
      <c r="GMS50" s="6"/>
      <c r="GMT50" s="6"/>
      <c r="GMU50" s="6"/>
      <c r="GMV50" s="6"/>
      <c r="GMW50" s="6"/>
      <c r="GMX50" s="6"/>
      <c r="GMY50" s="6"/>
      <c r="GMZ50" s="6"/>
      <c r="GNA50" s="6"/>
      <c r="GNB50" s="6"/>
      <c r="GNC50" s="6"/>
      <c r="GND50" s="6"/>
      <c r="GNE50" s="6"/>
      <c r="GNF50" s="6"/>
      <c r="GNG50" s="6"/>
      <c r="GNH50" s="6"/>
      <c r="GNI50" s="6"/>
      <c r="GNJ50" s="6"/>
      <c r="GNK50" s="6"/>
      <c r="GNL50" s="6"/>
      <c r="GNM50" s="6"/>
      <c r="GNN50" s="6"/>
      <c r="GNO50" s="6"/>
      <c r="GNP50" s="6"/>
      <c r="GNQ50" s="6"/>
      <c r="GNR50" s="6"/>
      <c r="GNS50" s="6"/>
      <c r="GNT50" s="6"/>
      <c r="GNU50" s="6"/>
      <c r="GNV50" s="6"/>
      <c r="GNW50" s="6"/>
      <c r="GNX50" s="6"/>
      <c r="GNY50" s="6"/>
      <c r="GNZ50" s="6"/>
      <c r="GOA50" s="6"/>
      <c r="GOB50" s="6"/>
      <c r="GOC50" s="6"/>
      <c r="GOD50" s="6"/>
      <c r="GOE50" s="6"/>
      <c r="GOF50" s="6"/>
      <c r="GOG50" s="6"/>
      <c r="GOH50" s="6"/>
      <c r="GOI50" s="6"/>
      <c r="GOJ50" s="6"/>
      <c r="GOK50" s="6"/>
      <c r="GOL50" s="6"/>
      <c r="GOM50" s="6"/>
      <c r="GON50" s="6"/>
      <c r="GOO50" s="6"/>
      <c r="GOP50" s="6"/>
      <c r="GOQ50" s="6"/>
      <c r="GOR50" s="6"/>
      <c r="GOS50" s="6"/>
      <c r="GOT50" s="6"/>
      <c r="GOU50" s="6"/>
      <c r="GOV50" s="6"/>
      <c r="GOW50" s="6"/>
      <c r="GOX50" s="6"/>
      <c r="GOY50" s="6"/>
      <c r="GOZ50" s="6"/>
      <c r="GPA50" s="6"/>
      <c r="GPB50" s="6"/>
      <c r="GPC50" s="6"/>
      <c r="GPD50" s="6"/>
      <c r="GPE50" s="6"/>
      <c r="GPF50" s="6"/>
      <c r="GPG50" s="6"/>
      <c r="GPH50" s="6"/>
      <c r="GPI50" s="6"/>
      <c r="GPJ50" s="6"/>
      <c r="GPK50" s="6"/>
      <c r="GPL50" s="6"/>
      <c r="GPM50" s="6"/>
      <c r="GPN50" s="6"/>
      <c r="GPO50" s="6"/>
      <c r="GPP50" s="6"/>
      <c r="GPQ50" s="6"/>
      <c r="GPR50" s="6"/>
      <c r="GPS50" s="6"/>
      <c r="GPT50" s="6"/>
      <c r="GPU50" s="6"/>
      <c r="GPV50" s="6"/>
      <c r="GPW50" s="6"/>
      <c r="GPX50" s="6"/>
      <c r="GPY50" s="6"/>
      <c r="GPZ50" s="6"/>
      <c r="GQA50" s="6"/>
      <c r="GQB50" s="6"/>
      <c r="GQC50" s="6"/>
      <c r="GQD50" s="6"/>
      <c r="GQE50" s="6"/>
      <c r="GQF50" s="6"/>
      <c r="GQG50" s="6"/>
      <c r="GQH50" s="6"/>
      <c r="GQI50" s="6"/>
      <c r="GQJ50" s="6"/>
      <c r="GQK50" s="6"/>
      <c r="GQL50" s="6"/>
      <c r="GQM50" s="6"/>
      <c r="GQN50" s="6"/>
      <c r="GQO50" s="6"/>
      <c r="GQP50" s="6"/>
      <c r="GQQ50" s="6"/>
      <c r="GQR50" s="6"/>
      <c r="GQS50" s="6"/>
      <c r="GQT50" s="6"/>
      <c r="GQU50" s="6"/>
      <c r="GQV50" s="6"/>
      <c r="GQW50" s="6"/>
      <c r="GQX50" s="6"/>
      <c r="GQY50" s="6"/>
      <c r="GQZ50" s="6"/>
      <c r="GRA50" s="6"/>
      <c r="GRB50" s="6"/>
      <c r="GRC50" s="6"/>
      <c r="GRD50" s="6"/>
      <c r="GRE50" s="6"/>
      <c r="GRF50" s="6"/>
      <c r="GRG50" s="6"/>
      <c r="GRH50" s="6"/>
      <c r="GRI50" s="6"/>
      <c r="GRJ50" s="6"/>
      <c r="GRK50" s="6"/>
      <c r="GRL50" s="6"/>
      <c r="GRM50" s="6"/>
      <c r="GRN50" s="6"/>
      <c r="GRO50" s="6"/>
      <c r="GRP50" s="6"/>
      <c r="GRQ50" s="6"/>
      <c r="GRR50" s="6"/>
      <c r="GRS50" s="6"/>
      <c r="GRT50" s="6"/>
      <c r="GRU50" s="6"/>
      <c r="GRV50" s="6"/>
      <c r="GRW50" s="6"/>
      <c r="GRX50" s="6"/>
      <c r="GRY50" s="6"/>
      <c r="GRZ50" s="6"/>
      <c r="GSA50" s="6"/>
      <c r="GSB50" s="6"/>
      <c r="GSC50" s="6"/>
      <c r="GSD50" s="6"/>
      <c r="GSE50" s="6"/>
      <c r="GSF50" s="6"/>
      <c r="GSG50" s="6"/>
      <c r="GSH50" s="6"/>
      <c r="GSI50" s="6"/>
      <c r="GSJ50" s="6"/>
      <c r="GSK50" s="6"/>
      <c r="GSL50" s="6"/>
      <c r="GSM50" s="6"/>
      <c r="GSN50" s="6"/>
      <c r="GSO50" s="6"/>
      <c r="GSP50" s="6"/>
      <c r="GSQ50" s="6"/>
      <c r="GSR50" s="6"/>
      <c r="GSS50" s="6"/>
      <c r="GST50" s="6"/>
      <c r="GSU50" s="6"/>
      <c r="GSV50" s="6"/>
      <c r="GSW50" s="6"/>
      <c r="GSX50" s="6"/>
      <c r="GSY50" s="6"/>
      <c r="GSZ50" s="6"/>
      <c r="GTA50" s="6"/>
      <c r="GTB50" s="6"/>
      <c r="GTC50" s="6"/>
      <c r="GTD50" s="6"/>
      <c r="GTE50" s="6"/>
      <c r="GTF50" s="6"/>
      <c r="GTG50" s="6"/>
      <c r="GTH50" s="6"/>
      <c r="GTI50" s="6"/>
      <c r="GTJ50" s="6"/>
      <c r="GTK50" s="6"/>
      <c r="GTL50" s="6"/>
      <c r="GTM50" s="6"/>
      <c r="GTN50" s="6"/>
      <c r="GTO50" s="6"/>
      <c r="GTP50" s="6"/>
      <c r="GTQ50" s="6"/>
      <c r="GTR50" s="6"/>
      <c r="GTS50" s="6"/>
      <c r="GTT50" s="6"/>
      <c r="GTU50" s="6"/>
      <c r="GTV50" s="6"/>
      <c r="GTW50" s="6"/>
      <c r="GTX50" s="6"/>
      <c r="GTY50" s="6"/>
      <c r="GTZ50" s="6"/>
      <c r="GUA50" s="6"/>
      <c r="GUB50" s="6"/>
      <c r="GUC50" s="6"/>
      <c r="GUD50" s="6"/>
      <c r="GUE50" s="6"/>
      <c r="GUF50" s="6"/>
      <c r="GUG50" s="6"/>
      <c r="GUH50" s="6"/>
      <c r="GUI50" s="6"/>
      <c r="GUJ50" s="6"/>
      <c r="GUK50" s="6"/>
      <c r="GUL50" s="6"/>
      <c r="GUM50" s="6"/>
      <c r="GUN50" s="6"/>
      <c r="GUO50" s="6"/>
      <c r="GUP50" s="6"/>
      <c r="GUQ50" s="6"/>
      <c r="GUR50" s="6"/>
      <c r="GUS50" s="6"/>
      <c r="GUT50" s="6"/>
      <c r="GUU50" s="6"/>
      <c r="GUV50" s="6"/>
      <c r="GUW50" s="6"/>
      <c r="GUX50" s="6"/>
      <c r="GUY50" s="6"/>
      <c r="GUZ50" s="6"/>
      <c r="GVA50" s="6"/>
      <c r="GVB50" s="6"/>
      <c r="GVC50" s="6"/>
      <c r="GVD50" s="6"/>
      <c r="GVE50" s="6"/>
      <c r="GVF50" s="6"/>
      <c r="GVG50" s="6"/>
      <c r="GVH50" s="6"/>
      <c r="GVI50" s="6"/>
      <c r="GVJ50" s="6"/>
      <c r="GVK50" s="6"/>
      <c r="GVL50" s="6"/>
      <c r="GVM50" s="6"/>
      <c r="GVN50" s="6"/>
      <c r="GVO50" s="6"/>
      <c r="GVP50" s="6"/>
      <c r="GVQ50" s="6"/>
      <c r="GVR50" s="6"/>
      <c r="GVS50" s="6"/>
      <c r="GVT50" s="6"/>
      <c r="GVU50" s="6"/>
      <c r="GVV50" s="6"/>
      <c r="GVW50" s="6"/>
      <c r="GVX50" s="6"/>
      <c r="GVY50" s="6"/>
      <c r="GVZ50" s="6"/>
      <c r="GWA50" s="6"/>
      <c r="GWB50" s="6"/>
      <c r="GWC50" s="6"/>
      <c r="GWD50" s="6"/>
      <c r="GWE50" s="6"/>
      <c r="GWF50" s="6"/>
      <c r="GWG50" s="6"/>
      <c r="GWH50" s="6"/>
      <c r="GWI50" s="6"/>
      <c r="GWJ50" s="6"/>
      <c r="GWK50" s="6"/>
      <c r="GWL50" s="6"/>
      <c r="GWM50" s="6"/>
      <c r="GWN50" s="6"/>
      <c r="GWO50" s="6"/>
      <c r="GWP50" s="6"/>
      <c r="GWQ50" s="6"/>
      <c r="GWR50" s="6"/>
      <c r="GWS50" s="6"/>
      <c r="GWT50" s="6"/>
      <c r="GWU50" s="6"/>
      <c r="GWV50" s="6"/>
      <c r="GWW50" s="6"/>
      <c r="GWX50" s="6"/>
      <c r="GWY50" s="6"/>
      <c r="GWZ50" s="6"/>
      <c r="GXA50" s="6"/>
      <c r="GXB50" s="6"/>
      <c r="GXC50" s="6"/>
      <c r="GXD50" s="6"/>
      <c r="GXE50" s="6"/>
      <c r="GXF50" s="6"/>
      <c r="GXG50" s="6"/>
      <c r="GXH50" s="6"/>
      <c r="GXI50" s="6"/>
      <c r="GXJ50" s="6"/>
      <c r="GXK50" s="6"/>
      <c r="GXL50" s="6"/>
      <c r="GXM50" s="6"/>
      <c r="GXN50" s="6"/>
      <c r="GXO50" s="6"/>
      <c r="GXP50" s="6"/>
      <c r="GXQ50" s="6"/>
      <c r="GXR50" s="6"/>
      <c r="GXS50" s="6"/>
      <c r="GXT50" s="6"/>
      <c r="GXU50" s="6"/>
      <c r="GXV50" s="6"/>
      <c r="GXW50" s="6"/>
      <c r="GXX50" s="6"/>
      <c r="GXY50" s="6"/>
      <c r="GXZ50" s="6"/>
      <c r="GYA50" s="6"/>
      <c r="GYB50" s="6"/>
      <c r="GYC50" s="6"/>
      <c r="GYD50" s="6"/>
      <c r="GYE50" s="6"/>
      <c r="GYF50" s="6"/>
      <c r="GYG50" s="6"/>
      <c r="GYH50" s="6"/>
      <c r="GYI50" s="6"/>
      <c r="GYJ50" s="6"/>
      <c r="GYK50" s="6"/>
      <c r="GYL50" s="6"/>
      <c r="GYM50" s="6"/>
      <c r="GYN50" s="6"/>
      <c r="GYO50" s="6"/>
      <c r="GYP50" s="6"/>
      <c r="GYQ50" s="6"/>
      <c r="GYR50" s="6"/>
      <c r="GYS50" s="6"/>
      <c r="GYT50" s="6"/>
      <c r="GYU50" s="6"/>
      <c r="GYV50" s="6"/>
      <c r="GYW50" s="6"/>
      <c r="GYX50" s="6"/>
      <c r="GYY50" s="6"/>
      <c r="GYZ50" s="6"/>
      <c r="GZA50" s="6"/>
      <c r="GZB50" s="6"/>
      <c r="GZC50" s="6"/>
      <c r="GZD50" s="6"/>
      <c r="GZE50" s="6"/>
      <c r="GZF50" s="6"/>
      <c r="GZG50" s="6"/>
      <c r="GZH50" s="6"/>
      <c r="GZI50" s="6"/>
      <c r="GZJ50" s="6"/>
      <c r="GZK50" s="6"/>
      <c r="GZL50" s="6"/>
      <c r="GZM50" s="6"/>
      <c r="GZN50" s="6"/>
      <c r="GZO50" s="6"/>
      <c r="GZP50" s="6"/>
      <c r="GZQ50" s="6"/>
      <c r="GZR50" s="6"/>
      <c r="GZS50" s="6"/>
      <c r="GZT50" s="6"/>
      <c r="GZU50" s="6"/>
      <c r="GZV50" s="6"/>
      <c r="GZW50" s="6"/>
      <c r="GZX50" s="6"/>
      <c r="GZY50" s="6"/>
      <c r="GZZ50" s="6"/>
      <c r="HAA50" s="6"/>
      <c r="HAB50" s="6"/>
      <c r="HAC50" s="6"/>
      <c r="HAD50" s="6"/>
      <c r="HAE50" s="6"/>
      <c r="HAF50" s="6"/>
      <c r="HAG50" s="6"/>
      <c r="HAH50" s="6"/>
      <c r="HAI50" s="6"/>
      <c r="HAJ50" s="6"/>
      <c r="HAK50" s="6"/>
      <c r="HAL50" s="6"/>
      <c r="HAM50" s="6"/>
      <c r="HAN50" s="6"/>
      <c r="HAO50" s="6"/>
      <c r="HAP50" s="6"/>
      <c r="HAQ50" s="6"/>
      <c r="HAR50" s="6"/>
      <c r="HAS50" s="6"/>
      <c r="HAT50" s="6"/>
      <c r="HAU50" s="6"/>
      <c r="HAV50" s="6"/>
      <c r="HAW50" s="6"/>
      <c r="HAX50" s="6"/>
      <c r="HAY50" s="6"/>
      <c r="HAZ50" s="6"/>
      <c r="HBA50" s="6"/>
      <c r="HBB50" s="6"/>
      <c r="HBC50" s="6"/>
      <c r="HBD50" s="6"/>
      <c r="HBE50" s="6"/>
      <c r="HBF50" s="6"/>
      <c r="HBG50" s="6"/>
      <c r="HBH50" s="6"/>
      <c r="HBI50" s="6"/>
      <c r="HBJ50" s="6"/>
      <c r="HBK50" s="6"/>
      <c r="HBL50" s="6"/>
      <c r="HBM50" s="6"/>
      <c r="HBN50" s="6"/>
      <c r="HBO50" s="6"/>
      <c r="HBP50" s="6"/>
      <c r="HBQ50" s="6"/>
      <c r="HBR50" s="6"/>
      <c r="HBS50" s="6"/>
      <c r="HBT50" s="6"/>
      <c r="HBU50" s="6"/>
      <c r="HBV50" s="6"/>
      <c r="HBW50" s="6"/>
      <c r="HBX50" s="6"/>
      <c r="HBY50" s="6"/>
      <c r="HBZ50" s="6"/>
      <c r="HCA50" s="6"/>
      <c r="HCB50" s="6"/>
      <c r="HCC50" s="6"/>
      <c r="HCD50" s="6"/>
      <c r="HCE50" s="6"/>
      <c r="HCF50" s="6"/>
      <c r="HCG50" s="6"/>
      <c r="HCH50" s="6"/>
      <c r="HCI50" s="6"/>
      <c r="HCJ50" s="6"/>
      <c r="HCK50" s="6"/>
      <c r="HCL50" s="6"/>
      <c r="HCM50" s="6"/>
      <c r="HCN50" s="6"/>
      <c r="HCO50" s="6"/>
      <c r="HCP50" s="6"/>
      <c r="HCQ50" s="6"/>
      <c r="HCR50" s="6"/>
      <c r="HCS50" s="6"/>
      <c r="HCT50" s="6"/>
      <c r="HCU50" s="6"/>
      <c r="HCV50" s="6"/>
      <c r="HCW50" s="6"/>
      <c r="HCX50" s="6"/>
      <c r="HCY50" s="6"/>
      <c r="HCZ50" s="6"/>
      <c r="HDA50" s="6"/>
      <c r="HDB50" s="6"/>
      <c r="HDC50" s="6"/>
      <c r="HDD50" s="6"/>
      <c r="HDE50" s="6"/>
      <c r="HDF50" s="6"/>
      <c r="HDG50" s="6"/>
      <c r="HDH50" s="6"/>
      <c r="HDI50" s="6"/>
      <c r="HDJ50" s="6"/>
      <c r="HDK50" s="6"/>
      <c r="HDL50" s="6"/>
      <c r="HDM50" s="6"/>
      <c r="HDN50" s="6"/>
      <c r="HDO50" s="6"/>
      <c r="HDP50" s="6"/>
      <c r="HDQ50" s="6"/>
      <c r="HDR50" s="6"/>
      <c r="HDS50" s="6"/>
      <c r="HDT50" s="6"/>
      <c r="HDU50" s="6"/>
      <c r="HDV50" s="6"/>
      <c r="HDW50" s="6"/>
      <c r="HDX50" s="6"/>
      <c r="HDY50" s="6"/>
      <c r="HDZ50" s="6"/>
      <c r="HEA50" s="6"/>
      <c r="HEB50" s="6"/>
      <c r="HEC50" s="6"/>
      <c r="HED50" s="6"/>
      <c r="HEE50" s="6"/>
      <c r="HEF50" s="6"/>
      <c r="HEG50" s="6"/>
      <c r="HEH50" s="6"/>
      <c r="HEI50" s="6"/>
      <c r="HEJ50" s="6"/>
      <c r="HEK50" s="6"/>
      <c r="HEL50" s="6"/>
      <c r="HEM50" s="6"/>
      <c r="HEN50" s="6"/>
      <c r="HEO50" s="6"/>
      <c r="HEP50" s="6"/>
      <c r="HEQ50" s="6"/>
      <c r="HER50" s="6"/>
      <c r="HES50" s="6"/>
      <c r="HET50" s="6"/>
      <c r="HEU50" s="6"/>
      <c r="HEV50" s="6"/>
      <c r="HEW50" s="6"/>
      <c r="HEX50" s="6"/>
      <c r="HEY50" s="6"/>
      <c r="HEZ50" s="6"/>
      <c r="HFA50" s="6"/>
      <c r="HFB50" s="6"/>
      <c r="HFC50" s="6"/>
      <c r="HFD50" s="6"/>
      <c r="HFE50" s="6"/>
      <c r="HFF50" s="6"/>
      <c r="HFG50" s="6"/>
      <c r="HFH50" s="6"/>
      <c r="HFI50" s="6"/>
      <c r="HFJ50" s="6"/>
      <c r="HFK50" s="6"/>
      <c r="HFL50" s="6"/>
      <c r="HFM50" s="6"/>
      <c r="HFN50" s="6"/>
      <c r="HFO50" s="6"/>
      <c r="HFP50" s="6"/>
      <c r="HFQ50" s="6"/>
      <c r="HFR50" s="6"/>
      <c r="HFS50" s="6"/>
      <c r="HFT50" s="6"/>
      <c r="HFU50" s="6"/>
      <c r="HFV50" s="6"/>
      <c r="HFW50" s="6"/>
      <c r="HFX50" s="6"/>
      <c r="HFY50" s="6"/>
      <c r="HFZ50" s="6"/>
      <c r="HGA50" s="6"/>
      <c r="HGB50" s="6"/>
      <c r="HGC50" s="6"/>
      <c r="HGD50" s="6"/>
      <c r="HGE50" s="6"/>
      <c r="HGF50" s="6"/>
      <c r="HGG50" s="6"/>
      <c r="HGH50" s="6"/>
      <c r="HGI50" s="6"/>
      <c r="HGJ50" s="6"/>
      <c r="HGK50" s="6"/>
      <c r="HGL50" s="6"/>
      <c r="HGM50" s="6"/>
      <c r="HGN50" s="6"/>
      <c r="HGO50" s="6"/>
      <c r="HGP50" s="6"/>
      <c r="HGQ50" s="6"/>
      <c r="HGR50" s="6"/>
      <c r="HGS50" s="6"/>
      <c r="HGT50" s="6"/>
      <c r="HGU50" s="6"/>
      <c r="HGV50" s="6"/>
      <c r="HGW50" s="6"/>
      <c r="HGX50" s="6"/>
      <c r="HGY50" s="6"/>
      <c r="HGZ50" s="6"/>
      <c r="HHA50" s="6"/>
      <c r="HHB50" s="6"/>
      <c r="HHC50" s="6"/>
      <c r="HHD50" s="6"/>
      <c r="HHE50" s="6"/>
      <c r="HHF50" s="6"/>
      <c r="HHG50" s="6"/>
      <c r="HHH50" s="6"/>
      <c r="HHI50" s="6"/>
      <c r="HHJ50" s="6"/>
      <c r="HHK50" s="6"/>
      <c r="HHL50" s="6"/>
      <c r="HHM50" s="6"/>
      <c r="HHN50" s="6"/>
      <c r="HHO50" s="6"/>
      <c r="HHP50" s="6"/>
      <c r="HHQ50" s="6"/>
      <c r="HHR50" s="6"/>
      <c r="HHS50" s="6"/>
      <c r="HHT50" s="6"/>
      <c r="HHU50" s="6"/>
      <c r="HHV50" s="6"/>
      <c r="HHW50" s="6"/>
      <c r="HHX50" s="6"/>
      <c r="HHY50" s="6"/>
      <c r="HHZ50" s="6"/>
      <c r="HIA50" s="6"/>
      <c r="HIB50" s="6"/>
      <c r="HIC50" s="6"/>
      <c r="HID50" s="6"/>
      <c r="HIE50" s="6"/>
      <c r="HIF50" s="6"/>
      <c r="HIG50" s="6"/>
      <c r="HIH50" s="6"/>
      <c r="HII50" s="6"/>
      <c r="HIJ50" s="6"/>
      <c r="HIK50" s="6"/>
      <c r="HIL50" s="6"/>
      <c r="HIM50" s="6"/>
      <c r="HIN50" s="6"/>
      <c r="HIO50" s="6"/>
      <c r="HIP50" s="6"/>
      <c r="HIQ50" s="6"/>
      <c r="HIR50" s="6"/>
      <c r="HIS50" s="6"/>
      <c r="HIT50" s="6"/>
      <c r="HIU50" s="6"/>
      <c r="HIV50" s="6"/>
      <c r="HIW50" s="6"/>
      <c r="HIX50" s="6"/>
      <c r="HIY50" s="6"/>
      <c r="HIZ50" s="6"/>
      <c r="HJA50" s="6"/>
      <c r="HJB50" s="6"/>
      <c r="HJC50" s="6"/>
      <c r="HJD50" s="6"/>
      <c r="HJE50" s="6"/>
      <c r="HJF50" s="6"/>
      <c r="HJG50" s="6"/>
      <c r="HJH50" s="6"/>
      <c r="HJI50" s="6"/>
      <c r="HJJ50" s="6"/>
      <c r="HJK50" s="6"/>
      <c r="HJL50" s="6"/>
      <c r="HJM50" s="6"/>
      <c r="HJN50" s="6"/>
      <c r="HJO50" s="6"/>
      <c r="HJP50" s="6"/>
      <c r="HJQ50" s="6"/>
      <c r="HJR50" s="6"/>
      <c r="HJS50" s="6"/>
      <c r="HJT50" s="6"/>
      <c r="HJU50" s="6"/>
      <c r="HJV50" s="6"/>
      <c r="HJW50" s="6"/>
      <c r="HJX50" s="6"/>
      <c r="HJY50" s="6"/>
      <c r="HJZ50" s="6"/>
      <c r="HKA50" s="6"/>
      <c r="HKB50" s="6"/>
      <c r="HKC50" s="6"/>
      <c r="HKD50" s="6"/>
      <c r="HKE50" s="6"/>
      <c r="HKF50" s="6"/>
      <c r="HKG50" s="6"/>
      <c r="HKH50" s="6"/>
      <c r="HKI50" s="6"/>
      <c r="HKJ50" s="6"/>
      <c r="HKK50" s="6"/>
      <c r="HKL50" s="6"/>
      <c r="HKM50" s="6"/>
      <c r="HKN50" s="6"/>
      <c r="HKO50" s="6"/>
      <c r="HKP50" s="6"/>
      <c r="HKQ50" s="6"/>
      <c r="HKR50" s="6"/>
      <c r="HKS50" s="6"/>
      <c r="HKT50" s="6"/>
      <c r="HKU50" s="6"/>
      <c r="HKV50" s="6"/>
      <c r="HKW50" s="6"/>
      <c r="HKX50" s="6"/>
      <c r="HKY50" s="6"/>
      <c r="HKZ50" s="6"/>
      <c r="HLA50" s="6"/>
      <c r="HLB50" s="6"/>
      <c r="HLC50" s="6"/>
      <c r="HLD50" s="6"/>
      <c r="HLE50" s="6"/>
      <c r="HLF50" s="6"/>
      <c r="HLG50" s="6"/>
      <c r="HLH50" s="6"/>
      <c r="HLI50" s="6"/>
      <c r="HLJ50" s="6"/>
      <c r="HLK50" s="6"/>
      <c r="HLL50" s="6"/>
      <c r="HLM50" s="6"/>
      <c r="HLN50" s="6"/>
      <c r="HLO50" s="6"/>
      <c r="HLP50" s="6"/>
      <c r="HLQ50" s="6"/>
      <c r="HLR50" s="6"/>
      <c r="HLS50" s="6"/>
      <c r="HLT50" s="6"/>
      <c r="HLU50" s="6"/>
      <c r="HLV50" s="6"/>
      <c r="HLW50" s="6"/>
      <c r="HLX50" s="6"/>
      <c r="HLY50" s="6"/>
      <c r="HLZ50" s="6"/>
      <c r="HMA50" s="6"/>
      <c r="HMB50" s="6"/>
      <c r="HMC50" s="6"/>
      <c r="HMD50" s="6"/>
      <c r="HME50" s="6"/>
      <c r="HMF50" s="6"/>
      <c r="HMG50" s="6"/>
      <c r="HMH50" s="6"/>
      <c r="HMI50" s="6"/>
      <c r="HMJ50" s="6"/>
      <c r="HMK50" s="6"/>
      <c r="HML50" s="6"/>
      <c r="HMM50" s="6"/>
      <c r="HMN50" s="6"/>
      <c r="HMO50" s="6"/>
      <c r="HMP50" s="6"/>
      <c r="HMQ50" s="6"/>
      <c r="HMR50" s="6"/>
      <c r="HMS50" s="6"/>
      <c r="HMT50" s="6"/>
      <c r="HMU50" s="6"/>
      <c r="HMV50" s="6"/>
      <c r="HMW50" s="6"/>
      <c r="HMX50" s="6"/>
      <c r="HMY50" s="6"/>
      <c r="HMZ50" s="6"/>
      <c r="HNA50" s="6"/>
      <c r="HNB50" s="6"/>
      <c r="HNC50" s="6"/>
      <c r="HND50" s="6"/>
      <c r="HNE50" s="6"/>
      <c r="HNF50" s="6"/>
      <c r="HNG50" s="6"/>
      <c r="HNH50" s="6"/>
      <c r="HNI50" s="6"/>
      <c r="HNJ50" s="6"/>
      <c r="HNK50" s="6"/>
      <c r="HNL50" s="6"/>
      <c r="HNM50" s="6"/>
      <c r="HNN50" s="6"/>
      <c r="HNO50" s="6"/>
      <c r="HNP50" s="6"/>
      <c r="HNQ50" s="6"/>
      <c r="HNR50" s="6"/>
      <c r="HNS50" s="6"/>
      <c r="HNT50" s="6"/>
      <c r="HNU50" s="6"/>
      <c r="HNV50" s="6"/>
      <c r="HNW50" s="6"/>
      <c r="HNX50" s="6"/>
      <c r="HNY50" s="6"/>
      <c r="HNZ50" s="6"/>
      <c r="HOA50" s="6"/>
      <c r="HOB50" s="6"/>
      <c r="HOC50" s="6"/>
      <c r="HOD50" s="6"/>
      <c r="HOE50" s="6"/>
      <c r="HOF50" s="6"/>
      <c r="HOG50" s="6"/>
      <c r="HOH50" s="6"/>
      <c r="HOI50" s="6"/>
      <c r="HOJ50" s="6"/>
      <c r="HOK50" s="6"/>
      <c r="HOL50" s="6"/>
      <c r="HOM50" s="6"/>
      <c r="HON50" s="6"/>
      <c r="HOO50" s="6"/>
      <c r="HOP50" s="6"/>
      <c r="HOQ50" s="6"/>
      <c r="HOR50" s="6"/>
      <c r="HOS50" s="6"/>
      <c r="HOT50" s="6"/>
      <c r="HOU50" s="6"/>
      <c r="HOV50" s="6"/>
      <c r="HOW50" s="6"/>
      <c r="HOX50" s="6"/>
      <c r="HOY50" s="6"/>
      <c r="HOZ50" s="6"/>
      <c r="HPA50" s="6"/>
      <c r="HPB50" s="6"/>
      <c r="HPC50" s="6"/>
      <c r="HPD50" s="6"/>
      <c r="HPE50" s="6"/>
      <c r="HPF50" s="6"/>
      <c r="HPG50" s="6"/>
      <c r="HPH50" s="6"/>
      <c r="HPI50" s="6"/>
      <c r="HPJ50" s="6"/>
      <c r="HPK50" s="6"/>
      <c r="HPL50" s="6"/>
      <c r="HPM50" s="6"/>
      <c r="HPN50" s="6"/>
      <c r="HPO50" s="6"/>
      <c r="HPP50" s="6"/>
      <c r="HPQ50" s="6"/>
      <c r="HPR50" s="6"/>
      <c r="HPS50" s="6"/>
      <c r="HPT50" s="6"/>
      <c r="HPU50" s="6"/>
      <c r="HPV50" s="6"/>
      <c r="HPW50" s="6"/>
      <c r="HPX50" s="6"/>
      <c r="HPY50" s="6"/>
      <c r="HPZ50" s="6"/>
      <c r="HQA50" s="6"/>
      <c r="HQB50" s="6"/>
      <c r="HQC50" s="6"/>
      <c r="HQD50" s="6"/>
      <c r="HQE50" s="6"/>
      <c r="HQF50" s="6"/>
      <c r="HQG50" s="6"/>
      <c r="HQH50" s="6"/>
      <c r="HQI50" s="6"/>
      <c r="HQJ50" s="6"/>
      <c r="HQK50" s="6"/>
      <c r="HQL50" s="6"/>
      <c r="HQM50" s="6"/>
      <c r="HQN50" s="6"/>
      <c r="HQO50" s="6"/>
      <c r="HQP50" s="6"/>
      <c r="HQQ50" s="6"/>
      <c r="HQR50" s="6"/>
      <c r="HQS50" s="6"/>
      <c r="HQT50" s="6"/>
      <c r="HQU50" s="6"/>
      <c r="HQV50" s="6"/>
      <c r="HQW50" s="6"/>
      <c r="HQX50" s="6"/>
      <c r="HQY50" s="6"/>
      <c r="HQZ50" s="6"/>
      <c r="HRA50" s="6"/>
      <c r="HRB50" s="6"/>
      <c r="HRC50" s="6"/>
      <c r="HRD50" s="6"/>
      <c r="HRE50" s="6"/>
      <c r="HRF50" s="6"/>
      <c r="HRG50" s="6"/>
      <c r="HRH50" s="6"/>
      <c r="HRI50" s="6"/>
      <c r="HRJ50" s="6"/>
      <c r="HRK50" s="6"/>
      <c r="HRL50" s="6"/>
      <c r="HRM50" s="6"/>
      <c r="HRN50" s="6"/>
      <c r="HRO50" s="6"/>
      <c r="HRP50" s="6"/>
      <c r="HRQ50" s="6"/>
      <c r="HRR50" s="6"/>
      <c r="HRS50" s="6"/>
      <c r="HRT50" s="6"/>
      <c r="HRU50" s="6"/>
      <c r="HRV50" s="6"/>
      <c r="HRW50" s="6"/>
      <c r="HRX50" s="6"/>
      <c r="HRY50" s="6"/>
      <c r="HRZ50" s="6"/>
      <c r="HSA50" s="6"/>
      <c r="HSB50" s="6"/>
      <c r="HSC50" s="6"/>
      <c r="HSD50" s="6"/>
      <c r="HSE50" s="6"/>
      <c r="HSF50" s="6"/>
      <c r="HSG50" s="6"/>
      <c r="HSH50" s="6"/>
      <c r="HSI50" s="6"/>
      <c r="HSJ50" s="6"/>
      <c r="HSK50" s="6"/>
      <c r="HSL50" s="6"/>
      <c r="HSM50" s="6"/>
      <c r="HSN50" s="6"/>
      <c r="HSO50" s="6"/>
      <c r="HSP50" s="6"/>
      <c r="HSQ50" s="6"/>
      <c r="HSR50" s="6"/>
      <c r="HSS50" s="6"/>
      <c r="HST50" s="6"/>
      <c r="HSU50" s="6"/>
      <c r="HSV50" s="6"/>
      <c r="HSW50" s="6"/>
      <c r="HSX50" s="6"/>
      <c r="HSY50" s="6"/>
      <c r="HSZ50" s="6"/>
      <c r="HTA50" s="6"/>
      <c r="HTB50" s="6"/>
      <c r="HTC50" s="6"/>
      <c r="HTD50" s="6"/>
      <c r="HTE50" s="6"/>
      <c r="HTF50" s="6"/>
      <c r="HTG50" s="6"/>
      <c r="HTH50" s="6"/>
      <c r="HTI50" s="6"/>
      <c r="HTJ50" s="6"/>
      <c r="HTK50" s="6"/>
      <c r="HTL50" s="6"/>
      <c r="HTM50" s="6"/>
      <c r="HTN50" s="6"/>
      <c r="HTO50" s="6"/>
      <c r="HTP50" s="6"/>
      <c r="HTQ50" s="6"/>
      <c r="HTR50" s="6"/>
      <c r="HTS50" s="6"/>
      <c r="HTT50" s="6"/>
      <c r="HTU50" s="6"/>
      <c r="HTV50" s="6"/>
      <c r="HTW50" s="6"/>
      <c r="HTX50" s="6"/>
      <c r="HTY50" s="6"/>
      <c r="HTZ50" s="6"/>
      <c r="HUA50" s="6"/>
      <c r="HUB50" s="6"/>
      <c r="HUC50" s="6"/>
      <c r="HUD50" s="6"/>
      <c r="HUE50" s="6"/>
      <c r="HUF50" s="6"/>
      <c r="HUG50" s="6"/>
      <c r="HUH50" s="6"/>
      <c r="HUI50" s="6"/>
      <c r="HUJ50" s="6"/>
      <c r="HUK50" s="6"/>
      <c r="HUL50" s="6"/>
      <c r="HUM50" s="6"/>
      <c r="HUN50" s="6"/>
      <c r="HUO50" s="6"/>
      <c r="HUP50" s="6"/>
      <c r="HUQ50" s="6"/>
      <c r="HUR50" s="6"/>
      <c r="HUS50" s="6"/>
      <c r="HUT50" s="6"/>
      <c r="HUU50" s="6"/>
      <c r="HUV50" s="6"/>
      <c r="HUW50" s="6"/>
      <c r="HUX50" s="6"/>
      <c r="HUY50" s="6"/>
      <c r="HUZ50" s="6"/>
      <c r="HVA50" s="6"/>
      <c r="HVB50" s="6"/>
      <c r="HVC50" s="6"/>
      <c r="HVD50" s="6"/>
      <c r="HVE50" s="6"/>
      <c r="HVF50" s="6"/>
      <c r="HVG50" s="6"/>
      <c r="HVH50" s="6"/>
      <c r="HVI50" s="6"/>
      <c r="HVJ50" s="6"/>
      <c r="HVK50" s="6"/>
      <c r="HVL50" s="6"/>
      <c r="HVM50" s="6"/>
      <c r="HVN50" s="6"/>
      <c r="HVO50" s="6"/>
      <c r="HVP50" s="6"/>
      <c r="HVQ50" s="6"/>
      <c r="HVR50" s="6"/>
      <c r="HVS50" s="6"/>
      <c r="HVT50" s="6"/>
      <c r="HVU50" s="6"/>
      <c r="HVV50" s="6"/>
      <c r="HVW50" s="6"/>
      <c r="HVX50" s="6"/>
      <c r="HVY50" s="6"/>
      <c r="HVZ50" s="6"/>
      <c r="HWA50" s="6"/>
      <c r="HWB50" s="6"/>
      <c r="HWC50" s="6"/>
      <c r="HWD50" s="6"/>
      <c r="HWE50" s="6"/>
      <c r="HWF50" s="6"/>
      <c r="HWG50" s="6"/>
      <c r="HWH50" s="6"/>
      <c r="HWI50" s="6"/>
      <c r="HWJ50" s="6"/>
      <c r="HWK50" s="6"/>
      <c r="HWL50" s="6"/>
      <c r="HWM50" s="6"/>
      <c r="HWN50" s="6"/>
      <c r="HWO50" s="6"/>
      <c r="HWP50" s="6"/>
      <c r="HWQ50" s="6"/>
      <c r="HWR50" s="6"/>
      <c r="HWS50" s="6"/>
      <c r="HWT50" s="6"/>
      <c r="HWU50" s="6"/>
      <c r="HWV50" s="6"/>
      <c r="HWW50" s="6"/>
      <c r="HWX50" s="6"/>
      <c r="HWY50" s="6"/>
      <c r="HWZ50" s="6"/>
      <c r="HXA50" s="6"/>
      <c r="HXB50" s="6"/>
      <c r="HXC50" s="6"/>
      <c r="HXD50" s="6"/>
      <c r="HXE50" s="6"/>
      <c r="HXF50" s="6"/>
      <c r="HXG50" s="6"/>
      <c r="HXH50" s="6"/>
      <c r="HXI50" s="6"/>
      <c r="HXJ50" s="6"/>
      <c r="HXK50" s="6"/>
      <c r="HXL50" s="6"/>
      <c r="HXM50" s="6"/>
      <c r="HXN50" s="6"/>
      <c r="HXO50" s="6"/>
      <c r="HXP50" s="6"/>
      <c r="HXQ50" s="6"/>
      <c r="HXR50" s="6"/>
      <c r="HXS50" s="6"/>
      <c r="HXT50" s="6"/>
      <c r="HXU50" s="6"/>
      <c r="HXV50" s="6"/>
      <c r="HXW50" s="6"/>
      <c r="HXX50" s="6"/>
      <c r="HXY50" s="6"/>
      <c r="HXZ50" s="6"/>
      <c r="HYA50" s="6"/>
      <c r="HYB50" s="6"/>
      <c r="HYC50" s="6"/>
      <c r="HYD50" s="6"/>
      <c r="HYE50" s="6"/>
      <c r="HYF50" s="6"/>
      <c r="HYG50" s="6"/>
      <c r="HYH50" s="6"/>
      <c r="HYI50" s="6"/>
      <c r="HYJ50" s="6"/>
      <c r="HYK50" s="6"/>
      <c r="HYL50" s="6"/>
      <c r="HYM50" s="6"/>
      <c r="HYN50" s="6"/>
      <c r="HYO50" s="6"/>
      <c r="HYP50" s="6"/>
      <c r="HYQ50" s="6"/>
      <c r="HYR50" s="6"/>
      <c r="HYS50" s="6"/>
      <c r="HYT50" s="6"/>
      <c r="HYU50" s="6"/>
      <c r="HYV50" s="6"/>
      <c r="HYW50" s="6"/>
      <c r="HYX50" s="6"/>
      <c r="HYY50" s="6"/>
      <c r="HYZ50" s="6"/>
      <c r="HZA50" s="6"/>
      <c r="HZB50" s="6"/>
      <c r="HZC50" s="6"/>
      <c r="HZD50" s="6"/>
      <c r="HZE50" s="6"/>
      <c r="HZF50" s="6"/>
      <c r="HZG50" s="6"/>
      <c r="HZH50" s="6"/>
      <c r="HZI50" s="6"/>
      <c r="HZJ50" s="6"/>
      <c r="HZK50" s="6"/>
      <c r="HZL50" s="6"/>
      <c r="HZM50" s="6"/>
      <c r="HZN50" s="6"/>
      <c r="HZO50" s="6"/>
      <c r="HZP50" s="6"/>
      <c r="HZQ50" s="6"/>
      <c r="HZR50" s="6"/>
      <c r="HZS50" s="6"/>
      <c r="HZT50" s="6"/>
      <c r="HZU50" s="6"/>
      <c r="HZV50" s="6"/>
      <c r="HZW50" s="6"/>
      <c r="HZX50" s="6"/>
      <c r="HZY50" s="6"/>
      <c r="HZZ50" s="6"/>
      <c r="IAA50" s="6"/>
      <c r="IAB50" s="6"/>
      <c r="IAC50" s="6"/>
      <c r="IAD50" s="6"/>
      <c r="IAE50" s="6"/>
      <c r="IAF50" s="6"/>
      <c r="IAG50" s="6"/>
      <c r="IAH50" s="6"/>
      <c r="IAI50" s="6"/>
      <c r="IAJ50" s="6"/>
      <c r="IAK50" s="6"/>
      <c r="IAL50" s="6"/>
      <c r="IAM50" s="6"/>
      <c r="IAN50" s="6"/>
      <c r="IAO50" s="6"/>
      <c r="IAP50" s="6"/>
      <c r="IAQ50" s="6"/>
      <c r="IAR50" s="6"/>
      <c r="IAS50" s="6"/>
      <c r="IAT50" s="6"/>
      <c r="IAU50" s="6"/>
      <c r="IAV50" s="6"/>
      <c r="IAW50" s="6"/>
      <c r="IAX50" s="6"/>
      <c r="IAY50" s="6"/>
      <c r="IAZ50" s="6"/>
      <c r="IBA50" s="6"/>
      <c r="IBB50" s="6"/>
      <c r="IBC50" s="6"/>
      <c r="IBD50" s="6"/>
      <c r="IBE50" s="6"/>
      <c r="IBF50" s="6"/>
      <c r="IBG50" s="6"/>
      <c r="IBH50" s="6"/>
      <c r="IBI50" s="6"/>
      <c r="IBJ50" s="6"/>
      <c r="IBK50" s="6"/>
      <c r="IBL50" s="6"/>
      <c r="IBM50" s="6"/>
      <c r="IBN50" s="6"/>
      <c r="IBO50" s="6"/>
      <c r="IBP50" s="6"/>
      <c r="IBQ50" s="6"/>
      <c r="IBR50" s="6"/>
      <c r="IBS50" s="6"/>
      <c r="IBT50" s="6"/>
      <c r="IBU50" s="6"/>
      <c r="IBV50" s="6"/>
      <c r="IBW50" s="6"/>
      <c r="IBX50" s="6"/>
      <c r="IBY50" s="6"/>
      <c r="IBZ50" s="6"/>
      <c r="ICA50" s="6"/>
      <c r="ICB50" s="6"/>
      <c r="ICC50" s="6"/>
      <c r="ICD50" s="6"/>
      <c r="ICE50" s="6"/>
      <c r="ICF50" s="6"/>
      <c r="ICG50" s="6"/>
      <c r="ICH50" s="6"/>
      <c r="ICI50" s="6"/>
      <c r="ICJ50" s="6"/>
      <c r="ICK50" s="6"/>
      <c r="ICL50" s="6"/>
      <c r="ICM50" s="6"/>
      <c r="ICN50" s="6"/>
      <c r="ICO50" s="6"/>
      <c r="ICP50" s="6"/>
      <c r="ICQ50" s="6"/>
      <c r="ICR50" s="6"/>
      <c r="ICS50" s="6"/>
      <c r="ICT50" s="6"/>
      <c r="ICU50" s="6"/>
      <c r="ICV50" s="6"/>
      <c r="ICW50" s="6"/>
      <c r="ICX50" s="6"/>
      <c r="ICY50" s="6"/>
      <c r="ICZ50" s="6"/>
      <c r="IDA50" s="6"/>
      <c r="IDB50" s="6"/>
      <c r="IDC50" s="6"/>
      <c r="IDD50" s="6"/>
      <c r="IDE50" s="6"/>
      <c r="IDF50" s="6"/>
      <c r="IDG50" s="6"/>
      <c r="IDH50" s="6"/>
      <c r="IDI50" s="6"/>
      <c r="IDJ50" s="6"/>
      <c r="IDK50" s="6"/>
      <c r="IDL50" s="6"/>
      <c r="IDM50" s="6"/>
      <c r="IDN50" s="6"/>
      <c r="IDO50" s="6"/>
      <c r="IDP50" s="6"/>
      <c r="IDQ50" s="6"/>
      <c r="IDR50" s="6"/>
      <c r="IDS50" s="6"/>
      <c r="IDT50" s="6"/>
      <c r="IDU50" s="6"/>
      <c r="IDV50" s="6"/>
      <c r="IDW50" s="6"/>
      <c r="IDX50" s="6"/>
      <c r="IDY50" s="6"/>
      <c r="IDZ50" s="6"/>
      <c r="IEA50" s="6"/>
      <c r="IEB50" s="6"/>
      <c r="IEC50" s="6"/>
      <c r="IED50" s="6"/>
      <c r="IEE50" s="6"/>
      <c r="IEF50" s="6"/>
      <c r="IEG50" s="6"/>
      <c r="IEH50" s="6"/>
      <c r="IEI50" s="6"/>
      <c r="IEJ50" s="6"/>
      <c r="IEK50" s="6"/>
      <c r="IEL50" s="6"/>
      <c r="IEM50" s="6"/>
      <c r="IEN50" s="6"/>
      <c r="IEO50" s="6"/>
      <c r="IEP50" s="6"/>
      <c r="IEQ50" s="6"/>
      <c r="IER50" s="6"/>
      <c r="IES50" s="6"/>
      <c r="IET50" s="6"/>
      <c r="IEU50" s="6"/>
      <c r="IEV50" s="6"/>
      <c r="IEW50" s="6"/>
      <c r="IEX50" s="6"/>
      <c r="IEY50" s="6"/>
      <c r="IEZ50" s="6"/>
      <c r="IFA50" s="6"/>
      <c r="IFB50" s="6"/>
      <c r="IFC50" s="6"/>
      <c r="IFD50" s="6"/>
      <c r="IFE50" s="6"/>
      <c r="IFF50" s="6"/>
      <c r="IFG50" s="6"/>
      <c r="IFH50" s="6"/>
      <c r="IFI50" s="6"/>
      <c r="IFJ50" s="6"/>
      <c r="IFK50" s="6"/>
      <c r="IFL50" s="6"/>
      <c r="IFM50" s="6"/>
      <c r="IFN50" s="6"/>
      <c r="IFO50" s="6"/>
      <c r="IFP50" s="6"/>
      <c r="IFQ50" s="6"/>
      <c r="IFR50" s="6"/>
      <c r="IFS50" s="6"/>
      <c r="IFT50" s="6"/>
      <c r="IFU50" s="6"/>
      <c r="IFV50" s="6"/>
      <c r="IFW50" s="6"/>
      <c r="IFX50" s="6"/>
      <c r="IFY50" s="6"/>
      <c r="IFZ50" s="6"/>
      <c r="IGA50" s="6"/>
      <c r="IGB50" s="6"/>
      <c r="IGC50" s="6"/>
      <c r="IGD50" s="6"/>
      <c r="IGE50" s="6"/>
      <c r="IGF50" s="6"/>
      <c r="IGG50" s="6"/>
      <c r="IGH50" s="6"/>
      <c r="IGI50" s="6"/>
      <c r="IGJ50" s="6"/>
      <c r="IGK50" s="6"/>
      <c r="IGL50" s="6"/>
      <c r="IGM50" s="6"/>
      <c r="IGN50" s="6"/>
      <c r="IGO50" s="6"/>
      <c r="IGP50" s="6"/>
      <c r="IGQ50" s="6"/>
      <c r="IGR50" s="6"/>
      <c r="IGS50" s="6"/>
      <c r="IGT50" s="6"/>
      <c r="IGU50" s="6"/>
      <c r="IGV50" s="6"/>
      <c r="IGW50" s="6"/>
      <c r="IGX50" s="6"/>
      <c r="IGY50" s="6"/>
      <c r="IGZ50" s="6"/>
      <c r="IHA50" s="6"/>
      <c r="IHB50" s="6"/>
      <c r="IHC50" s="6"/>
      <c r="IHD50" s="6"/>
      <c r="IHE50" s="6"/>
      <c r="IHF50" s="6"/>
      <c r="IHG50" s="6"/>
      <c r="IHH50" s="6"/>
      <c r="IHI50" s="6"/>
      <c r="IHJ50" s="6"/>
      <c r="IHK50" s="6"/>
      <c r="IHL50" s="6"/>
      <c r="IHM50" s="6"/>
      <c r="IHN50" s="6"/>
      <c r="IHO50" s="6"/>
      <c r="IHP50" s="6"/>
      <c r="IHQ50" s="6"/>
      <c r="IHR50" s="6"/>
      <c r="IHS50" s="6"/>
      <c r="IHT50" s="6"/>
      <c r="IHU50" s="6"/>
      <c r="IHV50" s="6"/>
      <c r="IHW50" s="6"/>
      <c r="IHX50" s="6"/>
      <c r="IHY50" s="6"/>
      <c r="IHZ50" s="6"/>
      <c r="IIA50" s="6"/>
      <c r="IIB50" s="6"/>
      <c r="IIC50" s="6"/>
      <c r="IID50" s="6"/>
      <c r="IIE50" s="6"/>
      <c r="IIF50" s="6"/>
      <c r="IIG50" s="6"/>
      <c r="IIH50" s="6"/>
      <c r="III50" s="6"/>
      <c r="IIJ50" s="6"/>
      <c r="IIK50" s="6"/>
      <c r="IIL50" s="6"/>
      <c r="IIM50" s="6"/>
      <c r="IIN50" s="6"/>
      <c r="IIO50" s="6"/>
      <c r="IIP50" s="6"/>
      <c r="IIQ50" s="6"/>
      <c r="IIR50" s="6"/>
      <c r="IIS50" s="6"/>
      <c r="IIT50" s="6"/>
      <c r="IIU50" s="6"/>
      <c r="IIV50" s="6"/>
      <c r="IIW50" s="6"/>
      <c r="IIX50" s="6"/>
      <c r="IIY50" s="6"/>
      <c r="IIZ50" s="6"/>
      <c r="IJA50" s="6"/>
      <c r="IJB50" s="6"/>
      <c r="IJC50" s="6"/>
      <c r="IJD50" s="6"/>
      <c r="IJE50" s="6"/>
      <c r="IJF50" s="6"/>
      <c r="IJG50" s="6"/>
      <c r="IJH50" s="6"/>
      <c r="IJI50" s="6"/>
      <c r="IJJ50" s="6"/>
      <c r="IJK50" s="6"/>
      <c r="IJL50" s="6"/>
      <c r="IJM50" s="6"/>
      <c r="IJN50" s="6"/>
      <c r="IJO50" s="6"/>
      <c r="IJP50" s="6"/>
      <c r="IJQ50" s="6"/>
      <c r="IJR50" s="6"/>
      <c r="IJS50" s="6"/>
      <c r="IJT50" s="6"/>
      <c r="IJU50" s="6"/>
      <c r="IJV50" s="6"/>
      <c r="IJW50" s="6"/>
      <c r="IJX50" s="6"/>
      <c r="IJY50" s="6"/>
      <c r="IJZ50" s="6"/>
      <c r="IKA50" s="6"/>
      <c r="IKB50" s="6"/>
      <c r="IKC50" s="6"/>
      <c r="IKD50" s="6"/>
      <c r="IKE50" s="6"/>
      <c r="IKF50" s="6"/>
      <c r="IKG50" s="6"/>
      <c r="IKH50" s="6"/>
      <c r="IKI50" s="6"/>
      <c r="IKJ50" s="6"/>
      <c r="IKK50" s="6"/>
      <c r="IKL50" s="6"/>
      <c r="IKM50" s="6"/>
      <c r="IKN50" s="6"/>
      <c r="IKO50" s="6"/>
      <c r="IKP50" s="6"/>
      <c r="IKQ50" s="6"/>
      <c r="IKR50" s="6"/>
      <c r="IKS50" s="6"/>
      <c r="IKT50" s="6"/>
      <c r="IKU50" s="6"/>
      <c r="IKV50" s="6"/>
      <c r="IKW50" s="6"/>
      <c r="IKX50" s="6"/>
      <c r="IKY50" s="6"/>
      <c r="IKZ50" s="6"/>
      <c r="ILA50" s="6"/>
      <c r="ILB50" s="6"/>
      <c r="ILC50" s="6"/>
      <c r="ILD50" s="6"/>
      <c r="ILE50" s="6"/>
      <c r="ILF50" s="6"/>
      <c r="ILG50" s="6"/>
      <c r="ILH50" s="6"/>
      <c r="ILI50" s="6"/>
      <c r="ILJ50" s="6"/>
      <c r="ILK50" s="6"/>
      <c r="ILL50" s="6"/>
      <c r="ILM50" s="6"/>
      <c r="ILN50" s="6"/>
      <c r="ILO50" s="6"/>
      <c r="ILP50" s="6"/>
      <c r="ILQ50" s="6"/>
      <c r="ILR50" s="6"/>
      <c r="ILS50" s="6"/>
      <c r="ILT50" s="6"/>
      <c r="ILU50" s="6"/>
      <c r="ILV50" s="6"/>
      <c r="ILW50" s="6"/>
      <c r="ILX50" s="6"/>
      <c r="ILY50" s="6"/>
      <c r="ILZ50" s="6"/>
      <c r="IMA50" s="6"/>
      <c r="IMB50" s="6"/>
      <c r="IMC50" s="6"/>
      <c r="IMD50" s="6"/>
      <c r="IME50" s="6"/>
      <c r="IMF50" s="6"/>
      <c r="IMG50" s="6"/>
      <c r="IMH50" s="6"/>
      <c r="IMI50" s="6"/>
      <c r="IMJ50" s="6"/>
      <c r="IMK50" s="6"/>
      <c r="IML50" s="6"/>
      <c r="IMM50" s="6"/>
      <c r="IMN50" s="6"/>
      <c r="IMO50" s="6"/>
      <c r="IMP50" s="6"/>
      <c r="IMQ50" s="6"/>
      <c r="IMR50" s="6"/>
      <c r="IMS50" s="6"/>
      <c r="IMT50" s="6"/>
      <c r="IMU50" s="6"/>
      <c r="IMV50" s="6"/>
      <c r="IMW50" s="6"/>
      <c r="IMX50" s="6"/>
      <c r="IMY50" s="6"/>
      <c r="IMZ50" s="6"/>
      <c r="INA50" s="6"/>
      <c r="INB50" s="6"/>
      <c r="INC50" s="6"/>
      <c r="IND50" s="6"/>
      <c r="INE50" s="6"/>
      <c r="INF50" s="6"/>
      <c r="ING50" s="6"/>
      <c r="INH50" s="6"/>
      <c r="INI50" s="6"/>
      <c r="INJ50" s="6"/>
      <c r="INK50" s="6"/>
      <c r="INL50" s="6"/>
      <c r="INM50" s="6"/>
      <c r="INN50" s="6"/>
      <c r="INO50" s="6"/>
      <c r="INP50" s="6"/>
      <c r="INQ50" s="6"/>
      <c r="INR50" s="6"/>
      <c r="INS50" s="6"/>
      <c r="INT50" s="6"/>
      <c r="INU50" s="6"/>
      <c r="INV50" s="6"/>
      <c r="INW50" s="6"/>
      <c r="INX50" s="6"/>
      <c r="INY50" s="6"/>
      <c r="INZ50" s="6"/>
      <c r="IOA50" s="6"/>
      <c r="IOB50" s="6"/>
      <c r="IOC50" s="6"/>
      <c r="IOD50" s="6"/>
      <c r="IOE50" s="6"/>
      <c r="IOF50" s="6"/>
      <c r="IOG50" s="6"/>
      <c r="IOH50" s="6"/>
      <c r="IOI50" s="6"/>
      <c r="IOJ50" s="6"/>
      <c r="IOK50" s="6"/>
      <c r="IOL50" s="6"/>
      <c r="IOM50" s="6"/>
      <c r="ION50" s="6"/>
      <c r="IOO50" s="6"/>
      <c r="IOP50" s="6"/>
      <c r="IOQ50" s="6"/>
      <c r="IOR50" s="6"/>
      <c r="IOS50" s="6"/>
      <c r="IOT50" s="6"/>
      <c r="IOU50" s="6"/>
      <c r="IOV50" s="6"/>
      <c r="IOW50" s="6"/>
      <c r="IOX50" s="6"/>
      <c r="IOY50" s="6"/>
      <c r="IOZ50" s="6"/>
      <c r="IPA50" s="6"/>
      <c r="IPB50" s="6"/>
      <c r="IPC50" s="6"/>
      <c r="IPD50" s="6"/>
      <c r="IPE50" s="6"/>
      <c r="IPF50" s="6"/>
      <c r="IPG50" s="6"/>
      <c r="IPH50" s="6"/>
      <c r="IPI50" s="6"/>
      <c r="IPJ50" s="6"/>
      <c r="IPK50" s="6"/>
      <c r="IPL50" s="6"/>
      <c r="IPM50" s="6"/>
      <c r="IPN50" s="6"/>
      <c r="IPO50" s="6"/>
      <c r="IPP50" s="6"/>
      <c r="IPQ50" s="6"/>
      <c r="IPR50" s="6"/>
      <c r="IPS50" s="6"/>
      <c r="IPT50" s="6"/>
      <c r="IPU50" s="6"/>
      <c r="IPV50" s="6"/>
      <c r="IPW50" s="6"/>
      <c r="IPX50" s="6"/>
      <c r="IPY50" s="6"/>
      <c r="IPZ50" s="6"/>
      <c r="IQA50" s="6"/>
      <c r="IQB50" s="6"/>
      <c r="IQC50" s="6"/>
      <c r="IQD50" s="6"/>
      <c r="IQE50" s="6"/>
      <c r="IQF50" s="6"/>
      <c r="IQG50" s="6"/>
      <c r="IQH50" s="6"/>
      <c r="IQI50" s="6"/>
      <c r="IQJ50" s="6"/>
      <c r="IQK50" s="6"/>
      <c r="IQL50" s="6"/>
      <c r="IQM50" s="6"/>
      <c r="IQN50" s="6"/>
      <c r="IQO50" s="6"/>
      <c r="IQP50" s="6"/>
      <c r="IQQ50" s="6"/>
      <c r="IQR50" s="6"/>
      <c r="IQS50" s="6"/>
      <c r="IQT50" s="6"/>
      <c r="IQU50" s="6"/>
      <c r="IQV50" s="6"/>
      <c r="IQW50" s="6"/>
      <c r="IQX50" s="6"/>
      <c r="IQY50" s="6"/>
      <c r="IQZ50" s="6"/>
      <c r="IRA50" s="6"/>
      <c r="IRB50" s="6"/>
      <c r="IRC50" s="6"/>
      <c r="IRD50" s="6"/>
      <c r="IRE50" s="6"/>
      <c r="IRF50" s="6"/>
      <c r="IRG50" s="6"/>
      <c r="IRH50" s="6"/>
      <c r="IRI50" s="6"/>
      <c r="IRJ50" s="6"/>
      <c r="IRK50" s="6"/>
      <c r="IRL50" s="6"/>
      <c r="IRM50" s="6"/>
      <c r="IRN50" s="6"/>
      <c r="IRO50" s="6"/>
      <c r="IRP50" s="6"/>
      <c r="IRQ50" s="6"/>
      <c r="IRR50" s="6"/>
      <c r="IRS50" s="6"/>
      <c r="IRT50" s="6"/>
      <c r="IRU50" s="6"/>
      <c r="IRV50" s="6"/>
      <c r="IRW50" s="6"/>
      <c r="IRX50" s="6"/>
      <c r="IRY50" s="6"/>
      <c r="IRZ50" s="6"/>
      <c r="ISA50" s="6"/>
      <c r="ISB50" s="6"/>
      <c r="ISC50" s="6"/>
      <c r="ISD50" s="6"/>
      <c r="ISE50" s="6"/>
      <c r="ISF50" s="6"/>
      <c r="ISG50" s="6"/>
      <c r="ISH50" s="6"/>
      <c r="ISI50" s="6"/>
      <c r="ISJ50" s="6"/>
      <c r="ISK50" s="6"/>
      <c r="ISL50" s="6"/>
      <c r="ISM50" s="6"/>
      <c r="ISN50" s="6"/>
      <c r="ISO50" s="6"/>
      <c r="ISP50" s="6"/>
      <c r="ISQ50" s="6"/>
      <c r="ISR50" s="6"/>
      <c r="ISS50" s="6"/>
      <c r="IST50" s="6"/>
      <c r="ISU50" s="6"/>
      <c r="ISV50" s="6"/>
      <c r="ISW50" s="6"/>
      <c r="ISX50" s="6"/>
      <c r="ISY50" s="6"/>
      <c r="ISZ50" s="6"/>
      <c r="ITA50" s="6"/>
      <c r="ITB50" s="6"/>
      <c r="ITC50" s="6"/>
      <c r="ITD50" s="6"/>
      <c r="ITE50" s="6"/>
      <c r="ITF50" s="6"/>
      <c r="ITG50" s="6"/>
      <c r="ITH50" s="6"/>
      <c r="ITI50" s="6"/>
      <c r="ITJ50" s="6"/>
      <c r="ITK50" s="6"/>
      <c r="ITL50" s="6"/>
      <c r="ITM50" s="6"/>
      <c r="ITN50" s="6"/>
      <c r="ITO50" s="6"/>
      <c r="ITP50" s="6"/>
      <c r="ITQ50" s="6"/>
      <c r="ITR50" s="6"/>
      <c r="ITS50" s="6"/>
      <c r="ITT50" s="6"/>
      <c r="ITU50" s="6"/>
      <c r="ITV50" s="6"/>
      <c r="ITW50" s="6"/>
      <c r="ITX50" s="6"/>
      <c r="ITY50" s="6"/>
      <c r="ITZ50" s="6"/>
      <c r="IUA50" s="6"/>
      <c r="IUB50" s="6"/>
      <c r="IUC50" s="6"/>
      <c r="IUD50" s="6"/>
      <c r="IUE50" s="6"/>
      <c r="IUF50" s="6"/>
      <c r="IUG50" s="6"/>
      <c r="IUH50" s="6"/>
      <c r="IUI50" s="6"/>
      <c r="IUJ50" s="6"/>
      <c r="IUK50" s="6"/>
      <c r="IUL50" s="6"/>
      <c r="IUM50" s="6"/>
      <c r="IUN50" s="6"/>
      <c r="IUO50" s="6"/>
      <c r="IUP50" s="6"/>
      <c r="IUQ50" s="6"/>
      <c r="IUR50" s="6"/>
      <c r="IUS50" s="6"/>
      <c r="IUT50" s="6"/>
      <c r="IUU50" s="6"/>
      <c r="IUV50" s="6"/>
      <c r="IUW50" s="6"/>
      <c r="IUX50" s="6"/>
      <c r="IUY50" s="6"/>
      <c r="IUZ50" s="6"/>
      <c r="IVA50" s="6"/>
      <c r="IVB50" s="6"/>
      <c r="IVC50" s="6"/>
      <c r="IVD50" s="6"/>
      <c r="IVE50" s="6"/>
      <c r="IVF50" s="6"/>
      <c r="IVG50" s="6"/>
      <c r="IVH50" s="6"/>
      <c r="IVI50" s="6"/>
      <c r="IVJ50" s="6"/>
      <c r="IVK50" s="6"/>
      <c r="IVL50" s="6"/>
      <c r="IVM50" s="6"/>
      <c r="IVN50" s="6"/>
      <c r="IVO50" s="6"/>
      <c r="IVP50" s="6"/>
      <c r="IVQ50" s="6"/>
      <c r="IVR50" s="6"/>
      <c r="IVS50" s="6"/>
      <c r="IVT50" s="6"/>
      <c r="IVU50" s="6"/>
      <c r="IVV50" s="6"/>
      <c r="IVW50" s="6"/>
      <c r="IVX50" s="6"/>
      <c r="IVY50" s="6"/>
      <c r="IVZ50" s="6"/>
      <c r="IWA50" s="6"/>
      <c r="IWB50" s="6"/>
      <c r="IWC50" s="6"/>
      <c r="IWD50" s="6"/>
      <c r="IWE50" s="6"/>
      <c r="IWF50" s="6"/>
      <c r="IWG50" s="6"/>
      <c r="IWH50" s="6"/>
      <c r="IWI50" s="6"/>
      <c r="IWJ50" s="6"/>
      <c r="IWK50" s="6"/>
      <c r="IWL50" s="6"/>
      <c r="IWM50" s="6"/>
      <c r="IWN50" s="6"/>
      <c r="IWO50" s="6"/>
      <c r="IWP50" s="6"/>
      <c r="IWQ50" s="6"/>
      <c r="IWR50" s="6"/>
      <c r="IWS50" s="6"/>
      <c r="IWT50" s="6"/>
      <c r="IWU50" s="6"/>
      <c r="IWV50" s="6"/>
      <c r="IWW50" s="6"/>
      <c r="IWX50" s="6"/>
      <c r="IWY50" s="6"/>
      <c r="IWZ50" s="6"/>
      <c r="IXA50" s="6"/>
      <c r="IXB50" s="6"/>
      <c r="IXC50" s="6"/>
      <c r="IXD50" s="6"/>
      <c r="IXE50" s="6"/>
      <c r="IXF50" s="6"/>
      <c r="IXG50" s="6"/>
      <c r="IXH50" s="6"/>
      <c r="IXI50" s="6"/>
      <c r="IXJ50" s="6"/>
      <c r="IXK50" s="6"/>
      <c r="IXL50" s="6"/>
      <c r="IXM50" s="6"/>
      <c r="IXN50" s="6"/>
      <c r="IXO50" s="6"/>
      <c r="IXP50" s="6"/>
      <c r="IXQ50" s="6"/>
      <c r="IXR50" s="6"/>
      <c r="IXS50" s="6"/>
      <c r="IXT50" s="6"/>
      <c r="IXU50" s="6"/>
      <c r="IXV50" s="6"/>
      <c r="IXW50" s="6"/>
      <c r="IXX50" s="6"/>
      <c r="IXY50" s="6"/>
      <c r="IXZ50" s="6"/>
      <c r="IYA50" s="6"/>
      <c r="IYB50" s="6"/>
      <c r="IYC50" s="6"/>
      <c r="IYD50" s="6"/>
      <c r="IYE50" s="6"/>
      <c r="IYF50" s="6"/>
      <c r="IYG50" s="6"/>
      <c r="IYH50" s="6"/>
      <c r="IYI50" s="6"/>
      <c r="IYJ50" s="6"/>
      <c r="IYK50" s="6"/>
      <c r="IYL50" s="6"/>
      <c r="IYM50" s="6"/>
      <c r="IYN50" s="6"/>
      <c r="IYO50" s="6"/>
      <c r="IYP50" s="6"/>
      <c r="IYQ50" s="6"/>
      <c r="IYR50" s="6"/>
      <c r="IYS50" s="6"/>
      <c r="IYT50" s="6"/>
      <c r="IYU50" s="6"/>
      <c r="IYV50" s="6"/>
      <c r="IYW50" s="6"/>
      <c r="IYX50" s="6"/>
      <c r="IYY50" s="6"/>
      <c r="IYZ50" s="6"/>
      <c r="IZA50" s="6"/>
      <c r="IZB50" s="6"/>
      <c r="IZC50" s="6"/>
      <c r="IZD50" s="6"/>
      <c r="IZE50" s="6"/>
      <c r="IZF50" s="6"/>
      <c r="IZG50" s="6"/>
      <c r="IZH50" s="6"/>
      <c r="IZI50" s="6"/>
      <c r="IZJ50" s="6"/>
      <c r="IZK50" s="6"/>
      <c r="IZL50" s="6"/>
      <c r="IZM50" s="6"/>
      <c r="IZN50" s="6"/>
      <c r="IZO50" s="6"/>
      <c r="IZP50" s="6"/>
      <c r="IZQ50" s="6"/>
      <c r="IZR50" s="6"/>
      <c r="IZS50" s="6"/>
      <c r="IZT50" s="6"/>
      <c r="IZU50" s="6"/>
      <c r="IZV50" s="6"/>
      <c r="IZW50" s="6"/>
      <c r="IZX50" s="6"/>
      <c r="IZY50" s="6"/>
      <c r="IZZ50" s="6"/>
      <c r="JAA50" s="6"/>
      <c r="JAB50" s="6"/>
      <c r="JAC50" s="6"/>
      <c r="JAD50" s="6"/>
      <c r="JAE50" s="6"/>
      <c r="JAF50" s="6"/>
      <c r="JAG50" s="6"/>
      <c r="JAH50" s="6"/>
      <c r="JAI50" s="6"/>
      <c r="JAJ50" s="6"/>
      <c r="JAK50" s="6"/>
      <c r="JAL50" s="6"/>
      <c r="JAM50" s="6"/>
      <c r="JAN50" s="6"/>
      <c r="JAO50" s="6"/>
      <c r="JAP50" s="6"/>
      <c r="JAQ50" s="6"/>
      <c r="JAR50" s="6"/>
      <c r="JAS50" s="6"/>
      <c r="JAT50" s="6"/>
      <c r="JAU50" s="6"/>
      <c r="JAV50" s="6"/>
      <c r="JAW50" s="6"/>
      <c r="JAX50" s="6"/>
      <c r="JAY50" s="6"/>
      <c r="JAZ50" s="6"/>
      <c r="JBA50" s="6"/>
      <c r="JBB50" s="6"/>
      <c r="JBC50" s="6"/>
      <c r="JBD50" s="6"/>
      <c r="JBE50" s="6"/>
      <c r="JBF50" s="6"/>
      <c r="JBG50" s="6"/>
      <c r="JBH50" s="6"/>
      <c r="JBI50" s="6"/>
      <c r="JBJ50" s="6"/>
      <c r="JBK50" s="6"/>
      <c r="JBL50" s="6"/>
      <c r="JBM50" s="6"/>
      <c r="JBN50" s="6"/>
      <c r="JBO50" s="6"/>
      <c r="JBP50" s="6"/>
      <c r="JBQ50" s="6"/>
      <c r="JBR50" s="6"/>
      <c r="JBS50" s="6"/>
      <c r="JBT50" s="6"/>
      <c r="JBU50" s="6"/>
      <c r="JBV50" s="6"/>
      <c r="JBW50" s="6"/>
      <c r="JBX50" s="6"/>
      <c r="JBY50" s="6"/>
      <c r="JBZ50" s="6"/>
      <c r="JCA50" s="6"/>
      <c r="JCB50" s="6"/>
      <c r="JCC50" s="6"/>
      <c r="JCD50" s="6"/>
      <c r="JCE50" s="6"/>
      <c r="JCF50" s="6"/>
      <c r="JCG50" s="6"/>
      <c r="JCH50" s="6"/>
      <c r="JCI50" s="6"/>
      <c r="JCJ50" s="6"/>
      <c r="JCK50" s="6"/>
      <c r="JCL50" s="6"/>
      <c r="JCM50" s="6"/>
      <c r="JCN50" s="6"/>
      <c r="JCO50" s="6"/>
      <c r="JCP50" s="6"/>
      <c r="JCQ50" s="6"/>
      <c r="JCR50" s="6"/>
      <c r="JCS50" s="6"/>
      <c r="JCT50" s="6"/>
      <c r="JCU50" s="6"/>
      <c r="JCV50" s="6"/>
      <c r="JCW50" s="6"/>
      <c r="JCX50" s="6"/>
      <c r="JCY50" s="6"/>
      <c r="JCZ50" s="6"/>
      <c r="JDA50" s="6"/>
      <c r="JDB50" s="6"/>
      <c r="JDC50" s="6"/>
      <c r="JDD50" s="6"/>
      <c r="JDE50" s="6"/>
      <c r="JDF50" s="6"/>
      <c r="JDG50" s="6"/>
      <c r="JDH50" s="6"/>
      <c r="JDI50" s="6"/>
      <c r="JDJ50" s="6"/>
      <c r="JDK50" s="6"/>
      <c r="JDL50" s="6"/>
      <c r="JDM50" s="6"/>
      <c r="JDN50" s="6"/>
      <c r="JDO50" s="6"/>
      <c r="JDP50" s="6"/>
      <c r="JDQ50" s="6"/>
      <c r="JDR50" s="6"/>
      <c r="JDS50" s="6"/>
      <c r="JDT50" s="6"/>
      <c r="JDU50" s="6"/>
      <c r="JDV50" s="6"/>
      <c r="JDW50" s="6"/>
      <c r="JDX50" s="6"/>
      <c r="JDY50" s="6"/>
      <c r="JDZ50" s="6"/>
      <c r="JEA50" s="6"/>
      <c r="JEB50" s="6"/>
      <c r="JEC50" s="6"/>
      <c r="JED50" s="6"/>
      <c r="JEE50" s="6"/>
      <c r="JEF50" s="6"/>
      <c r="JEG50" s="6"/>
      <c r="JEH50" s="6"/>
      <c r="JEI50" s="6"/>
      <c r="JEJ50" s="6"/>
      <c r="JEK50" s="6"/>
      <c r="JEL50" s="6"/>
      <c r="JEM50" s="6"/>
      <c r="JEN50" s="6"/>
      <c r="JEO50" s="6"/>
      <c r="JEP50" s="6"/>
      <c r="JEQ50" s="6"/>
      <c r="JER50" s="6"/>
      <c r="JES50" s="6"/>
      <c r="JET50" s="6"/>
      <c r="JEU50" s="6"/>
      <c r="JEV50" s="6"/>
      <c r="JEW50" s="6"/>
      <c r="JEX50" s="6"/>
      <c r="JEY50" s="6"/>
      <c r="JEZ50" s="6"/>
      <c r="JFA50" s="6"/>
      <c r="JFB50" s="6"/>
      <c r="JFC50" s="6"/>
      <c r="JFD50" s="6"/>
      <c r="JFE50" s="6"/>
      <c r="JFF50" s="6"/>
      <c r="JFG50" s="6"/>
      <c r="JFH50" s="6"/>
      <c r="JFI50" s="6"/>
      <c r="JFJ50" s="6"/>
      <c r="JFK50" s="6"/>
      <c r="JFL50" s="6"/>
      <c r="JFM50" s="6"/>
      <c r="JFN50" s="6"/>
      <c r="JFO50" s="6"/>
      <c r="JFP50" s="6"/>
      <c r="JFQ50" s="6"/>
      <c r="JFR50" s="6"/>
      <c r="JFS50" s="6"/>
      <c r="JFT50" s="6"/>
      <c r="JFU50" s="6"/>
      <c r="JFV50" s="6"/>
      <c r="JFW50" s="6"/>
      <c r="JFX50" s="6"/>
      <c r="JFY50" s="6"/>
      <c r="JFZ50" s="6"/>
      <c r="JGA50" s="6"/>
      <c r="JGB50" s="6"/>
      <c r="JGC50" s="6"/>
      <c r="JGD50" s="6"/>
      <c r="JGE50" s="6"/>
      <c r="JGF50" s="6"/>
      <c r="JGG50" s="6"/>
      <c r="JGH50" s="6"/>
      <c r="JGI50" s="6"/>
      <c r="JGJ50" s="6"/>
      <c r="JGK50" s="6"/>
      <c r="JGL50" s="6"/>
      <c r="JGM50" s="6"/>
      <c r="JGN50" s="6"/>
      <c r="JGO50" s="6"/>
      <c r="JGP50" s="6"/>
      <c r="JGQ50" s="6"/>
      <c r="JGR50" s="6"/>
      <c r="JGS50" s="6"/>
      <c r="JGT50" s="6"/>
      <c r="JGU50" s="6"/>
      <c r="JGV50" s="6"/>
      <c r="JGW50" s="6"/>
      <c r="JGX50" s="6"/>
      <c r="JGY50" s="6"/>
      <c r="JGZ50" s="6"/>
      <c r="JHA50" s="6"/>
      <c r="JHB50" s="6"/>
      <c r="JHC50" s="6"/>
      <c r="JHD50" s="6"/>
      <c r="JHE50" s="6"/>
      <c r="JHF50" s="6"/>
      <c r="JHG50" s="6"/>
      <c r="JHH50" s="6"/>
      <c r="JHI50" s="6"/>
      <c r="JHJ50" s="6"/>
      <c r="JHK50" s="6"/>
      <c r="JHL50" s="6"/>
      <c r="JHM50" s="6"/>
      <c r="JHN50" s="6"/>
      <c r="JHO50" s="6"/>
      <c r="JHP50" s="6"/>
      <c r="JHQ50" s="6"/>
      <c r="JHR50" s="6"/>
      <c r="JHS50" s="6"/>
      <c r="JHT50" s="6"/>
      <c r="JHU50" s="6"/>
      <c r="JHV50" s="6"/>
      <c r="JHW50" s="6"/>
      <c r="JHX50" s="6"/>
      <c r="JHY50" s="6"/>
      <c r="JHZ50" s="6"/>
      <c r="JIA50" s="6"/>
      <c r="JIB50" s="6"/>
      <c r="JIC50" s="6"/>
      <c r="JID50" s="6"/>
      <c r="JIE50" s="6"/>
      <c r="JIF50" s="6"/>
      <c r="JIG50" s="6"/>
      <c r="JIH50" s="6"/>
      <c r="JII50" s="6"/>
      <c r="JIJ50" s="6"/>
      <c r="JIK50" s="6"/>
      <c r="JIL50" s="6"/>
      <c r="JIM50" s="6"/>
      <c r="JIN50" s="6"/>
      <c r="JIO50" s="6"/>
      <c r="JIP50" s="6"/>
      <c r="JIQ50" s="6"/>
      <c r="JIR50" s="6"/>
      <c r="JIS50" s="6"/>
      <c r="JIT50" s="6"/>
      <c r="JIU50" s="6"/>
      <c r="JIV50" s="6"/>
      <c r="JIW50" s="6"/>
      <c r="JIX50" s="6"/>
      <c r="JIY50" s="6"/>
      <c r="JIZ50" s="6"/>
      <c r="JJA50" s="6"/>
      <c r="JJB50" s="6"/>
      <c r="JJC50" s="6"/>
      <c r="JJD50" s="6"/>
      <c r="JJE50" s="6"/>
      <c r="JJF50" s="6"/>
      <c r="JJG50" s="6"/>
      <c r="JJH50" s="6"/>
      <c r="JJI50" s="6"/>
      <c r="JJJ50" s="6"/>
      <c r="JJK50" s="6"/>
      <c r="JJL50" s="6"/>
      <c r="JJM50" s="6"/>
      <c r="JJN50" s="6"/>
      <c r="JJO50" s="6"/>
      <c r="JJP50" s="6"/>
      <c r="JJQ50" s="6"/>
      <c r="JJR50" s="6"/>
      <c r="JJS50" s="6"/>
      <c r="JJT50" s="6"/>
      <c r="JJU50" s="6"/>
      <c r="JJV50" s="6"/>
      <c r="JJW50" s="6"/>
      <c r="JJX50" s="6"/>
      <c r="JJY50" s="6"/>
      <c r="JJZ50" s="6"/>
      <c r="JKA50" s="6"/>
      <c r="JKB50" s="6"/>
      <c r="JKC50" s="6"/>
      <c r="JKD50" s="6"/>
      <c r="JKE50" s="6"/>
      <c r="JKF50" s="6"/>
      <c r="JKG50" s="6"/>
      <c r="JKH50" s="6"/>
      <c r="JKI50" s="6"/>
      <c r="JKJ50" s="6"/>
      <c r="JKK50" s="6"/>
      <c r="JKL50" s="6"/>
      <c r="JKM50" s="6"/>
      <c r="JKN50" s="6"/>
      <c r="JKO50" s="6"/>
      <c r="JKP50" s="6"/>
      <c r="JKQ50" s="6"/>
      <c r="JKR50" s="6"/>
      <c r="JKS50" s="6"/>
      <c r="JKT50" s="6"/>
      <c r="JKU50" s="6"/>
      <c r="JKV50" s="6"/>
      <c r="JKW50" s="6"/>
      <c r="JKX50" s="6"/>
      <c r="JKY50" s="6"/>
      <c r="JKZ50" s="6"/>
      <c r="JLA50" s="6"/>
      <c r="JLB50" s="6"/>
      <c r="JLC50" s="6"/>
      <c r="JLD50" s="6"/>
      <c r="JLE50" s="6"/>
      <c r="JLF50" s="6"/>
      <c r="JLG50" s="6"/>
      <c r="JLH50" s="6"/>
      <c r="JLI50" s="6"/>
      <c r="JLJ50" s="6"/>
      <c r="JLK50" s="6"/>
      <c r="JLL50" s="6"/>
      <c r="JLM50" s="6"/>
      <c r="JLN50" s="6"/>
      <c r="JLO50" s="6"/>
      <c r="JLP50" s="6"/>
      <c r="JLQ50" s="6"/>
      <c r="JLR50" s="6"/>
      <c r="JLS50" s="6"/>
      <c r="JLT50" s="6"/>
      <c r="JLU50" s="6"/>
      <c r="JLV50" s="6"/>
      <c r="JLW50" s="6"/>
      <c r="JLX50" s="6"/>
      <c r="JLY50" s="6"/>
      <c r="JLZ50" s="6"/>
      <c r="JMA50" s="6"/>
      <c r="JMB50" s="6"/>
      <c r="JMC50" s="6"/>
      <c r="JMD50" s="6"/>
      <c r="JME50" s="6"/>
      <c r="JMF50" s="6"/>
      <c r="JMG50" s="6"/>
      <c r="JMH50" s="6"/>
      <c r="JMI50" s="6"/>
      <c r="JMJ50" s="6"/>
      <c r="JMK50" s="6"/>
      <c r="JML50" s="6"/>
      <c r="JMM50" s="6"/>
      <c r="JMN50" s="6"/>
      <c r="JMO50" s="6"/>
      <c r="JMP50" s="6"/>
      <c r="JMQ50" s="6"/>
      <c r="JMR50" s="6"/>
      <c r="JMS50" s="6"/>
      <c r="JMT50" s="6"/>
      <c r="JMU50" s="6"/>
      <c r="JMV50" s="6"/>
      <c r="JMW50" s="6"/>
      <c r="JMX50" s="6"/>
      <c r="JMY50" s="6"/>
      <c r="JMZ50" s="6"/>
      <c r="JNA50" s="6"/>
      <c r="JNB50" s="6"/>
      <c r="JNC50" s="6"/>
      <c r="JND50" s="6"/>
      <c r="JNE50" s="6"/>
      <c r="JNF50" s="6"/>
      <c r="JNG50" s="6"/>
      <c r="JNH50" s="6"/>
      <c r="JNI50" s="6"/>
      <c r="JNJ50" s="6"/>
      <c r="JNK50" s="6"/>
      <c r="JNL50" s="6"/>
      <c r="JNM50" s="6"/>
      <c r="JNN50" s="6"/>
      <c r="JNO50" s="6"/>
      <c r="JNP50" s="6"/>
      <c r="JNQ50" s="6"/>
      <c r="JNR50" s="6"/>
      <c r="JNS50" s="6"/>
      <c r="JNT50" s="6"/>
      <c r="JNU50" s="6"/>
      <c r="JNV50" s="6"/>
      <c r="JNW50" s="6"/>
      <c r="JNX50" s="6"/>
      <c r="JNY50" s="6"/>
      <c r="JNZ50" s="6"/>
      <c r="JOA50" s="6"/>
      <c r="JOB50" s="6"/>
      <c r="JOC50" s="6"/>
      <c r="JOD50" s="6"/>
      <c r="JOE50" s="6"/>
      <c r="JOF50" s="6"/>
      <c r="JOG50" s="6"/>
      <c r="JOH50" s="6"/>
      <c r="JOI50" s="6"/>
      <c r="JOJ50" s="6"/>
      <c r="JOK50" s="6"/>
      <c r="JOL50" s="6"/>
      <c r="JOM50" s="6"/>
      <c r="JON50" s="6"/>
      <c r="JOO50" s="6"/>
      <c r="JOP50" s="6"/>
      <c r="JOQ50" s="6"/>
      <c r="JOR50" s="6"/>
      <c r="JOS50" s="6"/>
      <c r="JOT50" s="6"/>
      <c r="JOU50" s="6"/>
      <c r="JOV50" s="6"/>
      <c r="JOW50" s="6"/>
      <c r="JOX50" s="6"/>
      <c r="JOY50" s="6"/>
      <c r="JOZ50" s="6"/>
      <c r="JPA50" s="6"/>
      <c r="JPB50" s="6"/>
      <c r="JPC50" s="6"/>
      <c r="JPD50" s="6"/>
      <c r="JPE50" s="6"/>
      <c r="JPF50" s="6"/>
      <c r="JPG50" s="6"/>
      <c r="JPH50" s="6"/>
      <c r="JPI50" s="6"/>
      <c r="JPJ50" s="6"/>
      <c r="JPK50" s="6"/>
      <c r="JPL50" s="6"/>
      <c r="JPM50" s="6"/>
      <c r="JPN50" s="6"/>
      <c r="JPO50" s="6"/>
      <c r="JPP50" s="6"/>
      <c r="JPQ50" s="6"/>
      <c r="JPR50" s="6"/>
      <c r="JPS50" s="6"/>
      <c r="JPT50" s="6"/>
      <c r="JPU50" s="6"/>
      <c r="JPV50" s="6"/>
      <c r="JPW50" s="6"/>
      <c r="JPX50" s="6"/>
      <c r="JPY50" s="6"/>
      <c r="JPZ50" s="6"/>
      <c r="JQA50" s="6"/>
      <c r="JQB50" s="6"/>
      <c r="JQC50" s="6"/>
      <c r="JQD50" s="6"/>
      <c r="JQE50" s="6"/>
      <c r="JQF50" s="6"/>
      <c r="JQG50" s="6"/>
      <c r="JQH50" s="6"/>
      <c r="JQI50" s="6"/>
      <c r="JQJ50" s="6"/>
      <c r="JQK50" s="6"/>
      <c r="JQL50" s="6"/>
      <c r="JQM50" s="6"/>
      <c r="JQN50" s="6"/>
      <c r="JQO50" s="6"/>
      <c r="JQP50" s="6"/>
      <c r="JQQ50" s="6"/>
      <c r="JQR50" s="6"/>
      <c r="JQS50" s="6"/>
      <c r="JQT50" s="6"/>
      <c r="JQU50" s="6"/>
      <c r="JQV50" s="6"/>
      <c r="JQW50" s="6"/>
      <c r="JQX50" s="6"/>
      <c r="JQY50" s="6"/>
      <c r="JQZ50" s="6"/>
      <c r="JRA50" s="6"/>
      <c r="JRB50" s="6"/>
      <c r="JRC50" s="6"/>
      <c r="JRD50" s="6"/>
      <c r="JRE50" s="6"/>
      <c r="JRF50" s="6"/>
      <c r="JRG50" s="6"/>
      <c r="JRH50" s="6"/>
      <c r="JRI50" s="6"/>
      <c r="JRJ50" s="6"/>
      <c r="JRK50" s="6"/>
      <c r="JRL50" s="6"/>
      <c r="JRM50" s="6"/>
      <c r="JRN50" s="6"/>
      <c r="JRO50" s="6"/>
      <c r="JRP50" s="6"/>
      <c r="JRQ50" s="6"/>
      <c r="JRR50" s="6"/>
      <c r="JRS50" s="6"/>
      <c r="JRT50" s="6"/>
      <c r="JRU50" s="6"/>
      <c r="JRV50" s="6"/>
      <c r="JRW50" s="6"/>
      <c r="JRX50" s="6"/>
      <c r="JRY50" s="6"/>
      <c r="JRZ50" s="6"/>
      <c r="JSA50" s="6"/>
      <c r="JSB50" s="6"/>
      <c r="JSC50" s="6"/>
      <c r="JSD50" s="6"/>
      <c r="JSE50" s="6"/>
      <c r="JSF50" s="6"/>
      <c r="JSG50" s="6"/>
      <c r="JSH50" s="6"/>
      <c r="JSI50" s="6"/>
      <c r="JSJ50" s="6"/>
      <c r="JSK50" s="6"/>
      <c r="JSL50" s="6"/>
      <c r="JSM50" s="6"/>
      <c r="JSN50" s="6"/>
      <c r="JSO50" s="6"/>
      <c r="JSP50" s="6"/>
      <c r="JSQ50" s="6"/>
      <c r="JSR50" s="6"/>
      <c r="JSS50" s="6"/>
      <c r="JST50" s="6"/>
      <c r="JSU50" s="6"/>
      <c r="JSV50" s="6"/>
      <c r="JSW50" s="6"/>
      <c r="JSX50" s="6"/>
      <c r="JSY50" s="6"/>
      <c r="JSZ50" s="6"/>
      <c r="JTA50" s="6"/>
      <c r="JTB50" s="6"/>
      <c r="JTC50" s="6"/>
      <c r="JTD50" s="6"/>
      <c r="JTE50" s="6"/>
      <c r="JTF50" s="6"/>
      <c r="JTG50" s="6"/>
      <c r="JTH50" s="6"/>
      <c r="JTI50" s="6"/>
      <c r="JTJ50" s="6"/>
      <c r="JTK50" s="6"/>
      <c r="JTL50" s="6"/>
      <c r="JTM50" s="6"/>
      <c r="JTN50" s="6"/>
      <c r="JTO50" s="6"/>
      <c r="JTP50" s="6"/>
      <c r="JTQ50" s="6"/>
      <c r="JTR50" s="6"/>
      <c r="JTS50" s="6"/>
      <c r="JTT50" s="6"/>
      <c r="JTU50" s="6"/>
      <c r="JTV50" s="6"/>
      <c r="JTW50" s="6"/>
      <c r="JTX50" s="6"/>
      <c r="JTY50" s="6"/>
      <c r="JTZ50" s="6"/>
      <c r="JUA50" s="6"/>
      <c r="JUB50" s="6"/>
      <c r="JUC50" s="6"/>
      <c r="JUD50" s="6"/>
      <c r="JUE50" s="6"/>
      <c r="JUF50" s="6"/>
      <c r="JUG50" s="6"/>
      <c r="JUH50" s="6"/>
      <c r="JUI50" s="6"/>
      <c r="JUJ50" s="6"/>
      <c r="JUK50" s="6"/>
      <c r="JUL50" s="6"/>
      <c r="JUM50" s="6"/>
      <c r="JUN50" s="6"/>
      <c r="JUO50" s="6"/>
      <c r="JUP50" s="6"/>
      <c r="JUQ50" s="6"/>
      <c r="JUR50" s="6"/>
      <c r="JUS50" s="6"/>
      <c r="JUT50" s="6"/>
      <c r="JUU50" s="6"/>
      <c r="JUV50" s="6"/>
      <c r="JUW50" s="6"/>
      <c r="JUX50" s="6"/>
      <c r="JUY50" s="6"/>
      <c r="JUZ50" s="6"/>
      <c r="JVA50" s="6"/>
      <c r="JVB50" s="6"/>
      <c r="JVC50" s="6"/>
      <c r="JVD50" s="6"/>
      <c r="JVE50" s="6"/>
      <c r="JVF50" s="6"/>
      <c r="JVG50" s="6"/>
      <c r="JVH50" s="6"/>
      <c r="JVI50" s="6"/>
      <c r="JVJ50" s="6"/>
      <c r="JVK50" s="6"/>
      <c r="JVL50" s="6"/>
      <c r="JVM50" s="6"/>
      <c r="JVN50" s="6"/>
      <c r="JVO50" s="6"/>
      <c r="JVP50" s="6"/>
      <c r="JVQ50" s="6"/>
      <c r="JVR50" s="6"/>
      <c r="JVS50" s="6"/>
      <c r="JVT50" s="6"/>
      <c r="JVU50" s="6"/>
      <c r="JVV50" s="6"/>
      <c r="JVW50" s="6"/>
      <c r="JVX50" s="6"/>
      <c r="JVY50" s="6"/>
      <c r="JVZ50" s="6"/>
      <c r="JWA50" s="6"/>
      <c r="JWB50" s="6"/>
      <c r="JWC50" s="6"/>
      <c r="JWD50" s="6"/>
      <c r="JWE50" s="6"/>
      <c r="JWF50" s="6"/>
      <c r="JWG50" s="6"/>
      <c r="JWH50" s="6"/>
      <c r="JWI50" s="6"/>
      <c r="JWJ50" s="6"/>
      <c r="JWK50" s="6"/>
      <c r="JWL50" s="6"/>
      <c r="JWM50" s="6"/>
      <c r="JWN50" s="6"/>
      <c r="JWO50" s="6"/>
      <c r="JWP50" s="6"/>
      <c r="JWQ50" s="6"/>
      <c r="JWR50" s="6"/>
      <c r="JWS50" s="6"/>
      <c r="JWT50" s="6"/>
      <c r="JWU50" s="6"/>
      <c r="JWV50" s="6"/>
      <c r="JWW50" s="6"/>
      <c r="JWX50" s="6"/>
      <c r="JWY50" s="6"/>
      <c r="JWZ50" s="6"/>
      <c r="JXA50" s="6"/>
      <c r="JXB50" s="6"/>
      <c r="JXC50" s="6"/>
      <c r="JXD50" s="6"/>
      <c r="JXE50" s="6"/>
      <c r="JXF50" s="6"/>
      <c r="JXG50" s="6"/>
      <c r="JXH50" s="6"/>
      <c r="JXI50" s="6"/>
      <c r="JXJ50" s="6"/>
      <c r="JXK50" s="6"/>
      <c r="JXL50" s="6"/>
      <c r="JXM50" s="6"/>
      <c r="JXN50" s="6"/>
      <c r="JXO50" s="6"/>
      <c r="JXP50" s="6"/>
      <c r="JXQ50" s="6"/>
      <c r="JXR50" s="6"/>
      <c r="JXS50" s="6"/>
      <c r="JXT50" s="6"/>
      <c r="JXU50" s="6"/>
      <c r="JXV50" s="6"/>
      <c r="JXW50" s="6"/>
      <c r="JXX50" s="6"/>
      <c r="JXY50" s="6"/>
      <c r="JXZ50" s="6"/>
      <c r="JYA50" s="6"/>
      <c r="JYB50" s="6"/>
      <c r="JYC50" s="6"/>
      <c r="JYD50" s="6"/>
      <c r="JYE50" s="6"/>
      <c r="JYF50" s="6"/>
      <c r="JYG50" s="6"/>
      <c r="JYH50" s="6"/>
      <c r="JYI50" s="6"/>
      <c r="JYJ50" s="6"/>
      <c r="JYK50" s="6"/>
      <c r="JYL50" s="6"/>
      <c r="JYM50" s="6"/>
      <c r="JYN50" s="6"/>
      <c r="JYO50" s="6"/>
      <c r="JYP50" s="6"/>
      <c r="JYQ50" s="6"/>
      <c r="JYR50" s="6"/>
      <c r="JYS50" s="6"/>
      <c r="JYT50" s="6"/>
      <c r="JYU50" s="6"/>
      <c r="JYV50" s="6"/>
      <c r="JYW50" s="6"/>
      <c r="JYX50" s="6"/>
      <c r="JYY50" s="6"/>
      <c r="JYZ50" s="6"/>
      <c r="JZA50" s="6"/>
      <c r="JZB50" s="6"/>
      <c r="JZC50" s="6"/>
      <c r="JZD50" s="6"/>
      <c r="JZE50" s="6"/>
      <c r="JZF50" s="6"/>
      <c r="JZG50" s="6"/>
      <c r="JZH50" s="6"/>
      <c r="JZI50" s="6"/>
      <c r="JZJ50" s="6"/>
      <c r="JZK50" s="6"/>
      <c r="JZL50" s="6"/>
      <c r="JZM50" s="6"/>
      <c r="JZN50" s="6"/>
      <c r="JZO50" s="6"/>
      <c r="JZP50" s="6"/>
      <c r="JZQ50" s="6"/>
      <c r="JZR50" s="6"/>
      <c r="JZS50" s="6"/>
      <c r="JZT50" s="6"/>
      <c r="JZU50" s="6"/>
      <c r="JZV50" s="6"/>
      <c r="JZW50" s="6"/>
      <c r="JZX50" s="6"/>
      <c r="JZY50" s="6"/>
      <c r="JZZ50" s="6"/>
      <c r="KAA50" s="6"/>
      <c r="KAB50" s="6"/>
      <c r="KAC50" s="6"/>
      <c r="KAD50" s="6"/>
      <c r="KAE50" s="6"/>
      <c r="KAF50" s="6"/>
      <c r="KAG50" s="6"/>
      <c r="KAH50" s="6"/>
      <c r="KAI50" s="6"/>
      <c r="KAJ50" s="6"/>
      <c r="KAK50" s="6"/>
      <c r="KAL50" s="6"/>
      <c r="KAM50" s="6"/>
      <c r="KAN50" s="6"/>
      <c r="KAO50" s="6"/>
      <c r="KAP50" s="6"/>
      <c r="KAQ50" s="6"/>
      <c r="KAR50" s="6"/>
      <c r="KAS50" s="6"/>
      <c r="KAT50" s="6"/>
      <c r="KAU50" s="6"/>
      <c r="KAV50" s="6"/>
      <c r="KAW50" s="6"/>
      <c r="KAX50" s="6"/>
      <c r="KAY50" s="6"/>
      <c r="KAZ50" s="6"/>
      <c r="KBA50" s="6"/>
      <c r="KBB50" s="6"/>
      <c r="KBC50" s="6"/>
      <c r="KBD50" s="6"/>
      <c r="KBE50" s="6"/>
      <c r="KBF50" s="6"/>
      <c r="KBG50" s="6"/>
      <c r="KBH50" s="6"/>
      <c r="KBI50" s="6"/>
      <c r="KBJ50" s="6"/>
      <c r="KBK50" s="6"/>
      <c r="KBL50" s="6"/>
      <c r="KBM50" s="6"/>
      <c r="KBN50" s="6"/>
      <c r="KBO50" s="6"/>
      <c r="KBP50" s="6"/>
      <c r="KBQ50" s="6"/>
      <c r="KBR50" s="6"/>
      <c r="KBS50" s="6"/>
      <c r="KBT50" s="6"/>
      <c r="KBU50" s="6"/>
      <c r="KBV50" s="6"/>
      <c r="KBW50" s="6"/>
      <c r="KBX50" s="6"/>
      <c r="KBY50" s="6"/>
      <c r="KBZ50" s="6"/>
      <c r="KCA50" s="6"/>
      <c r="KCB50" s="6"/>
      <c r="KCC50" s="6"/>
      <c r="KCD50" s="6"/>
      <c r="KCE50" s="6"/>
      <c r="KCF50" s="6"/>
      <c r="KCG50" s="6"/>
      <c r="KCH50" s="6"/>
      <c r="KCI50" s="6"/>
      <c r="KCJ50" s="6"/>
      <c r="KCK50" s="6"/>
      <c r="KCL50" s="6"/>
      <c r="KCM50" s="6"/>
      <c r="KCN50" s="6"/>
      <c r="KCO50" s="6"/>
      <c r="KCP50" s="6"/>
      <c r="KCQ50" s="6"/>
      <c r="KCR50" s="6"/>
      <c r="KCS50" s="6"/>
      <c r="KCT50" s="6"/>
      <c r="KCU50" s="6"/>
      <c r="KCV50" s="6"/>
      <c r="KCW50" s="6"/>
      <c r="KCX50" s="6"/>
      <c r="KCY50" s="6"/>
      <c r="KCZ50" s="6"/>
      <c r="KDA50" s="6"/>
      <c r="KDB50" s="6"/>
      <c r="KDC50" s="6"/>
      <c r="KDD50" s="6"/>
      <c r="KDE50" s="6"/>
      <c r="KDF50" s="6"/>
      <c r="KDG50" s="6"/>
      <c r="KDH50" s="6"/>
      <c r="KDI50" s="6"/>
      <c r="KDJ50" s="6"/>
      <c r="KDK50" s="6"/>
      <c r="KDL50" s="6"/>
      <c r="KDM50" s="6"/>
      <c r="KDN50" s="6"/>
      <c r="KDO50" s="6"/>
      <c r="KDP50" s="6"/>
      <c r="KDQ50" s="6"/>
      <c r="KDR50" s="6"/>
      <c r="KDS50" s="6"/>
      <c r="KDT50" s="6"/>
      <c r="KDU50" s="6"/>
      <c r="KDV50" s="6"/>
      <c r="KDW50" s="6"/>
      <c r="KDX50" s="6"/>
      <c r="KDY50" s="6"/>
      <c r="KDZ50" s="6"/>
      <c r="KEA50" s="6"/>
      <c r="KEB50" s="6"/>
      <c r="KEC50" s="6"/>
      <c r="KED50" s="6"/>
      <c r="KEE50" s="6"/>
      <c r="KEF50" s="6"/>
      <c r="KEG50" s="6"/>
      <c r="KEH50" s="6"/>
      <c r="KEI50" s="6"/>
      <c r="KEJ50" s="6"/>
      <c r="KEK50" s="6"/>
      <c r="KEL50" s="6"/>
      <c r="KEM50" s="6"/>
      <c r="KEN50" s="6"/>
      <c r="KEO50" s="6"/>
      <c r="KEP50" s="6"/>
      <c r="KEQ50" s="6"/>
      <c r="KER50" s="6"/>
      <c r="KES50" s="6"/>
      <c r="KET50" s="6"/>
      <c r="KEU50" s="6"/>
      <c r="KEV50" s="6"/>
      <c r="KEW50" s="6"/>
      <c r="KEX50" s="6"/>
      <c r="KEY50" s="6"/>
      <c r="KEZ50" s="6"/>
      <c r="KFA50" s="6"/>
      <c r="KFB50" s="6"/>
      <c r="KFC50" s="6"/>
      <c r="KFD50" s="6"/>
      <c r="KFE50" s="6"/>
      <c r="KFF50" s="6"/>
      <c r="KFG50" s="6"/>
      <c r="KFH50" s="6"/>
      <c r="KFI50" s="6"/>
      <c r="KFJ50" s="6"/>
      <c r="KFK50" s="6"/>
      <c r="KFL50" s="6"/>
      <c r="KFM50" s="6"/>
      <c r="KFN50" s="6"/>
      <c r="KFO50" s="6"/>
      <c r="KFP50" s="6"/>
      <c r="KFQ50" s="6"/>
      <c r="KFR50" s="6"/>
      <c r="KFS50" s="6"/>
      <c r="KFT50" s="6"/>
      <c r="KFU50" s="6"/>
      <c r="KFV50" s="6"/>
      <c r="KFW50" s="6"/>
      <c r="KFX50" s="6"/>
      <c r="KFY50" s="6"/>
      <c r="KFZ50" s="6"/>
      <c r="KGA50" s="6"/>
      <c r="KGB50" s="6"/>
      <c r="KGC50" s="6"/>
      <c r="KGD50" s="6"/>
      <c r="KGE50" s="6"/>
      <c r="KGF50" s="6"/>
      <c r="KGG50" s="6"/>
      <c r="KGH50" s="6"/>
      <c r="KGI50" s="6"/>
      <c r="KGJ50" s="6"/>
      <c r="KGK50" s="6"/>
      <c r="KGL50" s="6"/>
      <c r="KGM50" s="6"/>
      <c r="KGN50" s="6"/>
      <c r="KGO50" s="6"/>
      <c r="KGP50" s="6"/>
      <c r="KGQ50" s="6"/>
      <c r="KGR50" s="6"/>
      <c r="KGS50" s="6"/>
      <c r="KGT50" s="6"/>
      <c r="KGU50" s="6"/>
      <c r="KGV50" s="6"/>
      <c r="KGW50" s="6"/>
      <c r="KGX50" s="6"/>
      <c r="KGY50" s="6"/>
      <c r="KGZ50" s="6"/>
      <c r="KHA50" s="6"/>
      <c r="KHB50" s="6"/>
      <c r="KHC50" s="6"/>
      <c r="KHD50" s="6"/>
      <c r="KHE50" s="6"/>
      <c r="KHF50" s="6"/>
      <c r="KHG50" s="6"/>
      <c r="KHH50" s="6"/>
      <c r="KHI50" s="6"/>
      <c r="KHJ50" s="6"/>
      <c r="KHK50" s="6"/>
      <c r="KHL50" s="6"/>
      <c r="KHM50" s="6"/>
      <c r="KHN50" s="6"/>
      <c r="KHO50" s="6"/>
      <c r="KHP50" s="6"/>
      <c r="KHQ50" s="6"/>
      <c r="KHR50" s="6"/>
      <c r="KHS50" s="6"/>
      <c r="KHT50" s="6"/>
      <c r="KHU50" s="6"/>
      <c r="KHV50" s="6"/>
      <c r="KHW50" s="6"/>
      <c r="KHX50" s="6"/>
      <c r="KHY50" s="6"/>
      <c r="KHZ50" s="6"/>
      <c r="KIA50" s="6"/>
      <c r="KIB50" s="6"/>
      <c r="KIC50" s="6"/>
      <c r="KID50" s="6"/>
      <c r="KIE50" s="6"/>
      <c r="KIF50" s="6"/>
      <c r="KIG50" s="6"/>
      <c r="KIH50" s="6"/>
      <c r="KII50" s="6"/>
      <c r="KIJ50" s="6"/>
      <c r="KIK50" s="6"/>
      <c r="KIL50" s="6"/>
      <c r="KIM50" s="6"/>
      <c r="KIN50" s="6"/>
      <c r="KIO50" s="6"/>
      <c r="KIP50" s="6"/>
      <c r="KIQ50" s="6"/>
      <c r="KIR50" s="6"/>
      <c r="KIS50" s="6"/>
      <c r="KIT50" s="6"/>
      <c r="KIU50" s="6"/>
      <c r="KIV50" s="6"/>
      <c r="KIW50" s="6"/>
      <c r="KIX50" s="6"/>
      <c r="KIY50" s="6"/>
      <c r="KIZ50" s="6"/>
      <c r="KJA50" s="6"/>
      <c r="KJB50" s="6"/>
      <c r="KJC50" s="6"/>
      <c r="KJD50" s="6"/>
      <c r="KJE50" s="6"/>
      <c r="KJF50" s="6"/>
      <c r="KJG50" s="6"/>
      <c r="KJH50" s="6"/>
      <c r="KJI50" s="6"/>
      <c r="KJJ50" s="6"/>
      <c r="KJK50" s="6"/>
      <c r="KJL50" s="6"/>
      <c r="KJM50" s="6"/>
      <c r="KJN50" s="6"/>
      <c r="KJO50" s="6"/>
      <c r="KJP50" s="6"/>
      <c r="KJQ50" s="6"/>
      <c r="KJR50" s="6"/>
      <c r="KJS50" s="6"/>
      <c r="KJT50" s="6"/>
      <c r="KJU50" s="6"/>
      <c r="KJV50" s="6"/>
      <c r="KJW50" s="6"/>
      <c r="KJX50" s="6"/>
      <c r="KJY50" s="6"/>
      <c r="KJZ50" s="6"/>
      <c r="KKA50" s="6"/>
      <c r="KKB50" s="6"/>
      <c r="KKC50" s="6"/>
      <c r="KKD50" s="6"/>
      <c r="KKE50" s="6"/>
      <c r="KKF50" s="6"/>
      <c r="KKG50" s="6"/>
      <c r="KKH50" s="6"/>
      <c r="KKI50" s="6"/>
      <c r="KKJ50" s="6"/>
      <c r="KKK50" s="6"/>
      <c r="KKL50" s="6"/>
      <c r="KKM50" s="6"/>
      <c r="KKN50" s="6"/>
      <c r="KKO50" s="6"/>
      <c r="KKP50" s="6"/>
      <c r="KKQ50" s="6"/>
      <c r="KKR50" s="6"/>
      <c r="KKS50" s="6"/>
      <c r="KKT50" s="6"/>
      <c r="KKU50" s="6"/>
      <c r="KKV50" s="6"/>
      <c r="KKW50" s="6"/>
      <c r="KKX50" s="6"/>
      <c r="KKY50" s="6"/>
      <c r="KKZ50" s="6"/>
      <c r="KLA50" s="6"/>
      <c r="KLB50" s="6"/>
      <c r="KLC50" s="6"/>
      <c r="KLD50" s="6"/>
      <c r="KLE50" s="6"/>
      <c r="KLF50" s="6"/>
      <c r="KLG50" s="6"/>
      <c r="KLH50" s="6"/>
      <c r="KLI50" s="6"/>
      <c r="KLJ50" s="6"/>
      <c r="KLK50" s="6"/>
      <c r="KLL50" s="6"/>
      <c r="KLM50" s="6"/>
      <c r="KLN50" s="6"/>
      <c r="KLO50" s="6"/>
      <c r="KLP50" s="6"/>
      <c r="KLQ50" s="6"/>
      <c r="KLR50" s="6"/>
      <c r="KLS50" s="6"/>
      <c r="KLT50" s="6"/>
      <c r="KLU50" s="6"/>
      <c r="KLV50" s="6"/>
      <c r="KLW50" s="6"/>
      <c r="KLX50" s="6"/>
      <c r="KLY50" s="6"/>
      <c r="KLZ50" s="6"/>
      <c r="KMA50" s="6"/>
      <c r="KMB50" s="6"/>
      <c r="KMC50" s="6"/>
      <c r="KMD50" s="6"/>
      <c r="KME50" s="6"/>
      <c r="KMF50" s="6"/>
      <c r="KMG50" s="6"/>
      <c r="KMH50" s="6"/>
      <c r="KMI50" s="6"/>
      <c r="KMJ50" s="6"/>
      <c r="KMK50" s="6"/>
      <c r="KML50" s="6"/>
      <c r="KMM50" s="6"/>
      <c r="KMN50" s="6"/>
      <c r="KMO50" s="6"/>
      <c r="KMP50" s="6"/>
      <c r="KMQ50" s="6"/>
      <c r="KMR50" s="6"/>
      <c r="KMS50" s="6"/>
      <c r="KMT50" s="6"/>
      <c r="KMU50" s="6"/>
      <c r="KMV50" s="6"/>
      <c r="KMW50" s="6"/>
      <c r="KMX50" s="6"/>
      <c r="KMY50" s="6"/>
      <c r="KMZ50" s="6"/>
      <c r="KNA50" s="6"/>
      <c r="KNB50" s="6"/>
      <c r="KNC50" s="6"/>
      <c r="KND50" s="6"/>
      <c r="KNE50" s="6"/>
      <c r="KNF50" s="6"/>
      <c r="KNG50" s="6"/>
      <c r="KNH50" s="6"/>
      <c r="KNI50" s="6"/>
      <c r="KNJ50" s="6"/>
      <c r="KNK50" s="6"/>
      <c r="KNL50" s="6"/>
      <c r="KNM50" s="6"/>
      <c r="KNN50" s="6"/>
      <c r="KNO50" s="6"/>
      <c r="KNP50" s="6"/>
      <c r="KNQ50" s="6"/>
      <c r="KNR50" s="6"/>
      <c r="KNS50" s="6"/>
      <c r="KNT50" s="6"/>
      <c r="KNU50" s="6"/>
      <c r="KNV50" s="6"/>
      <c r="KNW50" s="6"/>
      <c r="KNX50" s="6"/>
      <c r="KNY50" s="6"/>
      <c r="KNZ50" s="6"/>
      <c r="KOA50" s="6"/>
      <c r="KOB50" s="6"/>
      <c r="KOC50" s="6"/>
      <c r="KOD50" s="6"/>
      <c r="KOE50" s="6"/>
      <c r="KOF50" s="6"/>
      <c r="KOG50" s="6"/>
      <c r="KOH50" s="6"/>
      <c r="KOI50" s="6"/>
      <c r="KOJ50" s="6"/>
      <c r="KOK50" s="6"/>
      <c r="KOL50" s="6"/>
      <c r="KOM50" s="6"/>
      <c r="KON50" s="6"/>
      <c r="KOO50" s="6"/>
      <c r="KOP50" s="6"/>
      <c r="KOQ50" s="6"/>
      <c r="KOR50" s="6"/>
      <c r="KOS50" s="6"/>
      <c r="KOT50" s="6"/>
      <c r="KOU50" s="6"/>
      <c r="KOV50" s="6"/>
      <c r="KOW50" s="6"/>
      <c r="KOX50" s="6"/>
      <c r="KOY50" s="6"/>
      <c r="KOZ50" s="6"/>
      <c r="KPA50" s="6"/>
      <c r="KPB50" s="6"/>
      <c r="KPC50" s="6"/>
      <c r="KPD50" s="6"/>
      <c r="KPE50" s="6"/>
      <c r="KPF50" s="6"/>
      <c r="KPG50" s="6"/>
      <c r="KPH50" s="6"/>
      <c r="KPI50" s="6"/>
      <c r="KPJ50" s="6"/>
      <c r="KPK50" s="6"/>
      <c r="KPL50" s="6"/>
      <c r="KPM50" s="6"/>
      <c r="KPN50" s="6"/>
      <c r="KPO50" s="6"/>
      <c r="KPP50" s="6"/>
      <c r="KPQ50" s="6"/>
      <c r="KPR50" s="6"/>
      <c r="KPS50" s="6"/>
      <c r="KPT50" s="6"/>
      <c r="KPU50" s="6"/>
      <c r="KPV50" s="6"/>
      <c r="KPW50" s="6"/>
      <c r="KPX50" s="6"/>
      <c r="KPY50" s="6"/>
      <c r="KPZ50" s="6"/>
      <c r="KQA50" s="6"/>
      <c r="KQB50" s="6"/>
      <c r="KQC50" s="6"/>
      <c r="KQD50" s="6"/>
      <c r="KQE50" s="6"/>
      <c r="KQF50" s="6"/>
      <c r="KQG50" s="6"/>
      <c r="KQH50" s="6"/>
      <c r="KQI50" s="6"/>
      <c r="KQJ50" s="6"/>
      <c r="KQK50" s="6"/>
      <c r="KQL50" s="6"/>
      <c r="KQM50" s="6"/>
      <c r="KQN50" s="6"/>
      <c r="KQO50" s="6"/>
      <c r="KQP50" s="6"/>
      <c r="KQQ50" s="6"/>
      <c r="KQR50" s="6"/>
      <c r="KQS50" s="6"/>
      <c r="KQT50" s="6"/>
      <c r="KQU50" s="6"/>
      <c r="KQV50" s="6"/>
      <c r="KQW50" s="6"/>
      <c r="KQX50" s="6"/>
      <c r="KQY50" s="6"/>
      <c r="KQZ50" s="6"/>
      <c r="KRA50" s="6"/>
      <c r="KRB50" s="6"/>
      <c r="KRC50" s="6"/>
      <c r="KRD50" s="6"/>
      <c r="KRE50" s="6"/>
      <c r="KRF50" s="6"/>
      <c r="KRG50" s="6"/>
      <c r="KRH50" s="6"/>
      <c r="KRI50" s="6"/>
      <c r="KRJ50" s="6"/>
      <c r="KRK50" s="6"/>
      <c r="KRL50" s="6"/>
      <c r="KRM50" s="6"/>
      <c r="KRN50" s="6"/>
      <c r="KRO50" s="6"/>
      <c r="KRP50" s="6"/>
      <c r="KRQ50" s="6"/>
      <c r="KRR50" s="6"/>
      <c r="KRS50" s="6"/>
      <c r="KRT50" s="6"/>
      <c r="KRU50" s="6"/>
      <c r="KRV50" s="6"/>
      <c r="KRW50" s="6"/>
      <c r="KRX50" s="6"/>
      <c r="KRY50" s="6"/>
      <c r="KRZ50" s="6"/>
      <c r="KSA50" s="6"/>
      <c r="KSB50" s="6"/>
      <c r="KSC50" s="6"/>
      <c r="KSD50" s="6"/>
      <c r="KSE50" s="6"/>
      <c r="KSF50" s="6"/>
      <c r="KSG50" s="6"/>
      <c r="KSH50" s="6"/>
      <c r="KSI50" s="6"/>
      <c r="KSJ50" s="6"/>
      <c r="KSK50" s="6"/>
      <c r="KSL50" s="6"/>
      <c r="KSM50" s="6"/>
      <c r="KSN50" s="6"/>
      <c r="KSO50" s="6"/>
      <c r="KSP50" s="6"/>
      <c r="KSQ50" s="6"/>
      <c r="KSR50" s="6"/>
      <c r="KSS50" s="6"/>
      <c r="KST50" s="6"/>
      <c r="KSU50" s="6"/>
      <c r="KSV50" s="6"/>
      <c r="KSW50" s="6"/>
      <c r="KSX50" s="6"/>
      <c r="KSY50" s="6"/>
      <c r="KSZ50" s="6"/>
      <c r="KTA50" s="6"/>
      <c r="KTB50" s="6"/>
      <c r="KTC50" s="6"/>
      <c r="KTD50" s="6"/>
      <c r="KTE50" s="6"/>
      <c r="KTF50" s="6"/>
      <c r="KTG50" s="6"/>
      <c r="KTH50" s="6"/>
      <c r="KTI50" s="6"/>
      <c r="KTJ50" s="6"/>
      <c r="KTK50" s="6"/>
      <c r="KTL50" s="6"/>
      <c r="KTM50" s="6"/>
      <c r="KTN50" s="6"/>
      <c r="KTO50" s="6"/>
      <c r="KTP50" s="6"/>
      <c r="KTQ50" s="6"/>
      <c r="KTR50" s="6"/>
      <c r="KTS50" s="6"/>
      <c r="KTT50" s="6"/>
      <c r="KTU50" s="6"/>
      <c r="KTV50" s="6"/>
      <c r="KTW50" s="6"/>
      <c r="KTX50" s="6"/>
      <c r="KTY50" s="6"/>
      <c r="KTZ50" s="6"/>
      <c r="KUA50" s="6"/>
      <c r="KUB50" s="6"/>
      <c r="KUC50" s="6"/>
      <c r="KUD50" s="6"/>
      <c r="KUE50" s="6"/>
      <c r="KUF50" s="6"/>
      <c r="KUG50" s="6"/>
      <c r="KUH50" s="6"/>
      <c r="KUI50" s="6"/>
      <c r="KUJ50" s="6"/>
      <c r="KUK50" s="6"/>
      <c r="KUL50" s="6"/>
      <c r="KUM50" s="6"/>
      <c r="KUN50" s="6"/>
      <c r="KUO50" s="6"/>
      <c r="KUP50" s="6"/>
      <c r="KUQ50" s="6"/>
      <c r="KUR50" s="6"/>
      <c r="KUS50" s="6"/>
      <c r="KUT50" s="6"/>
      <c r="KUU50" s="6"/>
      <c r="KUV50" s="6"/>
      <c r="KUW50" s="6"/>
      <c r="KUX50" s="6"/>
      <c r="KUY50" s="6"/>
      <c r="KUZ50" s="6"/>
      <c r="KVA50" s="6"/>
      <c r="KVB50" s="6"/>
      <c r="KVC50" s="6"/>
      <c r="KVD50" s="6"/>
      <c r="KVE50" s="6"/>
      <c r="KVF50" s="6"/>
      <c r="KVG50" s="6"/>
      <c r="KVH50" s="6"/>
      <c r="KVI50" s="6"/>
      <c r="KVJ50" s="6"/>
      <c r="KVK50" s="6"/>
      <c r="KVL50" s="6"/>
      <c r="KVM50" s="6"/>
      <c r="KVN50" s="6"/>
      <c r="KVO50" s="6"/>
      <c r="KVP50" s="6"/>
      <c r="KVQ50" s="6"/>
      <c r="KVR50" s="6"/>
      <c r="KVS50" s="6"/>
      <c r="KVT50" s="6"/>
      <c r="KVU50" s="6"/>
      <c r="KVV50" s="6"/>
      <c r="KVW50" s="6"/>
      <c r="KVX50" s="6"/>
      <c r="KVY50" s="6"/>
      <c r="KVZ50" s="6"/>
      <c r="KWA50" s="6"/>
      <c r="KWB50" s="6"/>
      <c r="KWC50" s="6"/>
      <c r="KWD50" s="6"/>
      <c r="KWE50" s="6"/>
      <c r="KWF50" s="6"/>
      <c r="KWG50" s="6"/>
      <c r="KWH50" s="6"/>
      <c r="KWI50" s="6"/>
      <c r="KWJ50" s="6"/>
      <c r="KWK50" s="6"/>
      <c r="KWL50" s="6"/>
      <c r="KWM50" s="6"/>
      <c r="KWN50" s="6"/>
      <c r="KWO50" s="6"/>
      <c r="KWP50" s="6"/>
      <c r="KWQ50" s="6"/>
      <c r="KWR50" s="6"/>
      <c r="KWS50" s="6"/>
      <c r="KWT50" s="6"/>
      <c r="KWU50" s="6"/>
      <c r="KWV50" s="6"/>
      <c r="KWW50" s="6"/>
      <c r="KWX50" s="6"/>
      <c r="KWY50" s="6"/>
      <c r="KWZ50" s="6"/>
      <c r="KXA50" s="6"/>
      <c r="KXB50" s="6"/>
      <c r="KXC50" s="6"/>
      <c r="KXD50" s="6"/>
      <c r="KXE50" s="6"/>
      <c r="KXF50" s="6"/>
      <c r="KXG50" s="6"/>
      <c r="KXH50" s="6"/>
      <c r="KXI50" s="6"/>
      <c r="KXJ50" s="6"/>
      <c r="KXK50" s="6"/>
      <c r="KXL50" s="6"/>
      <c r="KXM50" s="6"/>
      <c r="KXN50" s="6"/>
      <c r="KXO50" s="6"/>
      <c r="KXP50" s="6"/>
      <c r="KXQ50" s="6"/>
      <c r="KXR50" s="6"/>
      <c r="KXS50" s="6"/>
      <c r="KXT50" s="6"/>
      <c r="KXU50" s="6"/>
      <c r="KXV50" s="6"/>
      <c r="KXW50" s="6"/>
      <c r="KXX50" s="6"/>
      <c r="KXY50" s="6"/>
      <c r="KXZ50" s="6"/>
      <c r="KYA50" s="6"/>
      <c r="KYB50" s="6"/>
      <c r="KYC50" s="6"/>
      <c r="KYD50" s="6"/>
      <c r="KYE50" s="6"/>
      <c r="KYF50" s="6"/>
      <c r="KYG50" s="6"/>
      <c r="KYH50" s="6"/>
      <c r="KYI50" s="6"/>
      <c r="KYJ50" s="6"/>
      <c r="KYK50" s="6"/>
      <c r="KYL50" s="6"/>
      <c r="KYM50" s="6"/>
      <c r="KYN50" s="6"/>
      <c r="KYO50" s="6"/>
      <c r="KYP50" s="6"/>
      <c r="KYQ50" s="6"/>
      <c r="KYR50" s="6"/>
      <c r="KYS50" s="6"/>
      <c r="KYT50" s="6"/>
      <c r="KYU50" s="6"/>
      <c r="KYV50" s="6"/>
      <c r="KYW50" s="6"/>
      <c r="KYX50" s="6"/>
      <c r="KYY50" s="6"/>
      <c r="KYZ50" s="6"/>
      <c r="KZA50" s="6"/>
      <c r="KZB50" s="6"/>
      <c r="KZC50" s="6"/>
      <c r="KZD50" s="6"/>
      <c r="KZE50" s="6"/>
      <c r="KZF50" s="6"/>
      <c r="KZG50" s="6"/>
      <c r="KZH50" s="6"/>
      <c r="KZI50" s="6"/>
      <c r="KZJ50" s="6"/>
      <c r="KZK50" s="6"/>
      <c r="KZL50" s="6"/>
      <c r="KZM50" s="6"/>
      <c r="KZN50" s="6"/>
      <c r="KZO50" s="6"/>
      <c r="KZP50" s="6"/>
      <c r="KZQ50" s="6"/>
      <c r="KZR50" s="6"/>
      <c r="KZS50" s="6"/>
      <c r="KZT50" s="6"/>
      <c r="KZU50" s="6"/>
      <c r="KZV50" s="6"/>
      <c r="KZW50" s="6"/>
      <c r="KZX50" s="6"/>
      <c r="KZY50" s="6"/>
      <c r="KZZ50" s="6"/>
      <c r="LAA50" s="6"/>
      <c r="LAB50" s="6"/>
      <c r="LAC50" s="6"/>
      <c r="LAD50" s="6"/>
      <c r="LAE50" s="6"/>
      <c r="LAF50" s="6"/>
      <c r="LAG50" s="6"/>
      <c r="LAH50" s="6"/>
      <c r="LAI50" s="6"/>
      <c r="LAJ50" s="6"/>
      <c r="LAK50" s="6"/>
      <c r="LAL50" s="6"/>
      <c r="LAM50" s="6"/>
      <c r="LAN50" s="6"/>
      <c r="LAO50" s="6"/>
      <c r="LAP50" s="6"/>
      <c r="LAQ50" s="6"/>
      <c r="LAR50" s="6"/>
      <c r="LAS50" s="6"/>
      <c r="LAT50" s="6"/>
      <c r="LAU50" s="6"/>
      <c r="LAV50" s="6"/>
      <c r="LAW50" s="6"/>
      <c r="LAX50" s="6"/>
      <c r="LAY50" s="6"/>
      <c r="LAZ50" s="6"/>
      <c r="LBA50" s="6"/>
      <c r="LBB50" s="6"/>
      <c r="LBC50" s="6"/>
      <c r="LBD50" s="6"/>
      <c r="LBE50" s="6"/>
      <c r="LBF50" s="6"/>
      <c r="LBG50" s="6"/>
      <c r="LBH50" s="6"/>
      <c r="LBI50" s="6"/>
      <c r="LBJ50" s="6"/>
      <c r="LBK50" s="6"/>
      <c r="LBL50" s="6"/>
      <c r="LBM50" s="6"/>
      <c r="LBN50" s="6"/>
      <c r="LBO50" s="6"/>
      <c r="LBP50" s="6"/>
      <c r="LBQ50" s="6"/>
      <c r="LBR50" s="6"/>
      <c r="LBS50" s="6"/>
      <c r="LBT50" s="6"/>
      <c r="LBU50" s="6"/>
      <c r="LBV50" s="6"/>
      <c r="LBW50" s="6"/>
      <c r="LBX50" s="6"/>
      <c r="LBY50" s="6"/>
      <c r="LBZ50" s="6"/>
      <c r="LCA50" s="6"/>
      <c r="LCB50" s="6"/>
      <c r="LCC50" s="6"/>
      <c r="LCD50" s="6"/>
      <c r="LCE50" s="6"/>
      <c r="LCF50" s="6"/>
      <c r="LCG50" s="6"/>
      <c r="LCH50" s="6"/>
      <c r="LCI50" s="6"/>
      <c r="LCJ50" s="6"/>
      <c r="LCK50" s="6"/>
      <c r="LCL50" s="6"/>
      <c r="LCM50" s="6"/>
      <c r="LCN50" s="6"/>
      <c r="LCO50" s="6"/>
      <c r="LCP50" s="6"/>
      <c r="LCQ50" s="6"/>
      <c r="LCR50" s="6"/>
      <c r="LCS50" s="6"/>
      <c r="LCT50" s="6"/>
      <c r="LCU50" s="6"/>
      <c r="LCV50" s="6"/>
      <c r="LCW50" s="6"/>
      <c r="LCX50" s="6"/>
      <c r="LCY50" s="6"/>
      <c r="LCZ50" s="6"/>
      <c r="LDA50" s="6"/>
      <c r="LDB50" s="6"/>
      <c r="LDC50" s="6"/>
      <c r="LDD50" s="6"/>
      <c r="LDE50" s="6"/>
      <c r="LDF50" s="6"/>
      <c r="LDG50" s="6"/>
      <c r="LDH50" s="6"/>
      <c r="LDI50" s="6"/>
      <c r="LDJ50" s="6"/>
      <c r="LDK50" s="6"/>
      <c r="LDL50" s="6"/>
      <c r="LDM50" s="6"/>
      <c r="LDN50" s="6"/>
      <c r="LDO50" s="6"/>
      <c r="LDP50" s="6"/>
      <c r="LDQ50" s="6"/>
      <c r="LDR50" s="6"/>
      <c r="LDS50" s="6"/>
      <c r="LDT50" s="6"/>
      <c r="LDU50" s="6"/>
      <c r="LDV50" s="6"/>
      <c r="LDW50" s="6"/>
      <c r="LDX50" s="6"/>
      <c r="LDY50" s="6"/>
      <c r="LDZ50" s="6"/>
      <c r="LEA50" s="6"/>
      <c r="LEB50" s="6"/>
      <c r="LEC50" s="6"/>
      <c r="LED50" s="6"/>
      <c r="LEE50" s="6"/>
      <c r="LEF50" s="6"/>
      <c r="LEG50" s="6"/>
      <c r="LEH50" s="6"/>
      <c r="LEI50" s="6"/>
      <c r="LEJ50" s="6"/>
      <c r="LEK50" s="6"/>
      <c r="LEL50" s="6"/>
      <c r="LEM50" s="6"/>
      <c r="LEN50" s="6"/>
      <c r="LEO50" s="6"/>
      <c r="LEP50" s="6"/>
      <c r="LEQ50" s="6"/>
      <c r="LER50" s="6"/>
      <c r="LES50" s="6"/>
      <c r="LET50" s="6"/>
      <c r="LEU50" s="6"/>
      <c r="LEV50" s="6"/>
      <c r="LEW50" s="6"/>
      <c r="LEX50" s="6"/>
      <c r="LEY50" s="6"/>
      <c r="LEZ50" s="6"/>
      <c r="LFA50" s="6"/>
      <c r="LFB50" s="6"/>
      <c r="LFC50" s="6"/>
      <c r="LFD50" s="6"/>
      <c r="LFE50" s="6"/>
      <c r="LFF50" s="6"/>
      <c r="LFG50" s="6"/>
      <c r="LFH50" s="6"/>
      <c r="LFI50" s="6"/>
      <c r="LFJ50" s="6"/>
      <c r="LFK50" s="6"/>
      <c r="LFL50" s="6"/>
      <c r="LFM50" s="6"/>
      <c r="LFN50" s="6"/>
      <c r="LFO50" s="6"/>
      <c r="LFP50" s="6"/>
      <c r="LFQ50" s="6"/>
      <c r="LFR50" s="6"/>
      <c r="LFS50" s="6"/>
      <c r="LFT50" s="6"/>
      <c r="LFU50" s="6"/>
      <c r="LFV50" s="6"/>
      <c r="LFW50" s="6"/>
      <c r="LFX50" s="6"/>
      <c r="LFY50" s="6"/>
      <c r="LFZ50" s="6"/>
      <c r="LGA50" s="6"/>
      <c r="LGB50" s="6"/>
      <c r="LGC50" s="6"/>
      <c r="LGD50" s="6"/>
      <c r="LGE50" s="6"/>
      <c r="LGF50" s="6"/>
      <c r="LGG50" s="6"/>
      <c r="LGH50" s="6"/>
      <c r="LGI50" s="6"/>
      <c r="LGJ50" s="6"/>
      <c r="LGK50" s="6"/>
      <c r="LGL50" s="6"/>
      <c r="LGM50" s="6"/>
      <c r="LGN50" s="6"/>
      <c r="LGO50" s="6"/>
      <c r="LGP50" s="6"/>
      <c r="LGQ50" s="6"/>
      <c r="LGR50" s="6"/>
      <c r="LGS50" s="6"/>
      <c r="LGT50" s="6"/>
      <c r="LGU50" s="6"/>
      <c r="LGV50" s="6"/>
      <c r="LGW50" s="6"/>
      <c r="LGX50" s="6"/>
      <c r="LGY50" s="6"/>
      <c r="LGZ50" s="6"/>
      <c r="LHA50" s="6"/>
      <c r="LHB50" s="6"/>
      <c r="LHC50" s="6"/>
      <c r="LHD50" s="6"/>
      <c r="LHE50" s="6"/>
      <c r="LHF50" s="6"/>
      <c r="LHG50" s="6"/>
      <c r="LHH50" s="6"/>
      <c r="LHI50" s="6"/>
      <c r="LHJ50" s="6"/>
      <c r="LHK50" s="6"/>
      <c r="LHL50" s="6"/>
      <c r="LHM50" s="6"/>
      <c r="LHN50" s="6"/>
      <c r="LHO50" s="6"/>
      <c r="LHP50" s="6"/>
      <c r="LHQ50" s="6"/>
      <c r="LHR50" s="6"/>
      <c r="LHS50" s="6"/>
      <c r="LHT50" s="6"/>
      <c r="LHU50" s="6"/>
      <c r="LHV50" s="6"/>
      <c r="LHW50" s="6"/>
      <c r="LHX50" s="6"/>
      <c r="LHY50" s="6"/>
      <c r="LHZ50" s="6"/>
      <c r="LIA50" s="6"/>
      <c r="LIB50" s="6"/>
      <c r="LIC50" s="6"/>
      <c r="LID50" s="6"/>
      <c r="LIE50" s="6"/>
      <c r="LIF50" s="6"/>
      <c r="LIG50" s="6"/>
      <c r="LIH50" s="6"/>
      <c r="LII50" s="6"/>
      <c r="LIJ50" s="6"/>
      <c r="LIK50" s="6"/>
      <c r="LIL50" s="6"/>
      <c r="LIM50" s="6"/>
      <c r="LIN50" s="6"/>
      <c r="LIO50" s="6"/>
      <c r="LIP50" s="6"/>
      <c r="LIQ50" s="6"/>
      <c r="LIR50" s="6"/>
      <c r="LIS50" s="6"/>
      <c r="LIT50" s="6"/>
      <c r="LIU50" s="6"/>
      <c r="LIV50" s="6"/>
      <c r="LIW50" s="6"/>
      <c r="LIX50" s="6"/>
      <c r="LIY50" s="6"/>
      <c r="LIZ50" s="6"/>
      <c r="LJA50" s="6"/>
      <c r="LJB50" s="6"/>
      <c r="LJC50" s="6"/>
      <c r="LJD50" s="6"/>
      <c r="LJE50" s="6"/>
      <c r="LJF50" s="6"/>
      <c r="LJG50" s="6"/>
      <c r="LJH50" s="6"/>
      <c r="LJI50" s="6"/>
      <c r="LJJ50" s="6"/>
      <c r="LJK50" s="6"/>
      <c r="LJL50" s="6"/>
      <c r="LJM50" s="6"/>
      <c r="LJN50" s="6"/>
      <c r="LJO50" s="6"/>
      <c r="LJP50" s="6"/>
      <c r="LJQ50" s="6"/>
      <c r="LJR50" s="6"/>
      <c r="LJS50" s="6"/>
      <c r="LJT50" s="6"/>
      <c r="LJU50" s="6"/>
      <c r="LJV50" s="6"/>
      <c r="LJW50" s="6"/>
      <c r="LJX50" s="6"/>
      <c r="LJY50" s="6"/>
      <c r="LJZ50" s="6"/>
      <c r="LKA50" s="6"/>
      <c r="LKB50" s="6"/>
      <c r="LKC50" s="6"/>
      <c r="LKD50" s="6"/>
      <c r="LKE50" s="6"/>
      <c r="LKF50" s="6"/>
      <c r="LKG50" s="6"/>
      <c r="LKH50" s="6"/>
      <c r="LKI50" s="6"/>
      <c r="LKJ50" s="6"/>
      <c r="LKK50" s="6"/>
      <c r="LKL50" s="6"/>
      <c r="LKM50" s="6"/>
      <c r="LKN50" s="6"/>
      <c r="LKO50" s="6"/>
      <c r="LKP50" s="6"/>
      <c r="LKQ50" s="6"/>
      <c r="LKR50" s="6"/>
      <c r="LKS50" s="6"/>
      <c r="LKT50" s="6"/>
      <c r="LKU50" s="6"/>
      <c r="LKV50" s="6"/>
      <c r="LKW50" s="6"/>
      <c r="LKX50" s="6"/>
      <c r="LKY50" s="6"/>
      <c r="LKZ50" s="6"/>
      <c r="LLA50" s="6"/>
      <c r="LLB50" s="6"/>
      <c r="LLC50" s="6"/>
      <c r="LLD50" s="6"/>
      <c r="LLE50" s="6"/>
      <c r="LLF50" s="6"/>
      <c r="LLG50" s="6"/>
      <c r="LLH50" s="6"/>
      <c r="LLI50" s="6"/>
      <c r="LLJ50" s="6"/>
      <c r="LLK50" s="6"/>
      <c r="LLL50" s="6"/>
      <c r="LLM50" s="6"/>
      <c r="LLN50" s="6"/>
      <c r="LLO50" s="6"/>
      <c r="LLP50" s="6"/>
      <c r="LLQ50" s="6"/>
      <c r="LLR50" s="6"/>
      <c r="LLS50" s="6"/>
      <c r="LLT50" s="6"/>
      <c r="LLU50" s="6"/>
      <c r="LLV50" s="6"/>
      <c r="LLW50" s="6"/>
      <c r="LLX50" s="6"/>
      <c r="LLY50" s="6"/>
      <c r="LLZ50" s="6"/>
      <c r="LMA50" s="6"/>
      <c r="LMB50" s="6"/>
      <c r="LMC50" s="6"/>
      <c r="LMD50" s="6"/>
      <c r="LME50" s="6"/>
      <c r="LMF50" s="6"/>
      <c r="LMG50" s="6"/>
      <c r="LMH50" s="6"/>
      <c r="LMI50" s="6"/>
      <c r="LMJ50" s="6"/>
      <c r="LMK50" s="6"/>
      <c r="LML50" s="6"/>
      <c r="LMM50" s="6"/>
      <c r="LMN50" s="6"/>
      <c r="LMO50" s="6"/>
      <c r="LMP50" s="6"/>
      <c r="LMQ50" s="6"/>
      <c r="LMR50" s="6"/>
      <c r="LMS50" s="6"/>
      <c r="LMT50" s="6"/>
      <c r="LMU50" s="6"/>
      <c r="LMV50" s="6"/>
      <c r="LMW50" s="6"/>
      <c r="LMX50" s="6"/>
      <c r="LMY50" s="6"/>
      <c r="LMZ50" s="6"/>
      <c r="LNA50" s="6"/>
      <c r="LNB50" s="6"/>
      <c r="LNC50" s="6"/>
      <c r="LND50" s="6"/>
      <c r="LNE50" s="6"/>
      <c r="LNF50" s="6"/>
      <c r="LNG50" s="6"/>
      <c r="LNH50" s="6"/>
      <c r="LNI50" s="6"/>
      <c r="LNJ50" s="6"/>
      <c r="LNK50" s="6"/>
      <c r="LNL50" s="6"/>
      <c r="LNM50" s="6"/>
      <c r="LNN50" s="6"/>
      <c r="LNO50" s="6"/>
      <c r="LNP50" s="6"/>
      <c r="LNQ50" s="6"/>
      <c r="LNR50" s="6"/>
      <c r="LNS50" s="6"/>
      <c r="LNT50" s="6"/>
      <c r="LNU50" s="6"/>
      <c r="LNV50" s="6"/>
      <c r="LNW50" s="6"/>
      <c r="LNX50" s="6"/>
      <c r="LNY50" s="6"/>
      <c r="LNZ50" s="6"/>
      <c r="LOA50" s="6"/>
      <c r="LOB50" s="6"/>
      <c r="LOC50" s="6"/>
      <c r="LOD50" s="6"/>
      <c r="LOE50" s="6"/>
      <c r="LOF50" s="6"/>
      <c r="LOG50" s="6"/>
      <c r="LOH50" s="6"/>
      <c r="LOI50" s="6"/>
      <c r="LOJ50" s="6"/>
      <c r="LOK50" s="6"/>
      <c r="LOL50" s="6"/>
      <c r="LOM50" s="6"/>
      <c r="LON50" s="6"/>
      <c r="LOO50" s="6"/>
      <c r="LOP50" s="6"/>
      <c r="LOQ50" s="6"/>
      <c r="LOR50" s="6"/>
      <c r="LOS50" s="6"/>
      <c r="LOT50" s="6"/>
      <c r="LOU50" s="6"/>
      <c r="LOV50" s="6"/>
      <c r="LOW50" s="6"/>
      <c r="LOX50" s="6"/>
      <c r="LOY50" s="6"/>
      <c r="LOZ50" s="6"/>
      <c r="LPA50" s="6"/>
      <c r="LPB50" s="6"/>
      <c r="LPC50" s="6"/>
      <c r="LPD50" s="6"/>
      <c r="LPE50" s="6"/>
      <c r="LPF50" s="6"/>
      <c r="LPG50" s="6"/>
      <c r="LPH50" s="6"/>
      <c r="LPI50" s="6"/>
      <c r="LPJ50" s="6"/>
      <c r="LPK50" s="6"/>
      <c r="LPL50" s="6"/>
      <c r="LPM50" s="6"/>
      <c r="LPN50" s="6"/>
      <c r="LPO50" s="6"/>
      <c r="LPP50" s="6"/>
      <c r="LPQ50" s="6"/>
      <c r="LPR50" s="6"/>
      <c r="LPS50" s="6"/>
      <c r="LPT50" s="6"/>
      <c r="LPU50" s="6"/>
      <c r="LPV50" s="6"/>
      <c r="LPW50" s="6"/>
      <c r="LPX50" s="6"/>
      <c r="LPY50" s="6"/>
      <c r="LPZ50" s="6"/>
      <c r="LQA50" s="6"/>
      <c r="LQB50" s="6"/>
      <c r="LQC50" s="6"/>
      <c r="LQD50" s="6"/>
      <c r="LQE50" s="6"/>
      <c r="LQF50" s="6"/>
      <c r="LQG50" s="6"/>
      <c r="LQH50" s="6"/>
      <c r="LQI50" s="6"/>
      <c r="LQJ50" s="6"/>
      <c r="LQK50" s="6"/>
      <c r="LQL50" s="6"/>
      <c r="LQM50" s="6"/>
      <c r="LQN50" s="6"/>
      <c r="LQO50" s="6"/>
      <c r="LQP50" s="6"/>
      <c r="LQQ50" s="6"/>
      <c r="LQR50" s="6"/>
      <c r="LQS50" s="6"/>
      <c r="LQT50" s="6"/>
      <c r="LQU50" s="6"/>
      <c r="LQV50" s="6"/>
      <c r="LQW50" s="6"/>
      <c r="LQX50" s="6"/>
      <c r="LQY50" s="6"/>
      <c r="LQZ50" s="6"/>
      <c r="LRA50" s="6"/>
      <c r="LRB50" s="6"/>
      <c r="LRC50" s="6"/>
      <c r="LRD50" s="6"/>
      <c r="LRE50" s="6"/>
      <c r="LRF50" s="6"/>
      <c r="LRG50" s="6"/>
      <c r="LRH50" s="6"/>
      <c r="LRI50" s="6"/>
      <c r="LRJ50" s="6"/>
      <c r="LRK50" s="6"/>
      <c r="LRL50" s="6"/>
      <c r="LRM50" s="6"/>
      <c r="LRN50" s="6"/>
      <c r="LRO50" s="6"/>
      <c r="LRP50" s="6"/>
      <c r="LRQ50" s="6"/>
      <c r="LRR50" s="6"/>
      <c r="LRS50" s="6"/>
      <c r="LRT50" s="6"/>
      <c r="LRU50" s="6"/>
      <c r="LRV50" s="6"/>
      <c r="LRW50" s="6"/>
      <c r="LRX50" s="6"/>
      <c r="LRY50" s="6"/>
      <c r="LRZ50" s="6"/>
      <c r="LSA50" s="6"/>
      <c r="LSB50" s="6"/>
      <c r="LSC50" s="6"/>
      <c r="LSD50" s="6"/>
      <c r="LSE50" s="6"/>
      <c r="LSF50" s="6"/>
      <c r="LSG50" s="6"/>
      <c r="LSH50" s="6"/>
      <c r="LSI50" s="6"/>
      <c r="LSJ50" s="6"/>
      <c r="LSK50" s="6"/>
      <c r="LSL50" s="6"/>
      <c r="LSM50" s="6"/>
      <c r="LSN50" s="6"/>
      <c r="LSO50" s="6"/>
      <c r="LSP50" s="6"/>
      <c r="LSQ50" s="6"/>
      <c r="LSR50" s="6"/>
      <c r="LSS50" s="6"/>
      <c r="LST50" s="6"/>
      <c r="LSU50" s="6"/>
      <c r="LSV50" s="6"/>
      <c r="LSW50" s="6"/>
      <c r="LSX50" s="6"/>
      <c r="LSY50" s="6"/>
      <c r="LSZ50" s="6"/>
      <c r="LTA50" s="6"/>
      <c r="LTB50" s="6"/>
      <c r="LTC50" s="6"/>
      <c r="LTD50" s="6"/>
      <c r="LTE50" s="6"/>
      <c r="LTF50" s="6"/>
      <c r="LTG50" s="6"/>
      <c r="LTH50" s="6"/>
      <c r="LTI50" s="6"/>
      <c r="LTJ50" s="6"/>
      <c r="LTK50" s="6"/>
      <c r="LTL50" s="6"/>
      <c r="LTM50" s="6"/>
      <c r="LTN50" s="6"/>
      <c r="LTO50" s="6"/>
      <c r="LTP50" s="6"/>
      <c r="LTQ50" s="6"/>
      <c r="LTR50" s="6"/>
      <c r="LTS50" s="6"/>
      <c r="LTT50" s="6"/>
      <c r="LTU50" s="6"/>
      <c r="LTV50" s="6"/>
      <c r="LTW50" s="6"/>
      <c r="LTX50" s="6"/>
      <c r="LTY50" s="6"/>
      <c r="LTZ50" s="6"/>
      <c r="LUA50" s="6"/>
      <c r="LUB50" s="6"/>
      <c r="LUC50" s="6"/>
      <c r="LUD50" s="6"/>
      <c r="LUE50" s="6"/>
      <c r="LUF50" s="6"/>
      <c r="LUG50" s="6"/>
      <c r="LUH50" s="6"/>
      <c r="LUI50" s="6"/>
      <c r="LUJ50" s="6"/>
      <c r="LUK50" s="6"/>
      <c r="LUL50" s="6"/>
      <c r="LUM50" s="6"/>
      <c r="LUN50" s="6"/>
      <c r="LUO50" s="6"/>
      <c r="LUP50" s="6"/>
      <c r="LUQ50" s="6"/>
      <c r="LUR50" s="6"/>
      <c r="LUS50" s="6"/>
      <c r="LUT50" s="6"/>
      <c r="LUU50" s="6"/>
      <c r="LUV50" s="6"/>
      <c r="LUW50" s="6"/>
      <c r="LUX50" s="6"/>
      <c r="LUY50" s="6"/>
      <c r="LUZ50" s="6"/>
      <c r="LVA50" s="6"/>
      <c r="LVB50" s="6"/>
      <c r="LVC50" s="6"/>
      <c r="LVD50" s="6"/>
      <c r="LVE50" s="6"/>
      <c r="LVF50" s="6"/>
      <c r="LVG50" s="6"/>
      <c r="LVH50" s="6"/>
      <c r="LVI50" s="6"/>
      <c r="LVJ50" s="6"/>
      <c r="LVK50" s="6"/>
      <c r="LVL50" s="6"/>
      <c r="LVM50" s="6"/>
      <c r="LVN50" s="6"/>
      <c r="LVO50" s="6"/>
      <c r="LVP50" s="6"/>
      <c r="LVQ50" s="6"/>
      <c r="LVR50" s="6"/>
      <c r="LVS50" s="6"/>
      <c r="LVT50" s="6"/>
      <c r="LVU50" s="6"/>
      <c r="LVV50" s="6"/>
      <c r="LVW50" s="6"/>
      <c r="LVX50" s="6"/>
      <c r="LVY50" s="6"/>
      <c r="LVZ50" s="6"/>
      <c r="LWA50" s="6"/>
      <c r="LWB50" s="6"/>
      <c r="LWC50" s="6"/>
      <c r="LWD50" s="6"/>
      <c r="LWE50" s="6"/>
      <c r="LWF50" s="6"/>
      <c r="LWG50" s="6"/>
      <c r="LWH50" s="6"/>
      <c r="LWI50" s="6"/>
      <c r="LWJ50" s="6"/>
      <c r="LWK50" s="6"/>
      <c r="LWL50" s="6"/>
      <c r="LWM50" s="6"/>
      <c r="LWN50" s="6"/>
      <c r="LWO50" s="6"/>
      <c r="LWP50" s="6"/>
      <c r="LWQ50" s="6"/>
      <c r="LWR50" s="6"/>
      <c r="LWS50" s="6"/>
      <c r="LWT50" s="6"/>
      <c r="LWU50" s="6"/>
      <c r="LWV50" s="6"/>
      <c r="LWW50" s="6"/>
      <c r="LWX50" s="6"/>
      <c r="LWY50" s="6"/>
      <c r="LWZ50" s="6"/>
      <c r="LXA50" s="6"/>
      <c r="LXB50" s="6"/>
      <c r="LXC50" s="6"/>
      <c r="LXD50" s="6"/>
      <c r="LXE50" s="6"/>
      <c r="LXF50" s="6"/>
      <c r="LXG50" s="6"/>
      <c r="LXH50" s="6"/>
      <c r="LXI50" s="6"/>
      <c r="LXJ50" s="6"/>
      <c r="LXK50" s="6"/>
      <c r="LXL50" s="6"/>
      <c r="LXM50" s="6"/>
      <c r="LXN50" s="6"/>
      <c r="LXO50" s="6"/>
      <c r="LXP50" s="6"/>
      <c r="LXQ50" s="6"/>
      <c r="LXR50" s="6"/>
      <c r="LXS50" s="6"/>
      <c r="LXT50" s="6"/>
      <c r="LXU50" s="6"/>
      <c r="LXV50" s="6"/>
      <c r="LXW50" s="6"/>
      <c r="LXX50" s="6"/>
      <c r="LXY50" s="6"/>
      <c r="LXZ50" s="6"/>
      <c r="LYA50" s="6"/>
      <c r="LYB50" s="6"/>
      <c r="LYC50" s="6"/>
      <c r="LYD50" s="6"/>
      <c r="LYE50" s="6"/>
      <c r="LYF50" s="6"/>
      <c r="LYG50" s="6"/>
      <c r="LYH50" s="6"/>
      <c r="LYI50" s="6"/>
      <c r="LYJ50" s="6"/>
      <c r="LYK50" s="6"/>
      <c r="LYL50" s="6"/>
      <c r="LYM50" s="6"/>
      <c r="LYN50" s="6"/>
      <c r="LYO50" s="6"/>
      <c r="LYP50" s="6"/>
      <c r="LYQ50" s="6"/>
      <c r="LYR50" s="6"/>
      <c r="LYS50" s="6"/>
      <c r="LYT50" s="6"/>
      <c r="LYU50" s="6"/>
      <c r="LYV50" s="6"/>
      <c r="LYW50" s="6"/>
      <c r="LYX50" s="6"/>
      <c r="LYY50" s="6"/>
      <c r="LYZ50" s="6"/>
      <c r="LZA50" s="6"/>
      <c r="LZB50" s="6"/>
      <c r="LZC50" s="6"/>
      <c r="LZD50" s="6"/>
      <c r="LZE50" s="6"/>
      <c r="LZF50" s="6"/>
      <c r="LZG50" s="6"/>
      <c r="LZH50" s="6"/>
      <c r="LZI50" s="6"/>
      <c r="LZJ50" s="6"/>
      <c r="LZK50" s="6"/>
      <c r="LZL50" s="6"/>
      <c r="LZM50" s="6"/>
      <c r="LZN50" s="6"/>
      <c r="LZO50" s="6"/>
      <c r="LZP50" s="6"/>
      <c r="LZQ50" s="6"/>
      <c r="LZR50" s="6"/>
      <c r="LZS50" s="6"/>
      <c r="LZT50" s="6"/>
      <c r="LZU50" s="6"/>
      <c r="LZV50" s="6"/>
      <c r="LZW50" s="6"/>
      <c r="LZX50" s="6"/>
      <c r="LZY50" s="6"/>
      <c r="LZZ50" s="6"/>
      <c r="MAA50" s="6"/>
      <c r="MAB50" s="6"/>
      <c r="MAC50" s="6"/>
      <c r="MAD50" s="6"/>
      <c r="MAE50" s="6"/>
      <c r="MAF50" s="6"/>
      <c r="MAG50" s="6"/>
      <c r="MAH50" s="6"/>
      <c r="MAI50" s="6"/>
      <c r="MAJ50" s="6"/>
      <c r="MAK50" s="6"/>
      <c r="MAL50" s="6"/>
      <c r="MAM50" s="6"/>
      <c r="MAN50" s="6"/>
      <c r="MAO50" s="6"/>
      <c r="MAP50" s="6"/>
      <c r="MAQ50" s="6"/>
      <c r="MAR50" s="6"/>
      <c r="MAS50" s="6"/>
      <c r="MAT50" s="6"/>
      <c r="MAU50" s="6"/>
      <c r="MAV50" s="6"/>
      <c r="MAW50" s="6"/>
      <c r="MAX50" s="6"/>
      <c r="MAY50" s="6"/>
      <c r="MAZ50" s="6"/>
      <c r="MBA50" s="6"/>
      <c r="MBB50" s="6"/>
      <c r="MBC50" s="6"/>
      <c r="MBD50" s="6"/>
      <c r="MBE50" s="6"/>
      <c r="MBF50" s="6"/>
      <c r="MBG50" s="6"/>
      <c r="MBH50" s="6"/>
      <c r="MBI50" s="6"/>
      <c r="MBJ50" s="6"/>
      <c r="MBK50" s="6"/>
      <c r="MBL50" s="6"/>
      <c r="MBM50" s="6"/>
      <c r="MBN50" s="6"/>
      <c r="MBO50" s="6"/>
      <c r="MBP50" s="6"/>
      <c r="MBQ50" s="6"/>
      <c r="MBR50" s="6"/>
      <c r="MBS50" s="6"/>
      <c r="MBT50" s="6"/>
      <c r="MBU50" s="6"/>
      <c r="MBV50" s="6"/>
      <c r="MBW50" s="6"/>
      <c r="MBX50" s="6"/>
      <c r="MBY50" s="6"/>
      <c r="MBZ50" s="6"/>
      <c r="MCA50" s="6"/>
      <c r="MCB50" s="6"/>
      <c r="MCC50" s="6"/>
      <c r="MCD50" s="6"/>
      <c r="MCE50" s="6"/>
      <c r="MCF50" s="6"/>
      <c r="MCG50" s="6"/>
      <c r="MCH50" s="6"/>
      <c r="MCI50" s="6"/>
      <c r="MCJ50" s="6"/>
      <c r="MCK50" s="6"/>
      <c r="MCL50" s="6"/>
      <c r="MCM50" s="6"/>
      <c r="MCN50" s="6"/>
      <c r="MCO50" s="6"/>
      <c r="MCP50" s="6"/>
      <c r="MCQ50" s="6"/>
      <c r="MCR50" s="6"/>
      <c r="MCS50" s="6"/>
      <c r="MCT50" s="6"/>
      <c r="MCU50" s="6"/>
      <c r="MCV50" s="6"/>
      <c r="MCW50" s="6"/>
      <c r="MCX50" s="6"/>
      <c r="MCY50" s="6"/>
      <c r="MCZ50" s="6"/>
      <c r="MDA50" s="6"/>
      <c r="MDB50" s="6"/>
      <c r="MDC50" s="6"/>
      <c r="MDD50" s="6"/>
      <c r="MDE50" s="6"/>
      <c r="MDF50" s="6"/>
      <c r="MDG50" s="6"/>
      <c r="MDH50" s="6"/>
      <c r="MDI50" s="6"/>
      <c r="MDJ50" s="6"/>
      <c r="MDK50" s="6"/>
      <c r="MDL50" s="6"/>
      <c r="MDM50" s="6"/>
      <c r="MDN50" s="6"/>
      <c r="MDO50" s="6"/>
      <c r="MDP50" s="6"/>
      <c r="MDQ50" s="6"/>
      <c r="MDR50" s="6"/>
      <c r="MDS50" s="6"/>
      <c r="MDT50" s="6"/>
      <c r="MDU50" s="6"/>
      <c r="MDV50" s="6"/>
      <c r="MDW50" s="6"/>
      <c r="MDX50" s="6"/>
      <c r="MDY50" s="6"/>
      <c r="MDZ50" s="6"/>
      <c r="MEA50" s="6"/>
      <c r="MEB50" s="6"/>
      <c r="MEC50" s="6"/>
      <c r="MED50" s="6"/>
      <c r="MEE50" s="6"/>
      <c r="MEF50" s="6"/>
      <c r="MEG50" s="6"/>
      <c r="MEH50" s="6"/>
      <c r="MEI50" s="6"/>
      <c r="MEJ50" s="6"/>
      <c r="MEK50" s="6"/>
      <c r="MEL50" s="6"/>
      <c r="MEM50" s="6"/>
      <c r="MEN50" s="6"/>
      <c r="MEO50" s="6"/>
      <c r="MEP50" s="6"/>
      <c r="MEQ50" s="6"/>
      <c r="MER50" s="6"/>
      <c r="MES50" s="6"/>
      <c r="MET50" s="6"/>
      <c r="MEU50" s="6"/>
      <c r="MEV50" s="6"/>
      <c r="MEW50" s="6"/>
      <c r="MEX50" s="6"/>
      <c r="MEY50" s="6"/>
      <c r="MEZ50" s="6"/>
      <c r="MFA50" s="6"/>
      <c r="MFB50" s="6"/>
      <c r="MFC50" s="6"/>
      <c r="MFD50" s="6"/>
      <c r="MFE50" s="6"/>
      <c r="MFF50" s="6"/>
      <c r="MFG50" s="6"/>
      <c r="MFH50" s="6"/>
      <c r="MFI50" s="6"/>
      <c r="MFJ50" s="6"/>
      <c r="MFK50" s="6"/>
      <c r="MFL50" s="6"/>
      <c r="MFM50" s="6"/>
      <c r="MFN50" s="6"/>
      <c r="MFO50" s="6"/>
      <c r="MFP50" s="6"/>
      <c r="MFQ50" s="6"/>
      <c r="MFR50" s="6"/>
      <c r="MFS50" s="6"/>
      <c r="MFT50" s="6"/>
      <c r="MFU50" s="6"/>
      <c r="MFV50" s="6"/>
      <c r="MFW50" s="6"/>
      <c r="MFX50" s="6"/>
      <c r="MFY50" s="6"/>
      <c r="MFZ50" s="6"/>
      <c r="MGA50" s="6"/>
      <c r="MGB50" s="6"/>
      <c r="MGC50" s="6"/>
      <c r="MGD50" s="6"/>
      <c r="MGE50" s="6"/>
      <c r="MGF50" s="6"/>
      <c r="MGG50" s="6"/>
      <c r="MGH50" s="6"/>
      <c r="MGI50" s="6"/>
      <c r="MGJ50" s="6"/>
      <c r="MGK50" s="6"/>
      <c r="MGL50" s="6"/>
      <c r="MGM50" s="6"/>
      <c r="MGN50" s="6"/>
      <c r="MGO50" s="6"/>
      <c r="MGP50" s="6"/>
      <c r="MGQ50" s="6"/>
      <c r="MGR50" s="6"/>
      <c r="MGS50" s="6"/>
      <c r="MGT50" s="6"/>
      <c r="MGU50" s="6"/>
      <c r="MGV50" s="6"/>
      <c r="MGW50" s="6"/>
      <c r="MGX50" s="6"/>
      <c r="MGY50" s="6"/>
      <c r="MGZ50" s="6"/>
      <c r="MHA50" s="6"/>
      <c r="MHB50" s="6"/>
      <c r="MHC50" s="6"/>
      <c r="MHD50" s="6"/>
      <c r="MHE50" s="6"/>
      <c r="MHF50" s="6"/>
      <c r="MHG50" s="6"/>
      <c r="MHH50" s="6"/>
      <c r="MHI50" s="6"/>
      <c r="MHJ50" s="6"/>
      <c r="MHK50" s="6"/>
      <c r="MHL50" s="6"/>
      <c r="MHM50" s="6"/>
      <c r="MHN50" s="6"/>
      <c r="MHO50" s="6"/>
      <c r="MHP50" s="6"/>
      <c r="MHQ50" s="6"/>
      <c r="MHR50" s="6"/>
      <c r="MHS50" s="6"/>
      <c r="MHT50" s="6"/>
      <c r="MHU50" s="6"/>
      <c r="MHV50" s="6"/>
      <c r="MHW50" s="6"/>
      <c r="MHX50" s="6"/>
      <c r="MHY50" s="6"/>
      <c r="MHZ50" s="6"/>
      <c r="MIA50" s="6"/>
      <c r="MIB50" s="6"/>
      <c r="MIC50" s="6"/>
      <c r="MID50" s="6"/>
      <c r="MIE50" s="6"/>
      <c r="MIF50" s="6"/>
      <c r="MIG50" s="6"/>
      <c r="MIH50" s="6"/>
      <c r="MII50" s="6"/>
      <c r="MIJ50" s="6"/>
      <c r="MIK50" s="6"/>
      <c r="MIL50" s="6"/>
      <c r="MIM50" s="6"/>
      <c r="MIN50" s="6"/>
      <c r="MIO50" s="6"/>
      <c r="MIP50" s="6"/>
      <c r="MIQ50" s="6"/>
      <c r="MIR50" s="6"/>
      <c r="MIS50" s="6"/>
      <c r="MIT50" s="6"/>
      <c r="MIU50" s="6"/>
      <c r="MIV50" s="6"/>
      <c r="MIW50" s="6"/>
      <c r="MIX50" s="6"/>
      <c r="MIY50" s="6"/>
      <c r="MIZ50" s="6"/>
      <c r="MJA50" s="6"/>
      <c r="MJB50" s="6"/>
      <c r="MJC50" s="6"/>
      <c r="MJD50" s="6"/>
      <c r="MJE50" s="6"/>
      <c r="MJF50" s="6"/>
      <c r="MJG50" s="6"/>
      <c r="MJH50" s="6"/>
      <c r="MJI50" s="6"/>
      <c r="MJJ50" s="6"/>
      <c r="MJK50" s="6"/>
      <c r="MJL50" s="6"/>
      <c r="MJM50" s="6"/>
      <c r="MJN50" s="6"/>
      <c r="MJO50" s="6"/>
      <c r="MJP50" s="6"/>
      <c r="MJQ50" s="6"/>
      <c r="MJR50" s="6"/>
      <c r="MJS50" s="6"/>
      <c r="MJT50" s="6"/>
      <c r="MJU50" s="6"/>
      <c r="MJV50" s="6"/>
      <c r="MJW50" s="6"/>
      <c r="MJX50" s="6"/>
      <c r="MJY50" s="6"/>
      <c r="MJZ50" s="6"/>
      <c r="MKA50" s="6"/>
      <c r="MKB50" s="6"/>
      <c r="MKC50" s="6"/>
      <c r="MKD50" s="6"/>
      <c r="MKE50" s="6"/>
      <c r="MKF50" s="6"/>
      <c r="MKG50" s="6"/>
      <c r="MKH50" s="6"/>
      <c r="MKI50" s="6"/>
      <c r="MKJ50" s="6"/>
      <c r="MKK50" s="6"/>
      <c r="MKL50" s="6"/>
      <c r="MKM50" s="6"/>
      <c r="MKN50" s="6"/>
      <c r="MKO50" s="6"/>
      <c r="MKP50" s="6"/>
      <c r="MKQ50" s="6"/>
      <c r="MKR50" s="6"/>
      <c r="MKS50" s="6"/>
      <c r="MKT50" s="6"/>
      <c r="MKU50" s="6"/>
      <c r="MKV50" s="6"/>
      <c r="MKW50" s="6"/>
      <c r="MKX50" s="6"/>
      <c r="MKY50" s="6"/>
      <c r="MKZ50" s="6"/>
      <c r="MLA50" s="6"/>
      <c r="MLB50" s="6"/>
      <c r="MLC50" s="6"/>
      <c r="MLD50" s="6"/>
      <c r="MLE50" s="6"/>
      <c r="MLF50" s="6"/>
      <c r="MLG50" s="6"/>
      <c r="MLH50" s="6"/>
      <c r="MLI50" s="6"/>
      <c r="MLJ50" s="6"/>
      <c r="MLK50" s="6"/>
      <c r="MLL50" s="6"/>
      <c r="MLM50" s="6"/>
      <c r="MLN50" s="6"/>
      <c r="MLO50" s="6"/>
      <c r="MLP50" s="6"/>
      <c r="MLQ50" s="6"/>
      <c r="MLR50" s="6"/>
      <c r="MLS50" s="6"/>
      <c r="MLT50" s="6"/>
      <c r="MLU50" s="6"/>
      <c r="MLV50" s="6"/>
      <c r="MLW50" s="6"/>
      <c r="MLX50" s="6"/>
      <c r="MLY50" s="6"/>
      <c r="MLZ50" s="6"/>
      <c r="MMA50" s="6"/>
      <c r="MMB50" s="6"/>
      <c r="MMC50" s="6"/>
      <c r="MMD50" s="6"/>
      <c r="MME50" s="6"/>
      <c r="MMF50" s="6"/>
      <c r="MMG50" s="6"/>
      <c r="MMH50" s="6"/>
      <c r="MMI50" s="6"/>
      <c r="MMJ50" s="6"/>
      <c r="MMK50" s="6"/>
      <c r="MML50" s="6"/>
      <c r="MMM50" s="6"/>
      <c r="MMN50" s="6"/>
      <c r="MMO50" s="6"/>
      <c r="MMP50" s="6"/>
      <c r="MMQ50" s="6"/>
      <c r="MMR50" s="6"/>
      <c r="MMS50" s="6"/>
      <c r="MMT50" s="6"/>
      <c r="MMU50" s="6"/>
      <c r="MMV50" s="6"/>
      <c r="MMW50" s="6"/>
      <c r="MMX50" s="6"/>
      <c r="MMY50" s="6"/>
      <c r="MMZ50" s="6"/>
      <c r="MNA50" s="6"/>
      <c r="MNB50" s="6"/>
      <c r="MNC50" s="6"/>
      <c r="MND50" s="6"/>
      <c r="MNE50" s="6"/>
      <c r="MNF50" s="6"/>
      <c r="MNG50" s="6"/>
      <c r="MNH50" s="6"/>
      <c r="MNI50" s="6"/>
      <c r="MNJ50" s="6"/>
      <c r="MNK50" s="6"/>
      <c r="MNL50" s="6"/>
      <c r="MNM50" s="6"/>
      <c r="MNN50" s="6"/>
      <c r="MNO50" s="6"/>
      <c r="MNP50" s="6"/>
      <c r="MNQ50" s="6"/>
      <c r="MNR50" s="6"/>
      <c r="MNS50" s="6"/>
      <c r="MNT50" s="6"/>
      <c r="MNU50" s="6"/>
      <c r="MNV50" s="6"/>
      <c r="MNW50" s="6"/>
      <c r="MNX50" s="6"/>
      <c r="MNY50" s="6"/>
      <c r="MNZ50" s="6"/>
      <c r="MOA50" s="6"/>
      <c r="MOB50" s="6"/>
      <c r="MOC50" s="6"/>
      <c r="MOD50" s="6"/>
      <c r="MOE50" s="6"/>
      <c r="MOF50" s="6"/>
      <c r="MOG50" s="6"/>
      <c r="MOH50" s="6"/>
      <c r="MOI50" s="6"/>
      <c r="MOJ50" s="6"/>
      <c r="MOK50" s="6"/>
      <c r="MOL50" s="6"/>
      <c r="MOM50" s="6"/>
      <c r="MON50" s="6"/>
      <c r="MOO50" s="6"/>
      <c r="MOP50" s="6"/>
      <c r="MOQ50" s="6"/>
      <c r="MOR50" s="6"/>
      <c r="MOS50" s="6"/>
      <c r="MOT50" s="6"/>
      <c r="MOU50" s="6"/>
      <c r="MOV50" s="6"/>
      <c r="MOW50" s="6"/>
      <c r="MOX50" s="6"/>
      <c r="MOY50" s="6"/>
      <c r="MOZ50" s="6"/>
      <c r="MPA50" s="6"/>
      <c r="MPB50" s="6"/>
      <c r="MPC50" s="6"/>
      <c r="MPD50" s="6"/>
      <c r="MPE50" s="6"/>
      <c r="MPF50" s="6"/>
      <c r="MPG50" s="6"/>
      <c r="MPH50" s="6"/>
      <c r="MPI50" s="6"/>
      <c r="MPJ50" s="6"/>
      <c r="MPK50" s="6"/>
      <c r="MPL50" s="6"/>
      <c r="MPM50" s="6"/>
      <c r="MPN50" s="6"/>
      <c r="MPO50" s="6"/>
      <c r="MPP50" s="6"/>
      <c r="MPQ50" s="6"/>
      <c r="MPR50" s="6"/>
      <c r="MPS50" s="6"/>
      <c r="MPT50" s="6"/>
      <c r="MPU50" s="6"/>
      <c r="MPV50" s="6"/>
      <c r="MPW50" s="6"/>
      <c r="MPX50" s="6"/>
      <c r="MPY50" s="6"/>
      <c r="MPZ50" s="6"/>
      <c r="MQA50" s="6"/>
      <c r="MQB50" s="6"/>
      <c r="MQC50" s="6"/>
      <c r="MQD50" s="6"/>
      <c r="MQE50" s="6"/>
      <c r="MQF50" s="6"/>
      <c r="MQG50" s="6"/>
      <c r="MQH50" s="6"/>
      <c r="MQI50" s="6"/>
      <c r="MQJ50" s="6"/>
      <c r="MQK50" s="6"/>
      <c r="MQL50" s="6"/>
      <c r="MQM50" s="6"/>
      <c r="MQN50" s="6"/>
      <c r="MQO50" s="6"/>
      <c r="MQP50" s="6"/>
      <c r="MQQ50" s="6"/>
      <c r="MQR50" s="6"/>
      <c r="MQS50" s="6"/>
      <c r="MQT50" s="6"/>
      <c r="MQU50" s="6"/>
      <c r="MQV50" s="6"/>
      <c r="MQW50" s="6"/>
      <c r="MQX50" s="6"/>
      <c r="MQY50" s="6"/>
      <c r="MQZ50" s="6"/>
      <c r="MRA50" s="6"/>
      <c r="MRB50" s="6"/>
      <c r="MRC50" s="6"/>
      <c r="MRD50" s="6"/>
      <c r="MRE50" s="6"/>
      <c r="MRF50" s="6"/>
      <c r="MRG50" s="6"/>
      <c r="MRH50" s="6"/>
      <c r="MRI50" s="6"/>
      <c r="MRJ50" s="6"/>
      <c r="MRK50" s="6"/>
      <c r="MRL50" s="6"/>
      <c r="MRM50" s="6"/>
      <c r="MRN50" s="6"/>
      <c r="MRO50" s="6"/>
      <c r="MRP50" s="6"/>
      <c r="MRQ50" s="6"/>
      <c r="MRR50" s="6"/>
      <c r="MRS50" s="6"/>
      <c r="MRT50" s="6"/>
      <c r="MRU50" s="6"/>
      <c r="MRV50" s="6"/>
      <c r="MRW50" s="6"/>
      <c r="MRX50" s="6"/>
      <c r="MRY50" s="6"/>
      <c r="MRZ50" s="6"/>
      <c r="MSA50" s="6"/>
      <c r="MSB50" s="6"/>
      <c r="MSC50" s="6"/>
      <c r="MSD50" s="6"/>
      <c r="MSE50" s="6"/>
      <c r="MSF50" s="6"/>
      <c r="MSG50" s="6"/>
      <c r="MSH50" s="6"/>
      <c r="MSI50" s="6"/>
      <c r="MSJ50" s="6"/>
      <c r="MSK50" s="6"/>
      <c r="MSL50" s="6"/>
      <c r="MSM50" s="6"/>
      <c r="MSN50" s="6"/>
      <c r="MSO50" s="6"/>
      <c r="MSP50" s="6"/>
      <c r="MSQ50" s="6"/>
      <c r="MSR50" s="6"/>
      <c r="MSS50" s="6"/>
      <c r="MST50" s="6"/>
      <c r="MSU50" s="6"/>
      <c r="MSV50" s="6"/>
      <c r="MSW50" s="6"/>
      <c r="MSX50" s="6"/>
      <c r="MSY50" s="6"/>
      <c r="MSZ50" s="6"/>
      <c r="MTA50" s="6"/>
      <c r="MTB50" s="6"/>
      <c r="MTC50" s="6"/>
      <c r="MTD50" s="6"/>
      <c r="MTE50" s="6"/>
      <c r="MTF50" s="6"/>
      <c r="MTG50" s="6"/>
      <c r="MTH50" s="6"/>
      <c r="MTI50" s="6"/>
      <c r="MTJ50" s="6"/>
      <c r="MTK50" s="6"/>
      <c r="MTL50" s="6"/>
      <c r="MTM50" s="6"/>
      <c r="MTN50" s="6"/>
      <c r="MTO50" s="6"/>
      <c r="MTP50" s="6"/>
      <c r="MTQ50" s="6"/>
      <c r="MTR50" s="6"/>
      <c r="MTS50" s="6"/>
      <c r="MTT50" s="6"/>
      <c r="MTU50" s="6"/>
      <c r="MTV50" s="6"/>
      <c r="MTW50" s="6"/>
      <c r="MTX50" s="6"/>
      <c r="MTY50" s="6"/>
      <c r="MTZ50" s="6"/>
      <c r="MUA50" s="6"/>
      <c r="MUB50" s="6"/>
      <c r="MUC50" s="6"/>
      <c r="MUD50" s="6"/>
      <c r="MUE50" s="6"/>
      <c r="MUF50" s="6"/>
      <c r="MUG50" s="6"/>
      <c r="MUH50" s="6"/>
      <c r="MUI50" s="6"/>
      <c r="MUJ50" s="6"/>
      <c r="MUK50" s="6"/>
      <c r="MUL50" s="6"/>
      <c r="MUM50" s="6"/>
      <c r="MUN50" s="6"/>
      <c r="MUO50" s="6"/>
      <c r="MUP50" s="6"/>
      <c r="MUQ50" s="6"/>
      <c r="MUR50" s="6"/>
      <c r="MUS50" s="6"/>
      <c r="MUT50" s="6"/>
      <c r="MUU50" s="6"/>
      <c r="MUV50" s="6"/>
      <c r="MUW50" s="6"/>
      <c r="MUX50" s="6"/>
      <c r="MUY50" s="6"/>
      <c r="MUZ50" s="6"/>
      <c r="MVA50" s="6"/>
      <c r="MVB50" s="6"/>
      <c r="MVC50" s="6"/>
      <c r="MVD50" s="6"/>
      <c r="MVE50" s="6"/>
      <c r="MVF50" s="6"/>
      <c r="MVG50" s="6"/>
      <c r="MVH50" s="6"/>
      <c r="MVI50" s="6"/>
      <c r="MVJ50" s="6"/>
      <c r="MVK50" s="6"/>
      <c r="MVL50" s="6"/>
      <c r="MVM50" s="6"/>
      <c r="MVN50" s="6"/>
      <c r="MVO50" s="6"/>
      <c r="MVP50" s="6"/>
      <c r="MVQ50" s="6"/>
      <c r="MVR50" s="6"/>
      <c r="MVS50" s="6"/>
      <c r="MVT50" s="6"/>
      <c r="MVU50" s="6"/>
      <c r="MVV50" s="6"/>
      <c r="MVW50" s="6"/>
      <c r="MVX50" s="6"/>
      <c r="MVY50" s="6"/>
      <c r="MVZ50" s="6"/>
      <c r="MWA50" s="6"/>
      <c r="MWB50" s="6"/>
      <c r="MWC50" s="6"/>
      <c r="MWD50" s="6"/>
      <c r="MWE50" s="6"/>
      <c r="MWF50" s="6"/>
      <c r="MWG50" s="6"/>
      <c r="MWH50" s="6"/>
      <c r="MWI50" s="6"/>
      <c r="MWJ50" s="6"/>
      <c r="MWK50" s="6"/>
      <c r="MWL50" s="6"/>
      <c r="MWM50" s="6"/>
      <c r="MWN50" s="6"/>
      <c r="MWO50" s="6"/>
      <c r="MWP50" s="6"/>
      <c r="MWQ50" s="6"/>
      <c r="MWR50" s="6"/>
      <c r="MWS50" s="6"/>
      <c r="MWT50" s="6"/>
      <c r="MWU50" s="6"/>
      <c r="MWV50" s="6"/>
      <c r="MWW50" s="6"/>
      <c r="MWX50" s="6"/>
      <c r="MWY50" s="6"/>
      <c r="MWZ50" s="6"/>
      <c r="MXA50" s="6"/>
      <c r="MXB50" s="6"/>
      <c r="MXC50" s="6"/>
      <c r="MXD50" s="6"/>
      <c r="MXE50" s="6"/>
      <c r="MXF50" s="6"/>
      <c r="MXG50" s="6"/>
      <c r="MXH50" s="6"/>
      <c r="MXI50" s="6"/>
      <c r="MXJ50" s="6"/>
      <c r="MXK50" s="6"/>
      <c r="MXL50" s="6"/>
      <c r="MXM50" s="6"/>
      <c r="MXN50" s="6"/>
      <c r="MXO50" s="6"/>
      <c r="MXP50" s="6"/>
      <c r="MXQ50" s="6"/>
      <c r="MXR50" s="6"/>
      <c r="MXS50" s="6"/>
      <c r="MXT50" s="6"/>
      <c r="MXU50" s="6"/>
      <c r="MXV50" s="6"/>
      <c r="MXW50" s="6"/>
      <c r="MXX50" s="6"/>
      <c r="MXY50" s="6"/>
      <c r="MXZ50" s="6"/>
      <c r="MYA50" s="6"/>
      <c r="MYB50" s="6"/>
      <c r="MYC50" s="6"/>
      <c r="MYD50" s="6"/>
      <c r="MYE50" s="6"/>
      <c r="MYF50" s="6"/>
      <c r="MYG50" s="6"/>
      <c r="MYH50" s="6"/>
      <c r="MYI50" s="6"/>
      <c r="MYJ50" s="6"/>
      <c r="MYK50" s="6"/>
      <c r="MYL50" s="6"/>
      <c r="MYM50" s="6"/>
      <c r="MYN50" s="6"/>
      <c r="MYO50" s="6"/>
      <c r="MYP50" s="6"/>
      <c r="MYQ50" s="6"/>
      <c r="MYR50" s="6"/>
      <c r="MYS50" s="6"/>
      <c r="MYT50" s="6"/>
      <c r="MYU50" s="6"/>
      <c r="MYV50" s="6"/>
      <c r="MYW50" s="6"/>
      <c r="MYX50" s="6"/>
      <c r="MYY50" s="6"/>
      <c r="MYZ50" s="6"/>
      <c r="MZA50" s="6"/>
      <c r="MZB50" s="6"/>
      <c r="MZC50" s="6"/>
      <c r="MZD50" s="6"/>
      <c r="MZE50" s="6"/>
      <c r="MZF50" s="6"/>
      <c r="MZG50" s="6"/>
      <c r="MZH50" s="6"/>
      <c r="MZI50" s="6"/>
      <c r="MZJ50" s="6"/>
      <c r="MZK50" s="6"/>
      <c r="MZL50" s="6"/>
      <c r="MZM50" s="6"/>
      <c r="MZN50" s="6"/>
      <c r="MZO50" s="6"/>
      <c r="MZP50" s="6"/>
      <c r="MZQ50" s="6"/>
      <c r="MZR50" s="6"/>
      <c r="MZS50" s="6"/>
      <c r="MZT50" s="6"/>
      <c r="MZU50" s="6"/>
      <c r="MZV50" s="6"/>
      <c r="MZW50" s="6"/>
      <c r="MZX50" s="6"/>
      <c r="MZY50" s="6"/>
      <c r="MZZ50" s="6"/>
      <c r="NAA50" s="6"/>
      <c r="NAB50" s="6"/>
      <c r="NAC50" s="6"/>
      <c r="NAD50" s="6"/>
      <c r="NAE50" s="6"/>
      <c r="NAF50" s="6"/>
      <c r="NAG50" s="6"/>
      <c r="NAH50" s="6"/>
      <c r="NAI50" s="6"/>
      <c r="NAJ50" s="6"/>
      <c r="NAK50" s="6"/>
      <c r="NAL50" s="6"/>
      <c r="NAM50" s="6"/>
      <c r="NAN50" s="6"/>
      <c r="NAO50" s="6"/>
      <c r="NAP50" s="6"/>
      <c r="NAQ50" s="6"/>
      <c r="NAR50" s="6"/>
      <c r="NAS50" s="6"/>
      <c r="NAT50" s="6"/>
      <c r="NAU50" s="6"/>
      <c r="NAV50" s="6"/>
      <c r="NAW50" s="6"/>
      <c r="NAX50" s="6"/>
      <c r="NAY50" s="6"/>
      <c r="NAZ50" s="6"/>
      <c r="NBA50" s="6"/>
      <c r="NBB50" s="6"/>
      <c r="NBC50" s="6"/>
      <c r="NBD50" s="6"/>
      <c r="NBE50" s="6"/>
      <c r="NBF50" s="6"/>
      <c r="NBG50" s="6"/>
      <c r="NBH50" s="6"/>
      <c r="NBI50" s="6"/>
      <c r="NBJ50" s="6"/>
      <c r="NBK50" s="6"/>
      <c r="NBL50" s="6"/>
      <c r="NBM50" s="6"/>
      <c r="NBN50" s="6"/>
      <c r="NBO50" s="6"/>
      <c r="NBP50" s="6"/>
      <c r="NBQ50" s="6"/>
      <c r="NBR50" s="6"/>
      <c r="NBS50" s="6"/>
      <c r="NBT50" s="6"/>
      <c r="NBU50" s="6"/>
      <c r="NBV50" s="6"/>
      <c r="NBW50" s="6"/>
      <c r="NBX50" s="6"/>
      <c r="NBY50" s="6"/>
      <c r="NBZ50" s="6"/>
      <c r="NCA50" s="6"/>
      <c r="NCB50" s="6"/>
      <c r="NCC50" s="6"/>
      <c r="NCD50" s="6"/>
      <c r="NCE50" s="6"/>
      <c r="NCF50" s="6"/>
      <c r="NCG50" s="6"/>
      <c r="NCH50" s="6"/>
      <c r="NCI50" s="6"/>
      <c r="NCJ50" s="6"/>
      <c r="NCK50" s="6"/>
      <c r="NCL50" s="6"/>
      <c r="NCM50" s="6"/>
      <c r="NCN50" s="6"/>
      <c r="NCO50" s="6"/>
      <c r="NCP50" s="6"/>
      <c r="NCQ50" s="6"/>
      <c r="NCR50" s="6"/>
      <c r="NCS50" s="6"/>
      <c r="NCT50" s="6"/>
      <c r="NCU50" s="6"/>
      <c r="NCV50" s="6"/>
      <c r="NCW50" s="6"/>
      <c r="NCX50" s="6"/>
      <c r="NCY50" s="6"/>
      <c r="NCZ50" s="6"/>
      <c r="NDA50" s="6"/>
      <c r="NDB50" s="6"/>
      <c r="NDC50" s="6"/>
      <c r="NDD50" s="6"/>
      <c r="NDE50" s="6"/>
      <c r="NDF50" s="6"/>
      <c r="NDG50" s="6"/>
      <c r="NDH50" s="6"/>
      <c r="NDI50" s="6"/>
      <c r="NDJ50" s="6"/>
      <c r="NDK50" s="6"/>
      <c r="NDL50" s="6"/>
      <c r="NDM50" s="6"/>
      <c r="NDN50" s="6"/>
      <c r="NDO50" s="6"/>
      <c r="NDP50" s="6"/>
      <c r="NDQ50" s="6"/>
      <c r="NDR50" s="6"/>
      <c r="NDS50" s="6"/>
      <c r="NDT50" s="6"/>
      <c r="NDU50" s="6"/>
      <c r="NDV50" s="6"/>
      <c r="NDW50" s="6"/>
      <c r="NDX50" s="6"/>
      <c r="NDY50" s="6"/>
      <c r="NDZ50" s="6"/>
      <c r="NEA50" s="6"/>
      <c r="NEB50" s="6"/>
      <c r="NEC50" s="6"/>
      <c r="NED50" s="6"/>
      <c r="NEE50" s="6"/>
      <c r="NEF50" s="6"/>
      <c r="NEG50" s="6"/>
      <c r="NEH50" s="6"/>
      <c r="NEI50" s="6"/>
      <c r="NEJ50" s="6"/>
      <c r="NEK50" s="6"/>
      <c r="NEL50" s="6"/>
      <c r="NEM50" s="6"/>
      <c r="NEN50" s="6"/>
      <c r="NEO50" s="6"/>
      <c r="NEP50" s="6"/>
      <c r="NEQ50" s="6"/>
      <c r="NER50" s="6"/>
      <c r="NES50" s="6"/>
      <c r="NET50" s="6"/>
      <c r="NEU50" s="6"/>
      <c r="NEV50" s="6"/>
      <c r="NEW50" s="6"/>
      <c r="NEX50" s="6"/>
      <c r="NEY50" s="6"/>
      <c r="NEZ50" s="6"/>
      <c r="NFA50" s="6"/>
      <c r="NFB50" s="6"/>
      <c r="NFC50" s="6"/>
      <c r="NFD50" s="6"/>
      <c r="NFE50" s="6"/>
      <c r="NFF50" s="6"/>
      <c r="NFG50" s="6"/>
      <c r="NFH50" s="6"/>
      <c r="NFI50" s="6"/>
      <c r="NFJ50" s="6"/>
      <c r="NFK50" s="6"/>
      <c r="NFL50" s="6"/>
      <c r="NFM50" s="6"/>
      <c r="NFN50" s="6"/>
      <c r="NFO50" s="6"/>
      <c r="NFP50" s="6"/>
      <c r="NFQ50" s="6"/>
      <c r="NFR50" s="6"/>
      <c r="NFS50" s="6"/>
      <c r="NFT50" s="6"/>
      <c r="NFU50" s="6"/>
      <c r="NFV50" s="6"/>
      <c r="NFW50" s="6"/>
      <c r="NFX50" s="6"/>
      <c r="NFY50" s="6"/>
      <c r="NFZ50" s="6"/>
      <c r="NGA50" s="6"/>
      <c r="NGB50" s="6"/>
      <c r="NGC50" s="6"/>
      <c r="NGD50" s="6"/>
      <c r="NGE50" s="6"/>
      <c r="NGF50" s="6"/>
      <c r="NGG50" s="6"/>
      <c r="NGH50" s="6"/>
      <c r="NGI50" s="6"/>
      <c r="NGJ50" s="6"/>
      <c r="NGK50" s="6"/>
      <c r="NGL50" s="6"/>
      <c r="NGM50" s="6"/>
      <c r="NGN50" s="6"/>
      <c r="NGO50" s="6"/>
      <c r="NGP50" s="6"/>
      <c r="NGQ50" s="6"/>
      <c r="NGR50" s="6"/>
      <c r="NGS50" s="6"/>
      <c r="NGT50" s="6"/>
      <c r="NGU50" s="6"/>
      <c r="NGV50" s="6"/>
      <c r="NGW50" s="6"/>
      <c r="NGX50" s="6"/>
      <c r="NGY50" s="6"/>
      <c r="NGZ50" s="6"/>
      <c r="NHA50" s="6"/>
      <c r="NHB50" s="6"/>
      <c r="NHC50" s="6"/>
      <c r="NHD50" s="6"/>
      <c r="NHE50" s="6"/>
      <c r="NHF50" s="6"/>
      <c r="NHG50" s="6"/>
      <c r="NHH50" s="6"/>
      <c r="NHI50" s="6"/>
      <c r="NHJ50" s="6"/>
      <c r="NHK50" s="6"/>
      <c r="NHL50" s="6"/>
      <c r="NHM50" s="6"/>
      <c r="NHN50" s="6"/>
      <c r="NHO50" s="6"/>
      <c r="NHP50" s="6"/>
      <c r="NHQ50" s="6"/>
      <c r="NHR50" s="6"/>
      <c r="NHS50" s="6"/>
      <c r="NHT50" s="6"/>
      <c r="NHU50" s="6"/>
      <c r="NHV50" s="6"/>
      <c r="NHW50" s="6"/>
      <c r="NHX50" s="6"/>
      <c r="NHY50" s="6"/>
      <c r="NHZ50" s="6"/>
      <c r="NIA50" s="6"/>
      <c r="NIB50" s="6"/>
      <c r="NIC50" s="6"/>
      <c r="NID50" s="6"/>
      <c r="NIE50" s="6"/>
      <c r="NIF50" s="6"/>
      <c r="NIG50" s="6"/>
      <c r="NIH50" s="6"/>
      <c r="NII50" s="6"/>
      <c r="NIJ50" s="6"/>
      <c r="NIK50" s="6"/>
      <c r="NIL50" s="6"/>
      <c r="NIM50" s="6"/>
      <c r="NIN50" s="6"/>
      <c r="NIO50" s="6"/>
      <c r="NIP50" s="6"/>
      <c r="NIQ50" s="6"/>
      <c r="NIR50" s="6"/>
      <c r="NIS50" s="6"/>
      <c r="NIT50" s="6"/>
      <c r="NIU50" s="6"/>
      <c r="NIV50" s="6"/>
      <c r="NIW50" s="6"/>
      <c r="NIX50" s="6"/>
      <c r="NIY50" s="6"/>
      <c r="NIZ50" s="6"/>
      <c r="NJA50" s="6"/>
      <c r="NJB50" s="6"/>
      <c r="NJC50" s="6"/>
      <c r="NJD50" s="6"/>
      <c r="NJE50" s="6"/>
      <c r="NJF50" s="6"/>
      <c r="NJG50" s="6"/>
      <c r="NJH50" s="6"/>
      <c r="NJI50" s="6"/>
      <c r="NJJ50" s="6"/>
      <c r="NJK50" s="6"/>
      <c r="NJL50" s="6"/>
      <c r="NJM50" s="6"/>
      <c r="NJN50" s="6"/>
      <c r="NJO50" s="6"/>
      <c r="NJP50" s="6"/>
      <c r="NJQ50" s="6"/>
      <c r="NJR50" s="6"/>
      <c r="NJS50" s="6"/>
      <c r="NJT50" s="6"/>
      <c r="NJU50" s="6"/>
      <c r="NJV50" s="6"/>
      <c r="NJW50" s="6"/>
      <c r="NJX50" s="6"/>
      <c r="NJY50" s="6"/>
      <c r="NJZ50" s="6"/>
      <c r="NKA50" s="6"/>
      <c r="NKB50" s="6"/>
      <c r="NKC50" s="6"/>
      <c r="NKD50" s="6"/>
      <c r="NKE50" s="6"/>
      <c r="NKF50" s="6"/>
      <c r="NKG50" s="6"/>
      <c r="NKH50" s="6"/>
      <c r="NKI50" s="6"/>
      <c r="NKJ50" s="6"/>
      <c r="NKK50" s="6"/>
      <c r="NKL50" s="6"/>
      <c r="NKM50" s="6"/>
      <c r="NKN50" s="6"/>
      <c r="NKO50" s="6"/>
      <c r="NKP50" s="6"/>
      <c r="NKQ50" s="6"/>
      <c r="NKR50" s="6"/>
      <c r="NKS50" s="6"/>
      <c r="NKT50" s="6"/>
      <c r="NKU50" s="6"/>
      <c r="NKV50" s="6"/>
      <c r="NKW50" s="6"/>
      <c r="NKX50" s="6"/>
      <c r="NKY50" s="6"/>
      <c r="NKZ50" s="6"/>
      <c r="NLA50" s="6"/>
      <c r="NLB50" s="6"/>
      <c r="NLC50" s="6"/>
      <c r="NLD50" s="6"/>
      <c r="NLE50" s="6"/>
      <c r="NLF50" s="6"/>
      <c r="NLG50" s="6"/>
      <c r="NLH50" s="6"/>
      <c r="NLI50" s="6"/>
      <c r="NLJ50" s="6"/>
      <c r="NLK50" s="6"/>
      <c r="NLL50" s="6"/>
      <c r="NLM50" s="6"/>
      <c r="NLN50" s="6"/>
      <c r="NLO50" s="6"/>
      <c r="NLP50" s="6"/>
      <c r="NLQ50" s="6"/>
      <c r="NLR50" s="6"/>
      <c r="NLS50" s="6"/>
      <c r="NLT50" s="6"/>
      <c r="NLU50" s="6"/>
      <c r="NLV50" s="6"/>
      <c r="NLW50" s="6"/>
      <c r="NLX50" s="6"/>
      <c r="NLY50" s="6"/>
      <c r="NLZ50" s="6"/>
      <c r="NMA50" s="6"/>
      <c r="NMB50" s="6"/>
      <c r="NMC50" s="6"/>
      <c r="NMD50" s="6"/>
      <c r="NME50" s="6"/>
      <c r="NMF50" s="6"/>
      <c r="NMG50" s="6"/>
      <c r="NMH50" s="6"/>
      <c r="NMI50" s="6"/>
      <c r="NMJ50" s="6"/>
      <c r="NMK50" s="6"/>
      <c r="NML50" s="6"/>
      <c r="NMM50" s="6"/>
      <c r="NMN50" s="6"/>
      <c r="NMO50" s="6"/>
      <c r="NMP50" s="6"/>
      <c r="NMQ50" s="6"/>
      <c r="NMR50" s="6"/>
      <c r="NMS50" s="6"/>
      <c r="NMT50" s="6"/>
      <c r="NMU50" s="6"/>
      <c r="NMV50" s="6"/>
      <c r="NMW50" s="6"/>
      <c r="NMX50" s="6"/>
      <c r="NMY50" s="6"/>
      <c r="NMZ50" s="6"/>
      <c r="NNA50" s="6"/>
      <c r="NNB50" s="6"/>
      <c r="NNC50" s="6"/>
      <c r="NND50" s="6"/>
      <c r="NNE50" s="6"/>
      <c r="NNF50" s="6"/>
      <c r="NNG50" s="6"/>
      <c r="NNH50" s="6"/>
      <c r="NNI50" s="6"/>
      <c r="NNJ50" s="6"/>
      <c r="NNK50" s="6"/>
      <c r="NNL50" s="6"/>
      <c r="NNM50" s="6"/>
      <c r="NNN50" s="6"/>
      <c r="NNO50" s="6"/>
      <c r="NNP50" s="6"/>
      <c r="NNQ50" s="6"/>
      <c r="NNR50" s="6"/>
      <c r="NNS50" s="6"/>
      <c r="NNT50" s="6"/>
      <c r="NNU50" s="6"/>
      <c r="NNV50" s="6"/>
      <c r="NNW50" s="6"/>
      <c r="NNX50" s="6"/>
      <c r="NNY50" s="6"/>
      <c r="NNZ50" s="6"/>
      <c r="NOA50" s="6"/>
      <c r="NOB50" s="6"/>
      <c r="NOC50" s="6"/>
      <c r="NOD50" s="6"/>
      <c r="NOE50" s="6"/>
      <c r="NOF50" s="6"/>
      <c r="NOG50" s="6"/>
      <c r="NOH50" s="6"/>
      <c r="NOI50" s="6"/>
      <c r="NOJ50" s="6"/>
      <c r="NOK50" s="6"/>
      <c r="NOL50" s="6"/>
      <c r="NOM50" s="6"/>
      <c r="NON50" s="6"/>
      <c r="NOO50" s="6"/>
      <c r="NOP50" s="6"/>
      <c r="NOQ50" s="6"/>
      <c r="NOR50" s="6"/>
      <c r="NOS50" s="6"/>
      <c r="NOT50" s="6"/>
      <c r="NOU50" s="6"/>
      <c r="NOV50" s="6"/>
      <c r="NOW50" s="6"/>
      <c r="NOX50" s="6"/>
      <c r="NOY50" s="6"/>
      <c r="NOZ50" s="6"/>
      <c r="NPA50" s="6"/>
      <c r="NPB50" s="6"/>
      <c r="NPC50" s="6"/>
      <c r="NPD50" s="6"/>
      <c r="NPE50" s="6"/>
      <c r="NPF50" s="6"/>
      <c r="NPG50" s="6"/>
      <c r="NPH50" s="6"/>
      <c r="NPI50" s="6"/>
      <c r="NPJ50" s="6"/>
      <c r="NPK50" s="6"/>
      <c r="NPL50" s="6"/>
      <c r="NPM50" s="6"/>
      <c r="NPN50" s="6"/>
      <c r="NPO50" s="6"/>
      <c r="NPP50" s="6"/>
      <c r="NPQ50" s="6"/>
      <c r="NPR50" s="6"/>
      <c r="NPS50" s="6"/>
      <c r="NPT50" s="6"/>
      <c r="NPU50" s="6"/>
      <c r="NPV50" s="6"/>
      <c r="NPW50" s="6"/>
      <c r="NPX50" s="6"/>
      <c r="NPY50" s="6"/>
      <c r="NPZ50" s="6"/>
      <c r="NQA50" s="6"/>
      <c r="NQB50" s="6"/>
      <c r="NQC50" s="6"/>
      <c r="NQD50" s="6"/>
      <c r="NQE50" s="6"/>
      <c r="NQF50" s="6"/>
      <c r="NQG50" s="6"/>
      <c r="NQH50" s="6"/>
      <c r="NQI50" s="6"/>
      <c r="NQJ50" s="6"/>
      <c r="NQK50" s="6"/>
      <c r="NQL50" s="6"/>
      <c r="NQM50" s="6"/>
      <c r="NQN50" s="6"/>
      <c r="NQO50" s="6"/>
      <c r="NQP50" s="6"/>
      <c r="NQQ50" s="6"/>
      <c r="NQR50" s="6"/>
      <c r="NQS50" s="6"/>
      <c r="NQT50" s="6"/>
      <c r="NQU50" s="6"/>
      <c r="NQV50" s="6"/>
      <c r="NQW50" s="6"/>
      <c r="NQX50" s="6"/>
      <c r="NQY50" s="6"/>
      <c r="NQZ50" s="6"/>
      <c r="NRA50" s="6"/>
      <c r="NRB50" s="6"/>
      <c r="NRC50" s="6"/>
      <c r="NRD50" s="6"/>
      <c r="NRE50" s="6"/>
      <c r="NRF50" s="6"/>
      <c r="NRG50" s="6"/>
      <c r="NRH50" s="6"/>
      <c r="NRI50" s="6"/>
      <c r="NRJ50" s="6"/>
      <c r="NRK50" s="6"/>
      <c r="NRL50" s="6"/>
      <c r="NRM50" s="6"/>
      <c r="NRN50" s="6"/>
      <c r="NRO50" s="6"/>
      <c r="NRP50" s="6"/>
      <c r="NRQ50" s="6"/>
      <c r="NRR50" s="6"/>
      <c r="NRS50" s="6"/>
      <c r="NRT50" s="6"/>
      <c r="NRU50" s="6"/>
      <c r="NRV50" s="6"/>
      <c r="NRW50" s="6"/>
      <c r="NRX50" s="6"/>
      <c r="NRY50" s="6"/>
      <c r="NRZ50" s="6"/>
      <c r="NSA50" s="6"/>
      <c r="NSB50" s="6"/>
      <c r="NSC50" s="6"/>
      <c r="NSD50" s="6"/>
      <c r="NSE50" s="6"/>
      <c r="NSF50" s="6"/>
      <c r="NSG50" s="6"/>
      <c r="NSH50" s="6"/>
      <c r="NSI50" s="6"/>
      <c r="NSJ50" s="6"/>
      <c r="NSK50" s="6"/>
      <c r="NSL50" s="6"/>
      <c r="NSM50" s="6"/>
      <c r="NSN50" s="6"/>
      <c r="NSO50" s="6"/>
      <c r="NSP50" s="6"/>
      <c r="NSQ50" s="6"/>
      <c r="NSR50" s="6"/>
      <c r="NSS50" s="6"/>
      <c r="NST50" s="6"/>
      <c r="NSU50" s="6"/>
      <c r="NSV50" s="6"/>
      <c r="NSW50" s="6"/>
      <c r="NSX50" s="6"/>
      <c r="NSY50" s="6"/>
      <c r="NSZ50" s="6"/>
      <c r="NTA50" s="6"/>
      <c r="NTB50" s="6"/>
      <c r="NTC50" s="6"/>
      <c r="NTD50" s="6"/>
      <c r="NTE50" s="6"/>
      <c r="NTF50" s="6"/>
      <c r="NTG50" s="6"/>
      <c r="NTH50" s="6"/>
      <c r="NTI50" s="6"/>
      <c r="NTJ50" s="6"/>
      <c r="NTK50" s="6"/>
      <c r="NTL50" s="6"/>
      <c r="NTM50" s="6"/>
      <c r="NTN50" s="6"/>
      <c r="NTO50" s="6"/>
      <c r="NTP50" s="6"/>
      <c r="NTQ50" s="6"/>
      <c r="NTR50" s="6"/>
      <c r="NTS50" s="6"/>
      <c r="NTT50" s="6"/>
      <c r="NTU50" s="6"/>
      <c r="NTV50" s="6"/>
      <c r="NTW50" s="6"/>
      <c r="NTX50" s="6"/>
      <c r="NTY50" s="6"/>
      <c r="NTZ50" s="6"/>
      <c r="NUA50" s="6"/>
      <c r="NUB50" s="6"/>
      <c r="NUC50" s="6"/>
      <c r="NUD50" s="6"/>
      <c r="NUE50" s="6"/>
      <c r="NUF50" s="6"/>
      <c r="NUG50" s="6"/>
      <c r="NUH50" s="6"/>
      <c r="NUI50" s="6"/>
      <c r="NUJ50" s="6"/>
      <c r="NUK50" s="6"/>
      <c r="NUL50" s="6"/>
      <c r="NUM50" s="6"/>
      <c r="NUN50" s="6"/>
      <c r="NUO50" s="6"/>
      <c r="NUP50" s="6"/>
      <c r="NUQ50" s="6"/>
      <c r="NUR50" s="6"/>
      <c r="NUS50" s="6"/>
      <c r="NUT50" s="6"/>
      <c r="NUU50" s="6"/>
      <c r="NUV50" s="6"/>
      <c r="NUW50" s="6"/>
      <c r="NUX50" s="6"/>
      <c r="NUY50" s="6"/>
      <c r="NUZ50" s="6"/>
      <c r="NVA50" s="6"/>
      <c r="NVB50" s="6"/>
      <c r="NVC50" s="6"/>
      <c r="NVD50" s="6"/>
      <c r="NVE50" s="6"/>
      <c r="NVF50" s="6"/>
      <c r="NVG50" s="6"/>
      <c r="NVH50" s="6"/>
      <c r="NVI50" s="6"/>
      <c r="NVJ50" s="6"/>
      <c r="NVK50" s="6"/>
      <c r="NVL50" s="6"/>
      <c r="NVM50" s="6"/>
      <c r="NVN50" s="6"/>
      <c r="NVO50" s="6"/>
      <c r="NVP50" s="6"/>
      <c r="NVQ50" s="6"/>
      <c r="NVR50" s="6"/>
      <c r="NVS50" s="6"/>
      <c r="NVT50" s="6"/>
      <c r="NVU50" s="6"/>
      <c r="NVV50" s="6"/>
      <c r="NVW50" s="6"/>
      <c r="NVX50" s="6"/>
      <c r="NVY50" s="6"/>
      <c r="NVZ50" s="6"/>
      <c r="NWA50" s="6"/>
      <c r="NWB50" s="6"/>
      <c r="NWC50" s="6"/>
      <c r="NWD50" s="6"/>
      <c r="NWE50" s="6"/>
      <c r="NWF50" s="6"/>
      <c r="NWG50" s="6"/>
      <c r="NWH50" s="6"/>
      <c r="NWI50" s="6"/>
      <c r="NWJ50" s="6"/>
      <c r="NWK50" s="6"/>
      <c r="NWL50" s="6"/>
      <c r="NWM50" s="6"/>
      <c r="NWN50" s="6"/>
      <c r="NWO50" s="6"/>
      <c r="NWP50" s="6"/>
      <c r="NWQ50" s="6"/>
      <c r="NWR50" s="6"/>
      <c r="NWS50" s="6"/>
      <c r="NWT50" s="6"/>
      <c r="NWU50" s="6"/>
      <c r="NWV50" s="6"/>
      <c r="NWW50" s="6"/>
      <c r="NWX50" s="6"/>
      <c r="NWY50" s="6"/>
      <c r="NWZ50" s="6"/>
      <c r="NXA50" s="6"/>
      <c r="NXB50" s="6"/>
      <c r="NXC50" s="6"/>
      <c r="NXD50" s="6"/>
      <c r="NXE50" s="6"/>
      <c r="NXF50" s="6"/>
      <c r="NXG50" s="6"/>
      <c r="NXH50" s="6"/>
      <c r="NXI50" s="6"/>
      <c r="NXJ50" s="6"/>
      <c r="NXK50" s="6"/>
      <c r="NXL50" s="6"/>
      <c r="NXM50" s="6"/>
      <c r="NXN50" s="6"/>
      <c r="NXO50" s="6"/>
      <c r="NXP50" s="6"/>
      <c r="NXQ50" s="6"/>
      <c r="NXR50" s="6"/>
      <c r="NXS50" s="6"/>
      <c r="NXT50" s="6"/>
      <c r="NXU50" s="6"/>
      <c r="NXV50" s="6"/>
      <c r="NXW50" s="6"/>
      <c r="NXX50" s="6"/>
      <c r="NXY50" s="6"/>
      <c r="NXZ50" s="6"/>
      <c r="NYA50" s="6"/>
      <c r="NYB50" s="6"/>
      <c r="NYC50" s="6"/>
      <c r="NYD50" s="6"/>
      <c r="NYE50" s="6"/>
      <c r="NYF50" s="6"/>
      <c r="NYG50" s="6"/>
      <c r="NYH50" s="6"/>
      <c r="NYI50" s="6"/>
      <c r="NYJ50" s="6"/>
      <c r="NYK50" s="6"/>
      <c r="NYL50" s="6"/>
      <c r="NYM50" s="6"/>
      <c r="NYN50" s="6"/>
      <c r="NYO50" s="6"/>
      <c r="NYP50" s="6"/>
      <c r="NYQ50" s="6"/>
      <c r="NYR50" s="6"/>
      <c r="NYS50" s="6"/>
      <c r="NYT50" s="6"/>
      <c r="NYU50" s="6"/>
      <c r="NYV50" s="6"/>
      <c r="NYW50" s="6"/>
      <c r="NYX50" s="6"/>
      <c r="NYY50" s="6"/>
      <c r="NYZ50" s="6"/>
      <c r="NZA50" s="6"/>
      <c r="NZB50" s="6"/>
      <c r="NZC50" s="6"/>
      <c r="NZD50" s="6"/>
      <c r="NZE50" s="6"/>
      <c r="NZF50" s="6"/>
      <c r="NZG50" s="6"/>
      <c r="NZH50" s="6"/>
      <c r="NZI50" s="6"/>
      <c r="NZJ50" s="6"/>
      <c r="NZK50" s="6"/>
      <c r="NZL50" s="6"/>
      <c r="NZM50" s="6"/>
      <c r="NZN50" s="6"/>
      <c r="NZO50" s="6"/>
      <c r="NZP50" s="6"/>
      <c r="NZQ50" s="6"/>
      <c r="NZR50" s="6"/>
      <c r="NZS50" s="6"/>
      <c r="NZT50" s="6"/>
      <c r="NZU50" s="6"/>
      <c r="NZV50" s="6"/>
      <c r="NZW50" s="6"/>
      <c r="NZX50" s="6"/>
      <c r="NZY50" s="6"/>
      <c r="NZZ50" s="6"/>
      <c r="OAA50" s="6"/>
      <c r="OAB50" s="6"/>
      <c r="OAC50" s="6"/>
      <c r="OAD50" s="6"/>
      <c r="OAE50" s="6"/>
      <c r="OAF50" s="6"/>
      <c r="OAG50" s="6"/>
      <c r="OAH50" s="6"/>
      <c r="OAI50" s="6"/>
      <c r="OAJ50" s="6"/>
      <c r="OAK50" s="6"/>
      <c r="OAL50" s="6"/>
      <c r="OAM50" s="6"/>
      <c r="OAN50" s="6"/>
      <c r="OAO50" s="6"/>
      <c r="OAP50" s="6"/>
      <c r="OAQ50" s="6"/>
      <c r="OAR50" s="6"/>
      <c r="OAS50" s="6"/>
      <c r="OAT50" s="6"/>
      <c r="OAU50" s="6"/>
      <c r="OAV50" s="6"/>
      <c r="OAW50" s="6"/>
      <c r="OAX50" s="6"/>
      <c r="OAY50" s="6"/>
      <c r="OAZ50" s="6"/>
      <c r="OBA50" s="6"/>
      <c r="OBB50" s="6"/>
      <c r="OBC50" s="6"/>
      <c r="OBD50" s="6"/>
      <c r="OBE50" s="6"/>
      <c r="OBF50" s="6"/>
      <c r="OBG50" s="6"/>
      <c r="OBH50" s="6"/>
      <c r="OBI50" s="6"/>
      <c r="OBJ50" s="6"/>
      <c r="OBK50" s="6"/>
      <c r="OBL50" s="6"/>
      <c r="OBM50" s="6"/>
      <c r="OBN50" s="6"/>
      <c r="OBO50" s="6"/>
      <c r="OBP50" s="6"/>
      <c r="OBQ50" s="6"/>
      <c r="OBR50" s="6"/>
      <c r="OBS50" s="6"/>
      <c r="OBT50" s="6"/>
      <c r="OBU50" s="6"/>
      <c r="OBV50" s="6"/>
      <c r="OBW50" s="6"/>
      <c r="OBX50" s="6"/>
      <c r="OBY50" s="6"/>
      <c r="OBZ50" s="6"/>
      <c r="OCA50" s="6"/>
      <c r="OCB50" s="6"/>
      <c r="OCC50" s="6"/>
      <c r="OCD50" s="6"/>
      <c r="OCE50" s="6"/>
      <c r="OCF50" s="6"/>
      <c r="OCG50" s="6"/>
      <c r="OCH50" s="6"/>
      <c r="OCI50" s="6"/>
      <c r="OCJ50" s="6"/>
      <c r="OCK50" s="6"/>
      <c r="OCL50" s="6"/>
      <c r="OCM50" s="6"/>
      <c r="OCN50" s="6"/>
      <c r="OCO50" s="6"/>
      <c r="OCP50" s="6"/>
      <c r="OCQ50" s="6"/>
      <c r="OCR50" s="6"/>
      <c r="OCS50" s="6"/>
      <c r="OCT50" s="6"/>
      <c r="OCU50" s="6"/>
      <c r="OCV50" s="6"/>
      <c r="OCW50" s="6"/>
      <c r="OCX50" s="6"/>
      <c r="OCY50" s="6"/>
      <c r="OCZ50" s="6"/>
      <c r="ODA50" s="6"/>
      <c r="ODB50" s="6"/>
      <c r="ODC50" s="6"/>
      <c r="ODD50" s="6"/>
      <c r="ODE50" s="6"/>
      <c r="ODF50" s="6"/>
      <c r="ODG50" s="6"/>
      <c r="ODH50" s="6"/>
      <c r="ODI50" s="6"/>
      <c r="ODJ50" s="6"/>
      <c r="ODK50" s="6"/>
      <c r="ODL50" s="6"/>
      <c r="ODM50" s="6"/>
      <c r="ODN50" s="6"/>
      <c r="ODO50" s="6"/>
      <c r="ODP50" s="6"/>
      <c r="ODQ50" s="6"/>
      <c r="ODR50" s="6"/>
      <c r="ODS50" s="6"/>
      <c r="ODT50" s="6"/>
      <c r="ODU50" s="6"/>
      <c r="ODV50" s="6"/>
      <c r="ODW50" s="6"/>
      <c r="ODX50" s="6"/>
      <c r="ODY50" s="6"/>
      <c r="ODZ50" s="6"/>
      <c r="OEA50" s="6"/>
      <c r="OEB50" s="6"/>
      <c r="OEC50" s="6"/>
      <c r="OED50" s="6"/>
      <c r="OEE50" s="6"/>
      <c r="OEF50" s="6"/>
      <c r="OEG50" s="6"/>
      <c r="OEH50" s="6"/>
      <c r="OEI50" s="6"/>
      <c r="OEJ50" s="6"/>
      <c r="OEK50" s="6"/>
      <c r="OEL50" s="6"/>
      <c r="OEM50" s="6"/>
      <c r="OEN50" s="6"/>
      <c r="OEO50" s="6"/>
      <c r="OEP50" s="6"/>
      <c r="OEQ50" s="6"/>
      <c r="OER50" s="6"/>
      <c r="OES50" s="6"/>
      <c r="OET50" s="6"/>
      <c r="OEU50" s="6"/>
      <c r="OEV50" s="6"/>
      <c r="OEW50" s="6"/>
      <c r="OEX50" s="6"/>
      <c r="OEY50" s="6"/>
      <c r="OEZ50" s="6"/>
      <c r="OFA50" s="6"/>
      <c r="OFB50" s="6"/>
      <c r="OFC50" s="6"/>
      <c r="OFD50" s="6"/>
      <c r="OFE50" s="6"/>
      <c r="OFF50" s="6"/>
      <c r="OFG50" s="6"/>
      <c r="OFH50" s="6"/>
      <c r="OFI50" s="6"/>
      <c r="OFJ50" s="6"/>
      <c r="OFK50" s="6"/>
      <c r="OFL50" s="6"/>
      <c r="OFM50" s="6"/>
      <c r="OFN50" s="6"/>
      <c r="OFO50" s="6"/>
      <c r="OFP50" s="6"/>
      <c r="OFQ50" s="6"/>
      <c r="OFR50" s="6"/>
      <c r="OFS50" s="6"/>
      <c r="OFT50" s="6"/>
      <c r="OFU50" s="6"/>
      <c r="OFV50" s="6"/>
      <c r="OFW50" s="6"/>
      <c r="OFX50" s="6"/>
      <c r="OFY50" s="6"/>
      <c r="OFZ50" s="6"/>
      <c r="OGA50" s="6"/>
      <c r="OGB50" s="6"/>
      <c r="OGC50" s="6"/>
      <c r="OGD50" s="6"/>
      <c r="OGE50" s="6"/>
      <c r="OGF50" s="6"/>
      <c r="OGG50" s="6"/>
      <c r="OGH50" s="6"/>
      <c r="OGI50" s="6"/>
      <c r="OGJ50" s="6"/>
      <c r="OGK50" s="6"/>
      <c r="OGL50" s="6"/>
      <c r="OGM50" s="6"/>
      <c r="OGN50" s="6"/>
      <c r="OGO50" s="6"/>
      <c r="OGP50" s="6"/>
      <c r="OGQ50" s="6"/>
      <c r="OGR50" s="6"/>
      <c r="OGS50" s="6"/>
      <c r="OGT50" s="6"/>
      <c r="OGU50" s="6"/>
      <c r="OGV50" s="6"/>
      <c r="OGW50" s="6"/>
      <c r="OGX50" s="6"/>
      <c r="OGY50" s="6"/>
      <c r="OGZ50" s="6"/>
      <c r="OHA50" s="6"/>
      <c r="OHB50" s="6"/>
      <c r="OHC50" s="6"/>
      <c r="OHD50" s="6"/>
      <c r="OHE50" s="6"/>
      <c r="OHF50" s="6"/>
      <c r="OHG50" s="6"/>
      <c r="OHH50" s="6"/>
      <c r="OHI50" s="6"/>
      <c r="OHJ50" s="6"/>
      <c r="OHK50" s="6"/>
      <c r="OHL50" s="6"/>
      <c r="OHM50" s="6"/>
      <c r="OHN50" s="6"/>
      <c r="OHO50" s="6"/>
      <c r="OHP50" s="6"/>
      <c r="OHQ50" s="6"/>
      <c r="OHR50" s="6"/>
      <c r="OHS50" s="6"/>
      <c r="OHT50" s="6"/>
      <c r="OHU50" s="6"/>
      <c r="OHV50" s="6"/>
      <c r="OHW50" s="6"/>
      <c r="OHX50" s="6"/>
      <c r="OHY50" s="6"/>
      <c r="OHZ50" s="6"/>
      <c r="OIA50" s="6"/>
      <c r="OIB50" s="6"/>
      <c r="OIC50" s="6"/>
      <c r="OID50" s="6"/>
      <c r="OIE50" s="6"/>
      <c r="OIF50" s="6"/>
      <c r="OIG50" s="6"/>
      <c r="OIH50" s="6"/>
      <c r="OII50" s="6"/>
      <c r="OIJ50" s="6"/>
      <c r="OIK50" s="6"/>
      <c r="OIL50" s="6"/>
      <c r="OIM50" s="6"/>
      <c r="OIN50" s="6"/>
      <c r="OIO50" s="6"/>
      <c r="OIP50" s="6"/>
      <c r="OIQ50" s="6"/>
      <c r="OIR50" s="6"/>
      <c r="OIS50" s="6"/>
      <c r="OIT50" s="6"/>
      <c r="OIU50" s="6"/>
      <c r="OIV50" s="6"/>
      <c r="OIW50" s="6"/>
      <c r="OIX50" s="6"/>
      <c r="OIY50" s="6"/>
      <c r="OIZ50" s="6"/>
      <c r="OJA50" s="6"/>
      <c r="OJB50" s="6"/>
      <c r="OJC50" s="6"/>
      <c r="OJD50" s="6"/>
      <c r="OJE50" s="6"/>
      <c r="OJF50" s="6"/>
      <c r="OJG50" s="6"/>
      <c r="OJH50" s="6"/>
      <c r="OJI50" s="6"/>
      <c r="OJJ50" s="6"/>
      <c r="OJK50" s="6"/>
      <c r="OJL50" s="6"/>
      <c r="OJM50" s="6"/>
      <c r="OJN50" s="6"/>
      <c r="OJO50" s="6"/>
      <c r="OJP50" s="6"/>
      <c r="OJQ50" s="6"/>
      <c r="OJR50" s="6"/>
      <c r="OJS50" s="6"/>
      <c r="OJT50" s="6"/>
      <c r="OJU50" s="6"/>
      <c r="OJV50" s="6"/>
      <c r="OJW50" s="6"/>
      <c r="OJX50" s="6"/>
      <c r="OJY50" s="6"/>
      <c r="OJZ50" s="6"/>
      <c r="OKA50" s="6"/>
      <c r="OKB50" s="6"/>
      <c r="OKC50" s="6"/>
      <c r="OKD50" s="6"/>
      <c r="OKE50" s="6"/>
      <c r="OKF50" s="6"/>
      <c r="OKG50" s="6"/>
      <c r="OKH50" s="6"/>
      <c r="OKI50" s="6"/>
      <c r="OKJ50" s="6"/>
      <c r="OKK50" s="6"/>
      <c r="OKL50" s="6"/>
      <c r="OKM50" s="6"/>
      <c r="OKN50" s="6"/>
      <c r="OKO50" s="6"/>
      <c r="OKP50" s="6"/>
      <c r="OKQ50" s="6"/>
      <c r="OKR50" s="6"/>
      <c r="OKS50" s="6"/>
      <c r="OKT50" s="6"/>
      <c r="OKU50" s="6"/>
      <c r="OKV50" s="6"/>
      <c r="OKW50" s="6"/>
      <c r="OKX50" s="6"/>
      <c r="OKY50" s="6"/>
      <c r="OKZ50" s="6"/>
      <c r="OLA50" s="6"/>
      <c r="OLB50" s="6"/>
      <c r="OLC50" s="6"/>
      <c r="OLD50" s="6"/>
      <c r="OLE50" s="6"/>
      <c r="OLF50" s="6"/>
      <c r="OLG50" s="6"/>
      <c r="OLH50" s="6"/>
      <c r="OLI50" s="6"/>
      <c r="OLJ50" s="6"/>
      <c r="OLK50" s="6"/>
      <c r="OLL50" s="6"/>
      <c r="OLM50" s="6"/>
      <c r="OLN50" s="6"/>
      <c r="OLO50" s="6"/>
      <c r="OLP50" s="6"/>
      <c r="OLQ50" s="6"/>
      <c r="OLR50" s="6"/>
      <c r="OLS50" s="6"/>
      <c r="OLT50" s="6"/>
      <c r="OLU50" s="6"/>
      <c r="OLV50" s="6"/>
      <c r="OLW50" s="6"/>
      <c r="OLX50" s="6"/>
      <c r="OLY50" s="6"/>
      <c r="OLZ50" s="6"/>
      <c r="OMA50" s="6"/>
      <c r="OMB50" s="6"/>
      <c r="OMC50" s="6"/>
      <c r="OMD50" s="6"/>
      <c r="OME50" s="6"/>
      <c r="OMF50" s="6"/>
      <c r="OMG50" s="6"/>
      <c r="OMH50" s="6"/>
      <c r="OMI50" s="6"/>
      <c r="OMJ50" s="6"/>
      <c r="OMK50" s="6"/>
      <c r="OML50" s="6"/>
      <c r="OMM50" s="6"/>
      <c r="OMN50" s="6"/>
      <c r="OMO50" s="6"/>
      <c r="OMP50" s="6"/>
      <c r="OMQ50" s="6"/>
      <c r="OMR50" s="6"/>
      <c r="OMS50" s="6"/>
      <c r="OMT50" s="6"/>
      <c r="OMU50" s="6"/>
      <c r="OMV50" s="6"/>
      <c r="OMW50" s="6"/>
      <c r="OMX50" s="6"/>
      <c r="OMY50" s="6"/>
      <c r="OMZ50" s="6"/>
      <c r="ONA50" s="6"/>
      <c r="ONB50" s="6"/>
      <c r="ONC50" s="6"/>
      <c r="OND50" s="6"/>
      <c r="ONE50" s="6"/>
      <c r="ONF50" s="6"/>
      <c r="ONG50" s="6"/>
      <c r="ONH50" s="6"/>
      <c r="ONI50" s="6"/>
      <c r="ONJ50" s="6"/>
      <c r="ONK50" s="6"/>
      <c r="ONL50" s="6"/>
      <c r="ONM50" s="6"/>
      <c r="ONN50" s="6"/>
      <c r="ONO50" s="6"/>
      <c r="ONP50" s="6"/>
      <c r="ONQ50" s="6"/>
      <c r="ONR50" s="6"/>
      <c r="ONS50" s="6"/>
      <c r="ONT50" s="6"/>
      <c r="ONU50" s="6"/>
      <c r="ONV50" s="6"/>
      <c r="ONW50" s="6"/>
      <c r="ONX50" s="6"/>
      <c r="ONY50" s="6"/>
      <c r="ONZ50" s="6"/>
      <c r="OOA50" s="6"/>
      <c r="OOB50" s="6"/>
      <c r="OOC50" s="6"/>
      <c r="OOD50" s="6"/>
      <c r="OOE50" s="6"/>
      <c r="OOF50" s="6"/>
      <c r="OOG50" s="6"/>
      <c r="OOH50" s="6"/>
      <c r="OOI50" s="6"/>
      <c r="OOJ50" s="6"/>
      <c r="OOK50" s="6"/>
      <c r="OOL50" s="6"/>
      <c r="OOM50" s="6"/>
      <c r="OON50" s="6"/>
      <c r="OOO50" s="6"/>
      <c r="OOP50" s="6"/>
      <c r="OOQ50" s="6"/>
      <c r="OOR50" s="6"/>
      <c r="OOS50" s="6"/>
      <c r="OOT50" s="6"/>
      <c r="OOU50" s="6"/>
      <c r="OOV50" s="6"/>
      <c r="OOW50" s="6"/>
      <c r="OOX50" s="6"/>
      <c r="OOY50" s="6"/>
      <c r="OOZ50" s="6"/>
      <c r="OPA50" s="6"/>
      <c r="OPB50" s="6"/>
      <c r="OPC50" s="6"/>
      <c r="OPD50" s="6"/>
      <c r="OPE50" s="6"/>
      <c r="OPF50" s="6"/>
      <c r="OPG50" s="6"/>
      <c r="OPH50" s="6"/>
      <c r="OPI50" s="6"/>
      <c r="OPJ50" s="6"/>
      <c r="OPK50" s="6"/>
      <c r="OPL50" s="6"/>
      <c r="OPM50" s="6"/>
      <c r="OPN50" s="6"/>
      <c r="OPO50" s="6"/>
      <c r="OPP50" s="6"/>
      <c r="OPQ50" s="6"/>
      <c r="OPR50" s="6"/>
      <c r="OPS50" s="6"/>
      <c r="OPT50" s="6"/>
      <c r="OPU50" s="6"/>
      <c r="OPV50" s="6"/>
      <c r="OPW50" s="6"/>
      <c r="OPX50" s="6"/>
      <c r="OPY50" s="6"/>
      <c r="OPZ50" s="6"/>
      <c r="OQA50" s="6"/>
      <c r="OQB50" s="6"/>
      <c r="OQC50" s="6"/>
      <c r="OQD50" s="6"/>
      <c r="OQE50" s="6"/>
      <c r="OQF50" s="6"/>
      <c r="OQG50" s="6"/>
      <c r="OQH50" s="6"/>
      <c r="OQI50" s="6"/>
      <c r="OQJ50" s="6"/>
      <c r="OQK50" s="6"/>
      <c r="OQL50" s="6"/>
      <c r="OQM50" s="6"/>
      <c r="OQN50" s="6"/>
      <c r="OQO50" s="6"/>
      <c r="OQP50" s="6"/>
      <c r="OQQ50" s="6"/>
      <c r="OQR50" s="6"/>
      <c r="OQS50" s="6"/>
      <c r="OQT50" s="6"/>
      <c r="OQU50" s="6"/>
      <c r="OQV50" s="6"/>
      <c r="OQW50" s="6"/>
      <c r="OQX50" s="6"/>
      <c r="OQY50" s="6"/>
      <c r="OQZ50" s="6"/>
      <c r="ORA50" s="6"/>
      <c r="ORB50" s="6"/>
      <c r="ORC50" s="6"/>
      <c r="ORD50" s="6"/>
      <c r="ORE50" s="6"/>
      <c r="ORF50" s="6"/>
      <c r="ORG50" s="6"/>
      <c r="ORH50" s="6"/>
      <c r="ORI50" s="6"/>
      <c r="ORJ50" s="6"/>
      <c r="ORK50" s="6"/>
      <c r="ORL50" s="6"/>
      <c r="ORM50" s="6"/>
      <c r="ORN50" s="6"/>
      <c r="ORO50" s="6"/>
      <c r="ORP50" s="6"/>
      <c r="ORQ50" s="6"/>
      <c r="ORR50" s="6"/>
      <c r="ORS50" s="6"/>
      <c r="ORT50" s="6"/>
      <c r="ORU50" s="6"/>
      <c r="ORV50" s="6"/>
      <c r="ORW50" s="6"/>
      <c r="ORX50" s="6"/>
      <c r="ORY50" s="6"/>
      <c r="ORZ50" s="6"/>
      <c r="OSA50" s="6"/>
      <c r="OSB50" s="6"/>
      <c r="OSC50" s="6"/>
      <c r="OSD50" s="6"/>
      <c r="OSE50" s="6"/>
      <c r="OSF50" s="6"/>
      <c r="OSG50" s="6"/>
      <c r="OSH50" s="6"/>
      <c r="OSI50" s="6"/>
      <c r="OSJ50" s="6"/>
      <c r="OSK50" s="6"/>
      <c r="OSL50" s="6"/>
      <c r="OSM50" s="6"/>
      <c r="OSN50" s="6"/>
      <c r="OSO50" s="6"/>
      <c r="OSP50" s="6"/>
      <c r="OSQ50" s="6"/>
      <c r="OSR50" s="6"/>
      <c r="OSS50" s="6"/>
      <c r="OST50" s="6"/>
      <c r="OSU50" s="6"/>
      <c r="OSV50" s="6"/>
      <c r="OSW50" s="6"/>
      <c r="OSX50" s="6"/>
      <c r="OSY50" s="6"/>
      <c r="OSZ50" s="6"/>
      <c r="OTA50" s="6"/>
      <c r="OTB50" s="6"/>
      <c r="OTC50" s="6"/>
      <c r="OTD50" s="6"/>
      <c r="OTE50" s="6"/>
      <c r="OTF50" s="6"/>
      <c r="OTG50" s="6"/>
      <c r="OTH50" s="6"/>
      <c r="OTI50" s="6"/>
      <c r="OTJ50" s="6"/>
      <c r="OTK50" s="6"/>
      <c r="OTL50" s="6"/>
      <c r="OTM50" s="6"/>
      <c r="OTN50" s="6"/>
      <c r="OTO50" s="6"/>
      <c r="OTP50" s="6"/>
      <c r="OTQ50" s="6"/>
      <c r="OTR50" s="6"/>
      <c r="OTS50" s="6"/>
      <c r="OTT50" s="6"/>
      <c r="OTU50" s="6"/>
      <c r="OTV50" s="6"/>
      <c r="OTW50" s="6"/>
      <c r="OTX50" s="6"/>
      <c r="OTY50" s="6"/>
      <c r="OTZ50" s="6"/>
      <c r="OUA50" s="6"/>
      <c r="OUB50" s="6"/>
      <c r="OUC50" s="6"/>
      <c r="OUD50" s="6"/>
      <c r="OUE50" s="6"/>
      <c r="OUF50" s="6"/>
      <c r="OUG50" s="6"/>
      <c r="OUH50" s="6"/>
      <c r="OUI50" s="6"/>
      <c r="OUJ50" s="6"/>
      <c r="OUK50" s="6"/>
      <c r="OUL50" s="6"/>
      <c r="OUM50" s="6"/>
      <c r="OUN50" s="6"/>
      <c r="OUO50" s="6"/>
      <c r="OUP50" s="6"/>
      <c r="OUQ50" s="6"/>
      <c r="OUR50" s="6"/>
      <c r="OUS50" s="6"/>
      <c r="OUT50" s="6"/>
      <c r="OUU50" s="6"/>
      <c r="OUV50" s="6"/>
      <c r="OUW50" s="6"/>
      <c r="OUX50" s="6"/>
      <c r="OUY50" s="6"/>
      <c r="OUZ50" s="6"/>
      <c r="OVA50" s="6"/>
      <c r="OVB50" s="6"/>
      <c r="OVC50" s="6"/>
      <c r="OVD50" s="6"/>
      <c r="OVE50" s="6"/>
      <c r="OVF50" s="6"/>
      <c r="OVG50" s="6"/>
      <c r="OVH50" s="6"/>
      <c r="OVI50" s="6"/>
      <c r="OVJ50" s="6"/>
      <c r="OVK50" s="6"/>
      <c r="OVL50" s="6"/>
      <c r="OVM50" s="6"/>
      <c r="OVN50" s="6"/>
      <c r="OVO50" s="6"/>
      <c r="OVP50" s="6"/>
      <c r="OVQ50" s="6"/>
      <c r="OVR50" s="6"/>
      <c r="OVS50" s="6"/>
      <c r="OVT50" s="6"/>
      <c r="OVU50" s="6"/>
      <c r="OVV50" s="6"/>
      <c r="OVW50" s="6"/>
      <c r="OVX50" s="6"/>
      <c r="OVY50" s="6"/>
      <c r="OVZ50" s="6"/>
      <c r="OWA50" s="6"/>
      <c r="OWB50" s="6"/>
      <c r="OWC50" s="6"/>
      <c r="OWD50" s="6"/>
      <c r="OWE50" s="6"/>
      <c r="OWF50" s="6"/>
      <c r="OWG50" s="6"/>
      <c r="OWH50" s="6"/>
      <c r="OWI50" s="6"/>
      <c r="OWJ50" s="6"/>
      <c r="OWK50" s="6"/>
      <c r="OWL50" s="6"/>
      <c r="OWM50" s="6"/>
      <c r="OWN50" s="6"/>
      <c r="OWO50" s="6"/>
      <c r="OWP50" s="6"/>
      <c r="OWQ50" s="6"/>
      <c r="OWR50" s="6"/>
      <c r="OWS50" s="6"/>
      <c r="OWT50" s="6"/>
      <c r="OWU50" s="6"/>
      <c r="OWV50" s="6"/>
      <c r="OWW50" s="6"/>
      <c r="OWX50" s="6"/>
      <c r="OWY50" s="6"/>
      <c r="OWZ50" s="6"/>
      <c r="OXA50" s="6"/>
      <c r="OXB50" s="6"/>
      <c r="OXC50" s="6"/>
      <c r="OXD50" s="6"/>
      <c r="OXE50" s="6"/>
      <c r="OXF50" s="6"/>
      <c r="OXG50" s="6"/>
      <c r="OXH50" s="6"/>
      <c r="OXI50" s="6"/>
      <c r="OXJ50" s="6"/>
      <c r="OXK50" s="6"/>
      <c r="OXL50" s="6"/>
      <c r="OXM50" s="6"/>
      <c r="OXN50" s="6"/>
      <c r="OXO50" s="6"/>
      <c r="OXP50" s="6"/>
      <c r="OXQ50" s="6"/>
      <c r="OXR50" s="6"/>
      <c r="OXS50" s="6"/>
      <c r="OXT50" s="6"/>
      <c r="OXU50" s="6"/>
      <c r="OXV50" s="6"/>
      <c r="OXW50" s="6"/>
      <c r="OXX50" s="6"/>
      <c r="OXY50" s="6"/>
      <c r="OXZ50" s="6"/>
      <c r="OYA50" s="6"/>
      <c r="OYB50" s="6"/>
      <c r="OYC50" s="6"/>
      <c r="OYD50" s="6"/>
      <c r="OYE50" s="6"/>
      <c r="OYF50" s="6"/>
      <c r="OYG50" s="6"/>
      <c r="OYH50" s="6"/>
      <c r="OYI50" s="6"/>
      <c r="OYJ50" s="6"/>
      <c r="OYK50" s="6"/>
      <c r="OYL50" s="6"/>
      <c r="OYM50" s="6"/>
      <c r="OYN50" s="6"/>
      <c r="OYO50" s="6"/>
      <c r="OYP50" s="6"/>
      <c r="OYQ50" s="6"/>
      <c r="OYR50" s="6"/>
      <c r="OYS50" s="6"/>
      <c r="OYT50" s="6"/>
      <c r="OYU50" s="6"/>
      <c r="OYV50" s="6"/>
      <c r="OYW50" s="6"/>
      <c r="OYX50" s="6"/>
      <c r="OYY50" s="6"/>
      <c r="OYZ50" s="6"/>
      <c r="OZA50" s="6"/>
      <c r="OZB50" s="6"/>
      <c r="OZC50" s="6"/>
      <c r="OZD50" s="6"/>
      <c r="OZE50" s="6"/>
      <c r="OZF50" s="6"/>
      <c r="OZG50" s="6"/>
      <c r="OZH50" s="6"/>
      <c r="OZI50" s="6"/>
      <c r="OZJ50" s="6"/>
      <c r="OZK50" s="6"/>
      <c r="OZL50" s="6"/>
      <c r="OZM50" s="6"/>
      <c r="OZN50" s="6"/>
      <c r="OZO50" s="6"/>
      <c r="OZP50" s="6"/>
      <c r="OZQ50" s="6"/>
      <c r="OZR50" s="6"/>
      <c r="OZS50" s="6"/>
      <c r="OZT50" s="6"/>
      <c r="OZU50" s="6"/>
      <c r="OZV50" s="6"/>
      <c r="OZW50" s="6"/>
      <c r="OZX50" s="6"/>
      <c r="OZY50" s="6"/>
      <c r="OZZ50" s="6"/>
      <c r="PAA50" s="6"/>
      <c r="PAB50" s="6"/>
      <c r="PAC50" s="6"/>
      <c r="PAD50" s="6"/>
      <c r="PAE50" s="6"/>
      <c r="PAF50" s="6"/>
      <c r="PAG50" s="6"/>
      <c r="PAH50" s="6"/>
      <c r="PAI50" s="6"/>
      <c r="PAJ50" s="6"/>
      <c r="PAK50" s="6"/>
      <c r="PAL50" s="6"/>
      <c r="PAM50" s="6"/>
      <c r="PAN50" s="6"/>
      <c r="PAO50" s="6"/>
      <c r="PAP50" s="6"/>
      <c r="PAQ50" s="6"/>
      <c r="PAR50" s="6"/>
      <c r="PAS50" s="6"/>
      <c r="PAT50" s="6"/>
      <c r="PAU50" s="6"/>
      <c r="PAV50" s="6"/>
      <c r="PAW50" s="6"/>
      <c r="PAX50" s="6"/>
      <c r="PAY50" s="6"/>
      <c r="PAZ50" s="6"/>
      <c r="PBA50" s="6"/>
      <c r="PBB50" s="6"/>
      <c r="PBC50" s="6"/>
      <c r="PBD50" s="6"/>
      <c r="PBE50" s="6"/>
      <c r="PBF50" s="6"/>
      <c r="PBG50" s="6"/>
      <c r="PBH50" s="6"/>
      <c r="PBI50" s="6"/>
      <c r="PBJ50" s="6"/>
      <c r="PBK50" s="6"/>
      <c r="PBL50" s="6"/>
      <c r="PBM50" s="6"/>
      <c r="PBN50" s="6"/>
      <c r="PBO50" s="6"/>
      <c r="PBP50" s="6"/>
      <c r="PBQ50" s="6"/>
      <c r="PBR50" s="6"/>
      <c r="PBS50" s="6"/>
      <c r="PBT50" s="6"/>
      <c r="PBU50" s="6"/>
      <c r="PBV50" s="6"/>
      <c r="PBW50" s="6"/>
      <c r="PBX50" s="6"/>
      <c r="PBY50" s="6"/>
      <c r="PBZ50" s="6"/>
      <c r="PCA50" s="6"/>
      <c r="PCB50" s="6"/>
      <c r="PCC50" s="6"/>
      <c r="PCD50" s="6"/>
      <c r="PCE50" s="6"/>
      <c r="PCF50" s="6"/>
      <c r="PCG50" s="6"/>
      <c r="PCH50" s="6"/>
      <c r="PCI50" s="6"/>
      <c r="PCJ50" s="6"/>
      <c r="PCK50" s="6"/>
      <c r="PCL50" s="6"/>
      <c r="PCM50" s="6"/>
      <c r="PCN50" s="6"/>
      <c r="PCO50" s="6"/>
      <c r="PCP50" s="6"/>
      <c r="PCQ50" s="6"/>
      <c r="PCR50" s="6"/>
      <c r="PCS50" s="6"/>
      <c r="PCT50" s="6"/>
      <c r="PCU50" s="6"/>
      <c r="PCV50" s="6"/>
      <c r="PCW50" s="6"/>
      <c r="PCX50" s="6"/>
      <c r="PCY50" s="6"/>
      <c r="PCZ50" s="6"/>
      <c r="PDA50" s="6"/>
      <c r="PDB50" s="6"/>
      <c r="PDC50" s="6"/>
      <c r="PDD50" s="6"/>
      <c r="PDE50" s="6"/>
      <c r="PDF50" s="6"/>
      <c r="PDG50" s="6"/>
      <c r="PDH50" s="6"/>
      <c r="PDI50" s="6"/>
      <c r="PDJ50" s="6"/>
      <c r="PDK50" s="6"/>
      <c r="PDL50" s="6"/>
      <c r="PDM50" s="6"/>
      <c r="PDN50" s="6"/>
      <c r="PDO50" s="6"/>
      <c r="PDP50" s="6"/>
      <c r="PDQ50" s="6"/>
      <c r="PDR50" s="6"/>
      <c r="PDS50" s="6"/>
      <c r="PDT50" s="6"/>
      <c r="PDU50" s="6"/>
      <c r="PDV50" s="6"/>
      <c r="PDW50" s="6"/>
      <c r="PDX50" s="6"/>
      <c r="PDY50" s="6"/>
      <c r="PDZ50" s="6"/>
      <c r="PEA50" s="6"/>
      <c r="PEB50" s="6"/>
      <c r="PEC50" s="6"/>
      <c r="PED50" s="6"/>
      <c r="PEE50" s="6"/>
      <c r="PEF50" s="6"/>
      <c r="PEG50" s="6"/>
      <c r="PEH50" s="6"/>
      <c r="PEI50" s="6"/>
      <c r="PEJ50" s="6"/>
      <c r="PEK50" s="6"/>
      <c r="PEL50" s="6"/>
      <c r="PEM50" s="6"/>
      <c r="PEN50" s="6"/>
      <c r="PEO50" s="6"/>
      <c r="PEP50" s="6"/>
      <c r="PEQ50" s="6"/>
      <c r="PER50" s="6"/>
      <c r="PES50" s="6"/>
      <c r="PET50" s="6"/>
      <c r="PEU50" s="6"/>
      <c r="PEV50" s="6"/>
      <c r="PEW50" s="6"/>
      <c r="PEX50" s="6"/>
      <c r="PEY50" s="6"/>
      <c r="PEZ50" s="6"/>
      <c r="PFA50" s="6"/>
      <c r="PFB50" s="6"/>
      <c r="PFC50" s="6"/>
      <c r="PFD50" s="6"/>
      <c r="PFE50" s="6"/>
      <c r="PFF50" s="6"/>
      <c r="PFG50" s="6"/>
      <c r="PFH50" s="6"/>
      <c r="PFI50" s="6"/>
      <c r="PFJ50" s="6"/>
      <c r="PFK50" s="6"/>
      <c r="PFL50" s="6"/>
      <c r="PFM50" s="6"/>
      <c r="PFN50" s="6"/>
      <c r="PFO50" s="6"/>
      <c r="PFP50" s="6"/>
      <c r="PFQ50" s="6"/>
      <c r="PFR50" s="6"/>
      <c r="PFS50" s="6"/>
      <c r="PFT50" s="6"/>
      <c r="PFU50" s="6"/>
      <c r="PFV50" s="6"/>
      <c r="PFW50" s="6"/>
      <c r="PFX50" s="6"/>
      <c r="PFY50" s="6"/>
      <c r="PFZ50" s="6"/>
      <c r="PGA50" s="6"/>
      <c r="PGB50" s="6"/>
      <c r="PGC50" s="6"/>
      <c r="PGD50" s="6"/>
      <c r="PGE50" s="6"/>
      <c r="PGF50" s="6"/>
      <c r="PGG50" s="6"/>
      <c r="PGH50" s="6"/>
      <c r="PGI50" s="6"/>
      <c r="PGJ50" s="6"/>
      <c r="PGK50" s="6"/>
      <c r="PGL50" s="6"/>
      <c r="PGM50" s="6"/>
      <c r="PGN50" s="6"/>
      <c r="PGO50" s="6"/>
      <c r="PGP50" s="6"/>
      <c r="PGQ50" s="6"/>
      <c r="PGR50" s="6"/>
      <c r="PGS50" s="6"/>
      <c r="PGT50" s="6"/>
      <c r="PGU50" s="6"/>
      <c r="PGV50" s="6"/>
      <c r="PGW50" s="6"/>
      <c r="PGX50" s="6"/>
      <c r="PGY50" s="6"/>
      <c r="PGZ50" s="6"/>
      <c r="PHA50" s="6"/>
      <c r="PHB50" s="6"/>
      <c r="PHC50" s="6"/>
      <c r="PHD50" s="6"/>
      <c r="PHE50" s="6"/>
      <c r="PHF50" s="6"/>
      <c r="PHG50" s="6"/>
      <c r="PHH50" s="6"/>
      <c r="PHI50" s="6"/>
      <c r="PHJ50" s="6"/>
      <c r="PHK50" s="6"/>
      <c r="PHL50" s="6"/>
      <c r="PHM50" s="6"/>
      <c r="PHN50" s="6"/>
      <c r="PHO50" s="6"/>
      <c r="PHP50" s="6"/>
      <c r="PHQ50" s="6"/>
      <c r="PHR50" s="6"/>
      <c r="PHS50" s="6"/>
      <c r="PHT50" s="6"/>
      <c r="PHU50" s="6"/>
      <c r="PHV50" s="6"/>
      <c r="PHW50" s="6"/>
      <c r="PHX50" s="6"/>
      <c r="PHY50" s="6"/>
      <c r="PHZ50" s="6"/>
      <c r="PIA50" s="6"/>
      <c r="PIB50" s="6"/>
      <c r="PIC50" s="6"/>
      <c r="PID50" s="6"/>
      <c r="PIE50" s="6"/>
      <c r="PIF50" s="6"/>
      <c r="PIG50" s="6"/>
      <c r="PIH50" s="6"/>
      <c r="PII50" s="6"/>
      <c r="PIJ50" s="6"/>
      <c r="PIK50" s="6"/>
      <c r="PIL50" s="6"/>
      <c r="PIM50" s="6"/>
      <c r="PIN50" s="6"/>
      <c r="PIO50" s="6"/>
      <c r="PIP50" s="6"/>
      <c r="PIQ50" s="6"/>
      <c r="PIR50" s="6"/>
      <c r="PIS50" s="6"/>
      <c r="PIT50" s="6"/>
      <c r="PIU50" s="6"/>
      <c r="PIV50" s="6"/>
      <c r="PIW50" s="6"/>
      <c r="PIX50" s="6"/>
      <c r="PIY50" s="6"/>
      <c r="PIZ50" s="6"/>
      <c r="PJA50" s="6"/>
      <c r="PJB50" s="6"/>
      <c r="PJC50" s="6"/>
      <c r="PJD50" s="6"/>
      <c r="PJE50" s="6"/>
      <c r="PJF50" s="6"/>
      <c r="PJG50" s="6"/>
      <c r="PJH50" s="6"/>
      <c r="PJI50" s="6"/>
      <c r="PJJ50" s="6"/>
      <c r="PJK50" s="6"/>
      <c r="PJL50" s="6"/>
      <c r="PJM50" s="6"/>
      <c r="PJN50" s="6"/>
      <c r="PJO50" s="6"/>
      <c r="PJP50" s="6"/>
      <c r="PJQ50" s="6"/>
      <c r="PJR50" s="6"/>
      <c r="PJS50" s="6"/>
      <c r="PJT50" s="6"/>
      <c r="PJU50" s="6"/>
      <c r="PJV50" s="6"/>
      <c r="PJW50" s="6"/>
      <c r="PJX50" s="6"/>
      <c r="PJY50" s="6"/>
      <c r="PJZ50" s="6"/>
      <c r="PKA50" s="6"/>
      <c r="PKB50" s="6"/>
      <c r="PKC50" s="6"/>
      <c r="PKD50" s="6"/>
      <c r="PKE50" s="6"/>
      <c r="PKF50" s="6"/>
      <c r="PKG50" s="6"/>
      <c r="PKH50" s="6"/>
      <c r="PKI50" s="6"/>
      <c r="PKJ50" s="6"/>
      <c r="PKK50" s="6"/>
      <c r="PKL50" s="6"/>
      <c r="PKM50" s="6"/>
      <c r="PKN50" s="6"/>
      <c r="PKO50" s="6"/>
      <c r="PKP50" s="6"/>
      <c r="PKQ50" s="6"/>
      <c r="PKR50" s="6"/>
      <c r="PKS50" s="6"/>
      <c r="PKT50" s="6"/>
      <c r="PKU50" s="6"/>
      <c r="PKV50" s="6"/>
      <c r="PKW50" s="6"/>
      <c r="PKX50" s="6"/>
      <c r="PKY50" s="6"/>
      <c r="PKZ50" s="6"/>
      <c r="PLA50" s="6"/>
      <c r="PLB50" s="6"/>
      <c r="PLC50" s="6"/>
      <c r="PLD50" s="6"/>
      <c r="PLE50" s="6"/>
      <c r="PLF50" s="6"/>
      <c r="PLG50" s="6"/>
      <c r="PLH50" s="6"/>
      <c r="PLI50" s="6"/>
      <c r="PLJ50" s="6"/>
      <c r="PLK50" s="6"/>
      <c r="PLL50" s="6"/>
      <c r="PLM50" s="6"/>
      <c r="PLN50" s="6"/>
      <c r="PLO50" s="6"/>
      <c r="PLP50" s="6"/>
      <c r="PLQ50" s="6"/>
      <c r="PLR50" s="6"/>
      <c r="PLS50" s="6"/>
      <c r="PLT50" s="6"/>
      <c r="PLU50" s="6"/>
      <c r="PLV50" s="6"/>
      <c r="PLW50" s="6"/>
      <c r="PLX50" s="6"/>
      <c r="PLY50" s="6"/>
      <c r="PLZ50" s="6"/>
      <c r="PMA50" s="6"/>
      <c r="PMB50" s="6"/>
      <c r="PMC50" s="6"/>
      <c r="PMD50" s="6"/>
      <c r="PME50" s="6"/>
      <c r="PMF50" s="6"/>
      <c r="PMG50" s="6"/>
      <c r="PMH50" s="6"/>
      <c r="PMI50" s="6"/>
      <c r="PMJ50" s="6"/>
      <c r="PMK50" s="6"/>
      <c r="PML50" s="6"/>
      <c r="PMM50" s="6"/>
      <c r="PMN50" s="6"/>
      <c r="PMO50" s="6"/>
      <c r="PMP50" s="6"/>
      <c r="PMQ50" s="6"/>
      <c r="PMR50" s="6"/>
      <c r="PMS50" s="6"/>
      <c r="PMT50" s="6"/>
      <c r="PMU50" s="6"/>
      <c r="PMV50" s="6"/>
      <c r="PMW50" s="6"/>
      <c r="PMX50" s="6"/>
      <c r="PMY50" s="6"/>
      <c r="PMZ50" s="6"/>
      <c r="PNA50" s="6"/>
      <c r="PNB50" s="6"/>
      <c r="PNC50" s="6"/>
      <c r="PND50" s="6"/>
      <c r="PNE50" s="6"/>
      <c r="PNF50" s="6"/>
      <c r="PNG50" s="6"/>
      <c r="PNH50" s="6"/>
      <c r="PNI50" s="6"/>
      <c r="PNJ50" s="6"/>
      <c r="PNK50" s="6"/>
      <c r="PNL50" s="6"/>
      <c r="PNM50" s="6"/>
      <c r="PNN50" s="6"/>
      <c r="PNO50" s="6"/>
      <c r="PNP50" s="6"/>
      <c r="PNQ50" s="6"/>
      <c r="PNR50" s="6"/>
      <c r="PNS50" s="6"/>
      <c r="PNT50" s="6"/>
      <c r="PNU50" s="6"/>
      <c r="PNV50" s="6"/>
      <c r="PNW50" s="6"/>
      <c r="PNX50" s="6"/>
      <c r="PNY50" s="6"/>
      <c r="PNZ50" s="6"/>
      <c r="POA50" s="6"/>
      <c r="POB50" s="6"/>
      <c r="POC50" s="6"/>
      <c r="POD50" s="6"/>
      <c r="POE50" s="6"/>
      <c r="POF50" s="6"/>
      <c r="POG50" s="6"/>
      <c r="POH50" s="6"/>
      <c r="POI50" s="6"/>
      <c r="POJ50" s="6"/>
      <c r="POK50" s="6"/>
      <c r="POL50" s="6"/>
      <c r="POM50" s="6"/>
      <c r="PON50" s="6"/>
      <c r="POO50" s="6"/>
      <c r="POP50" s="6"/>
      <c r="POQ50" s="6"/>
      <c r="POR50" s="6"/>
      <c r="POS50" s="6"/>
      <c r="POT50" s="6"/>
      <c r="POU50" s="6"/>
      <c r="POV50" s="6"/>
      <c r="POW50" s="6"/>
      <c r="POX50" s="6"/>
      <c r="POY50" s="6"/>
      <c r="POZ50" s="6"/>
      <c r="PPA50" s="6"/>
      <c r="PPB50" s="6"/>
      <c r="PPC50" s="6"/>
      <c r="PPD50" s="6"/>
      <c r="PPE50" s="6"/>
      <c r="PPF50" s="6"/>
      <c r="PPG50" s="6"/>
      <c r="PPH50" s="6"/>
      <c r="PPI50" s="6"/>
      <c r="PPJ50" s="6"/>
      <c r="PPK50" s="6"/>
      <c r="PPL50" s="6"/>
      <c r="PPM50" s="6"/>
      <c r="PPN50" s="6"/>
      <c r="PPO50" s="6"/>
      <c r="PPP50" s="6"/>
      <c r="PPQ50" s="6"/>
      <c r="PPR50" s="6"/>
      <c r="PPS50" s="6"/>
      <c r="PPT50" s="6"/>
      <c r="PPU50" s="6"/>
      <c r="PPV50" s="6"/>
      <c r="PPW50" s="6"/>
      <c r="PPX50" s="6"/>
      <c r="PPY50" s="6"/>
      <c r="PPZ50" s="6"/>
      <c r="PQA50" s="6"/>
      <c r="PQB50" s="6"/>
      <c r="PQC50" s="6"/>
      <c r="PQD50" s="6"/>
      <c r="PQE50" s="6"/>
      <c r="PQF50" s="6"/>
      <c r="PQG50" s="6"/>
      <c r="PQH50" s="6"/>
      <c r="PQI50" s="6"/>
      <c r="PQJ50" s="6"/>
      <c r="PQK50" s="6"/>
      <c r="PQL50" s="6"/>
      <c r="PQM50" s="6"/>
      <c r="PQN50" s="6"/>
      <c r="PQO50" s="6"/>
      <c r="PQP50" s="6"/>
      <c r="PQQ50" s="6"/>
      <c r="PQR50" s="6"/>
      <c r="PQS50" s="6"/>
      <c r="PQT50" s="6"/>
      <c r="PQU50" s="6"/>
      <c r="PQV50" s="6"/>
      <c r="PQW50" s="6"/>
      <c r="PQX50" s="6"/>
      <c r="PQY50" s="6"/>
      <c r="PQZ50" s="6"/>
      <c r="PRA50" s="6"/>
      <c r="PRB50" s="6"/>
      <c r="PRC50" s="6"/>
      <c r="PRD50" s="6"/>
      <c r="PRE50" s="6"/>
      <c r="PRF50" s="6"/>
      <c r="PRG50" s="6"/>
      <c r="PRH50" s="6"/>
      <c r="PRI50" s="6"/>
      <c r="PRJ50" s="6"/>
      <c r="PRK50" s="6"/>
      <c r="PRL50" s="6"/>
      <c r="PRM50" s="6"/>
      <c r="PRN50" s="6"/>
      <c r="PRO50" s="6"/>
      <c r="PRP50" s="6"/>
      <c r="PRQ50" s="6"/>
      <c r="PRR50" s="6"/>
      <c r="PRS50" s="6"/>
      <c r="PRT50" s="6"/>
      <c r="PRU50" s="6"/>
      <c r="PRV50" s="6"/>
      <c r="PRW50" s="6"/>
      <c r="PRX50" s="6"/>
      <c r="PRY50" s="6"/>
      <c r="PRZ50" s="6"/>
      <c r="PSA50" s="6"/>
      <c r="PSB50" s="6"/>
      <c r="PSC50" s="6"/>
      <c r="PSD50" s="6"/>
      <c r="PSE50" s="6"/>
      <c r="PSF50" s="6"/>
      <c r="PSG50" s="6"/>
      <c r="PSH50" s="6"/>
      <c r="PSI50" s="6"/>
      <c r="PSJ50" s="6"/>
      <c r="PSK50" s="6"/>
      <c r="PSL50" s="6"/>
      <c r="PSM50" s="6"/>
      <c r="PSN50" s="6"/>
      <c r="PSO50" s="6"/>
      <c r="PSP50" s="6"/>
      <c r="PSQ50" s="6"/>
      <c r="PSR50" s="6"/>
      <c r="PSS50" s="6"/>
      <c r="PST50" s="6"/>
      <c r="PSU50" s="6"/>
      <c r="PSV50" s="6"/>
      <c r="PSW50" s="6"/>
      <c r="PSX50" s="6"/>
      <c r="PSY50" s="6"/>
      <c r="PSZ50" s="6"/>
      <c r="PTA50" s="6"/>
      <c r="PTB50" s="6"/>
      <c r="PTC50" s="6"/>
      <c r="PTD50" s="6"/>
      <c r="PTE50" s="6"/>
      <c r="PTF50" s="6"/>
      <c r="PTG50" s="6"/>
      <c r="PTH50" s="6"/>
      <c r="PTI50" s="6"/>
      <c r="PTJ50" s="6"/>
      <c r="PTK50" s="6"/>
      <c r="PTL50" s="6"/>
      <c r="PTM50" s="6"/>
      <c r="PTN50" s="6"/>
      <c r="PTO50" s="6"/>
      <c r="PTP50" s="6"/>
      <c r="PTQ50" s="6"/>
      <c r="PTR50" s="6"/>
      <c r="PTS50" s="6"/>
      <c r="PTT50" s="6"/>
      <c r="PTU50" s="6"/>
      <c r="PTV50" s="6"/>
      <c r="PTW50" s="6"/>
      <c r="PTX50" s="6"/>
      <c r="PTY50" s="6"/>
      <c r="PTZ50" s="6"/>
      <c r="PUA50" s="6"/>
      <c r="PUB50" s="6"/>
      <c r="PUC50" s="6"/>
      <c r="PUD50" s="6"/>
      <c r="PUE50" s="6"/>
      <c r="PUF50" s="6"/>
      <c r="PUG50" s="6"/>
      <c r="PUH50" s="6"/>
      <c r="PUI50" s="6"/>
      <c r="PUJ50" s="6"/>
      <c r="PUK50" s="6"/>
      <c r="PUL50" s="6"/>
      <c r="PUM50" s="6"/>
      <c r="PUN50" s="6"/>
      <c r="PUO50" s="6"/>
      <c r="PUP50" s="6"/>
      <c r="PUQ50" s="6"/>
      <c r="PUR50" s="6"/>
      <c r="PUS50" s="6"/>
      <c r="PUT50" s="6"/>
      <c r="PUU50" s="6"/>
      <c r="PUV50" s="6"/>
      <c r="PUW50" s="6"/>
      <c r="PUX50" s="6"/>
      <c r="PUY50" s="6"/>
      <c r="PUZ50" s="6"/>
      <c r="PVA50" s="6"/>
      <c r="PVB50" s="6"/>
      <c r="PVC50" s="6"/>
      <c r="PVD50" s="6"/>
      <c r="PVE50" s="6"/>
      <c r="PVF50" s="6"/>
      <c r="PVG50" s="6"/>
      <c r="PVH50" s="6"/>
      <c r="PVI50" s="6"/>
      <c r="PVJ50" s="6"/>
      <c r="PVK50" s="6"/>
      <c r="PVL50" s="6"/>
      <c r="PVM50" s="6"/>
      <c r="PVN50" s="6"/>
      <c r="PVO50" s="6"/>
      <c r="PVP50" s="6"/>
      <c r="PVQ50" s="6"/>
      <c r="PVR50" s="6"/>
      <c r="PVS50" s="6"/>
      <c r="PVT50" s="6"/>
      <c r="PVU50" s="6"/>
      <c r="PVV50" s="6"/>
      <c r="PVW50" s="6"/>
      <c r="PVX50" s="6"/>
      <c r="PVY50" s="6"/>
      <c r="PVZ50" s="6"/>
      <c r="PWA50" s="6"/>
      <c r="PWB50" s="6"/>
      <c r="PWC50" s="6"/>
      <c r="PWD50" s="6"/>
      <c r="PWE50" s="6"/>
      <c r="PWF50" s="6"/>
      <c r="PWG50" s="6"/>
      <c r="PWH50" s="6"/>
      <c r="PWI50" s="6"/>
      <c r="PWJ50" s="6"/>
      <c r="PWK50" s="6"/>
      <c r="PWL50" s="6"/>
      <c r="PWM50" s="6"/>
      <c r="PWN50" s="6"/>
      <c r="PWO50" s="6"/>
      <c r="PWP50" s="6"/>
      <c r="PWQ50" s="6"/>
      <c r="PWR50" s="6"/>
      <c r="PWS50" s="6"/>
      <c r="PWT50" s="6"/>
      <c r="PWU50" s="6"/>
      <c r="PWV50" s="6"/>
      <c r="PWW50" s="6"/>
      <c r="PWX50" s="6"/>
      <c r="PWY50" s="6"/>
      <c r="PWZ50" s="6"/>
      <c r="PXA50" s="6"/>
      <c r="PXB50" s="6"/>
      <c r="PXC50" s="6"/>
      <c r="PXD50" s="6"/>
      <c r="PXE50" s="6"/>
      <c r="PXF50" s="6"/>
      <c r="PXG50" s="6"/>
      <c r="PXH50" s="6"/>
      <c r="PXI50" s="6"/>
      <c r="PXJ50" s="6"/>
      <c r="PXK50" s="6"/>
      <c r="PXL50" s="6"/>
      <c r="PXM50" s="6"/>
      <c r="PXN50" s="6"/>
      <c r="PXO50" s="6"/>
      <c r="PXP50" s="6"/>
      <c r="PXQ50" s="6"/>
      <c r="PXR50" s="6"/>
      <c r="PXS50" s="6"/>
      <c r="PXT50" s="6"/>
      <c r="PXU50" s="6"/>
      <c r="PXV50" s="6"/>
      <c r="PXW50" s="6"/>
      <c r="PXX50" s="6"/>
      <c r="PXY50" s="6"/>
      <c r="PXZ50" s="6"/>
      <c r="PYA50" s="6"/>
      <c r="PYB50" s="6"/>
      <c r="PYC50" s="6"/>
      <c r="PYD50" s="6"/>
      <c r="PYE50" s="6"/>
      <c r="PYF50" s="6"/>
      <c r="PYG50" s="6"/>
      <c r="PYH50" s="6"/>
      <c r="PYI50" s="6"/>
      <c r="PYJ50" s="6"/>
      <c r="PYK50" s="6"/>
      <c r="PYL50" s="6"/>
      <c r="PYM50" s="6"/>
      <c r="PYN50" s="6"/>
      <c r="PYO50" s="6"/>
      <c r="PYP50" s="6"/>
      <c r="PYQ50" s="6"/>
      <c r="PYR50" s="6"/>
      <c r="PYS50" s="6"/>
      <c r="PYT50" s="6"/>
      <c r="PYU50" s="6"/>
      <c r="PYV50" s="6"/>
      <c r="PYW50" s="6"/>
      <c r="PYX50" s="6"/>
      <c r="PYY50" s="6"/>
      <c r="PYZ50" s="6"/>
      <c r="PZA50" s="6"/>
      <c r="PZB50" s="6"/>
      <c r="PZC50" s="6"/>
      <c r="PZD50" s="6"/>
      <c r="PZE50" s="6"/>
      <c r="PZF50" s="6"/>
      <c r="PZG50" s="6"/>
      <c r="PZH50" s="6"/>
      <c r="PZI50" s="6"/>
      <c r="PZJ50" s="6"/>
      <c r="PZK50" s="6"/>
      <c r="PZL50" s="6"/>
      <c r="PZM50" s="6"/>
      <c r="PZN50" s="6"/>
      <c r="PZO50" s="6"/>
      <c r="PZP50" s="6"/>
      <c r="PZQ50" s="6"/>
      <c r="PZR50" s="6"/>
      <c r="PZS50" s="6"/>
      <c r="PZT50" s="6"/>
      <c r="PZU50" s="6"/>
      <c r="PZV50" s="6"/>
      <c r="PZW50" s="6"/>
      <c r="PZX50" s="6"/>
      <c r="PZY50" s="6"/>
      <c r="PZZ50" s="6"/>
      <c r="QAA50" s="6"/>
      <c r="QAB50" s="6"/>
      <c r="QAC50" s="6"/>
      <c r="QAD50" s="6"/>
      <c r="QAE50" s="6"/>
      <c r="QAF50" s="6"/>
      <c r="QAG50" s="6"/>
      <c r="QAH50" s="6"/>
      <c r="QAI50" s="6"/>
      <c r="QAJ50" s="6"/>
      <c r="QAK50" s="6"/>
      <c r="QAL50" s="6"/>
      <c r="QAM50" s="6"/>
      <c r="QAN50" s="6"/>
      <c r="QAO50" s="6"/>
      <c r="QAP50" s="6"/>
      <c r="QAQ50" s="6"/>
      <c r="QAR50" s="6"/>
      <c r="QAS50" s="6"/>
      <c r="QAT50" s="6"/>
      <c r="QAU50" s="6"/>
      <c r="QAV50" s="6"/>
      <c r="QAW50" s="6"/>
      <c r="QAX50" s="6"/>
      <c r="QAY50" s="6"/>
      <c r="QAZ50" s="6"/>
      <c r="QBA50" s="6"/>
      <c r="QBB50" s="6"/>
      <c r="QBC50" s="6"/>
      <c r="QBD50" s="6"/>
      <c r="QBE50" s="6"/>
      <c r="QBF50" s="6"/>
      <c r="QBG50" s="6"/>
      <c r="QBH50" s="6"/>
      <c r="QBI50" s="6"/>
      <c r="QBJ50" s="6"/>
      <c r="QBK50" s="6"/>
      <c r="QBL50" s="6"/>
      <c r="QBM50" s="6"/>
      <c r="QBN50" s="6"/>
      <c r="QBO50" s="6"/>
      <c r="QBP50" s="6"/>
      <c r="QBQ50" s="6"/>
      <c r="QBR50" s="6"/>
      <c r="QBS50" s="6"/>
      <c r="QBT50" s="6"/>
      <c r="QBU50" s="6"/>
      <c r="QBV50" s="6"/>
      <c r="QBW50" s="6"/>
      <c r="QBX50" s="6"/>
      <c r="QBY50" s="6"/>
      <c r="QBZ50" s="6"/>
      <c r="QCA50" s="6"/>
      <c r="QCB50" s="6"/>
      <c r="QCC50" s="6"/>
      <c r="QCD50" s="6"/>
      <c r="QCE50" s="6"/>
      <c r="QCF50" s="6"/>
      <c r="QCG50" s="6"/>
      <c r="QCH50" s="6"/>
      <c r="QCI50" s="6"/>
      <c r="QCJ50" s="6"/>
      <c r="QCK50" s="6"/>
      <c r="QCL50" s="6"/>
      <c r="QCM50" s="6"/>
      <c r="QCN50" s="6"/>
      <c r="QCO50" s="6"/>
      <c r="QCP50" s="6"/>
      <c r="QCQ50" s="6"/>
      <c r="QCR50" s="6"/>
      <c r="QCS50" s="6"/>
      <c r="QCT50" s="6"/>
      <c r="QCU50" s="6"/>
      <c r="QCV50" s="6"/>
      <c r="QCW50" s="6"/>
      <c r="QCX50" s="6"/>
      <c r="QCY50" s="6"/>
      <c r="QCZ50" s="6"/>
      <c r="QDA50" s="6"/>
      <c r="QDB50" s="6"/>
      <c r="QDC50" s="6"/>
      <c r="QDD50" s="6"/>
      <c r="QDE50" s="6"/>
      <c r="QDF50" s="6"/>
      <c r="QDG50" s="6"/>
      <c r="QDH50" s="6"/>
      <c r="QDI50" s="6"/>
      <c r="QDJ50" s="6"/>
      <c r="QDK50" s="6"/>
      <c r="QDL50" s="6"/>
      <c r="QDM50" s="6"/>
      <c r="QDN50" s="6"/>
      <c r="QDO50" s="6"/>
      <c r="QDP50" s="6"/>
      <c r="QDQ50" s="6"/>
      <c r="QDR50" s="6"/>
      <c r="QDS50" s="6"/>
      <c r="QDT50" s="6"/>
      <c r="QDU50" s="6"/>
      <c r="QDV50" s="6"/>
      <c r="QDW50" s="6"/>
      <c r="QDX50" s="6"/>
      <c r="QDY50" s="6"/>
      <c r="QDZ50" s="6"/>
      <c r="QEA50" s="6"/>
      <c r="QEB50" s="6"/>
      <c r="QEC50" s="6"/>
      <c r="QED50" s="6"/>
      <c r="QEE50" s="6"/>
      <c r="QEF50" s="6"/>
      <c r="QEG50" s="6"/>
      <c r="QEH50" s="6"/>
      <c r="QEI50" s="6"/>
      <c r="QEJ50" s="6"/>
      <c r="QEK50" s="6"/>
      <c r="QEL50" s="6"/>
      <c r="QEM50" s="6"/>
      <c r="QEN50" s="6"/>
      <c r="QEO50" s="6"/>
      <c r="QEP50" s="6"/>
      <c r="QEQ50" s="6"/>
      <c r="QER50" s="6"/>
      <c r="QES50" s="6"/>
      <c r="QET50" s="6"/>
      <c r="QEU50" s="6"/>
      <c r="QEV50" s="6"/>
      <c r="QEW50" s="6"/>
      <c r="QEX50" s="6"/>
      <c r="QEY50" s="6"/>
      <c r="QEZ50" s="6"/>
      <c r="QFA50" s="6"/>
      <c r="QFB50" s="6"/>
      <c r="QFC50" s="6"/>
      <c r="QFD50" s="6"/>
      <c r="QFE50" s="6"/>
      <c r="QFF50" s="6"/>
      <c r="QFG50" s="6"/>
      <c r="QFH50" s="6"/>
      <c r="QFI50" s="6"/>
      <c r="QFJ50" s="6"/>
      <c r="QFK50" s="6"/>
      <c r="QFL50" s="6"/>
      <c r="QFM50" s="6"/>
      <c r="QFN50" s="6"/>
      <c r="QFO50" s="6"/>
      <c r="QFP50" s="6"/>
      <c r="QFQ50" s="6"/>
      <c r="QFR50" s="6"/>
      <c r="QFS50" s="6"/>
      <c r="QFT50" s="6"/>
      <c r="QFU50" s="6"/>
      <c r="QFV50" s="6"/>
      <c r="QFW50" s="6"/>
      <c r="QFX50" s="6"/>
      <c r="QFY50" s="6"/>
      <c r="QFZ50" s="6"/>
      <c r="QGA50" s="6"/>
      <c r="QGB50" s="6"/>
      <c r="QGC50" s="6"/>
      <c r="QGD50" s="6"/>
      <c r="QGE50" s="6"/>
      <c r="QGF50" s="6"/>
      <c r="QGG50" s="6"/>
      <c r="QGH50" s="6"/>
      <c r="QGI50" s="6"/>
      <c r="QGJ50" s="6"/>
      <c r="QGK50" s="6"/>
      <c r="QGL50" s="6"/>
      <c r="QGM50" s="6"/>
      <c r="QGN50" s="6"/>
      <c r="QGO50" s="6"/>
      <c r="QGP50" s="6"/>
      <c r="QGQ50" s="6"/>
      <c r="QGR50" s="6"/>
      <c r="QGS50" s="6"/>
      <c r="QGT50" s="6"/>
      <c r="QGU50" s="6"/>
      <c r="QGV50" s="6"/>
      <c r="QGW50" s="6"/>
      <c r="QGX50" s="6"/>
      <c r="QGY50" s="6"/>
      <c r="QGZ50" s="6"/>
      <c r="QHA50" s="6"/>
      <c r="QHB50" s="6"/>
      <c r="QHC50" s="6"/>
      <c r="QHD50" s="6"/>
      <c r="QHE50" s="6"/>
      <c r="QHF50" s="6"/>
      <c r="QHG50" s="6"/>
      <c r="QHH50" s="6"/>
      <c r="QHI50" s="6"/>
      <c r="QHJ50" s="6"/>
      <c r="QHK50" s="6"/>
      <c r="QHL50" s="6"/>
      <c r="QHM50" s="6"/>
      <c r="QHN50" s="6"/>
      <c r="QHO50" s="6"/>
      <c r="QHP50" s="6"/>
      <c r="QHQ50" s="6"/>
      <c r="QHR50" s="6"/>
      <c r="QHS50" s="6"/>
      <c r="QHT50" s="6"/>
      <c r="QHU50" s="6"/>
      <c r="QHV50" s="6"/>
      <c r="QHW50" s="6"/>
      <c r="QHX50" s="6"/>
      <c r="QHY50" s="6"/>
      <c r="QHZ50" s="6"/>
      <c r="QIA50" s="6"/>
      <c r="QIB50" s="6"/>
      <c r="QIC50" s="6"/>
      <c r="QID50" s="6"/>
      <c r="QIE50" s="6"/>
      <c r="QIF50" s="6"/>
      <c r="QIG50" s="6"/>
      <c r="QIH50" s="6"/>
      <c r="QII50" s="6"/>
      <c r="QIJ50" s="6"/>
      <c r="QIK50" s="6"/>
      <c r="QIL50" s="6"/>
      <c r="QIM50" s="6"/>
      <c r="QIN50" s="6"/>
      <c r="QIO50" s="6"/>
      <c r="QIP50" s="6"/>
      <c r="QIQ50" s="6"/>
      <c r="QIR50" s="6"/>
      <c r="QIS50" s="6"/>
      <c r="QIT50" s="6"/>
      <c r="QIU50" s="6"/>
      <c r="QIV50" s="6"/>
      <c r="QIW50" s="6"/>
      <c r="QIX50" s="6"/>
      <c r="QIY50" s="6"/>
      <c r="QIZ50" s="6"/>
      <c r="QJA50" s="6"/>
      <c r="QJB50" s="6"/>
      <c r="QJC50" s="6"/>
      <c r="QJD50" s="6"/>
      <c r="QJE50" s="6"/>
      <c r="QJF50" s="6"/>
      <c r="QJG50" s="6"/>
      <c r="QJH50" s="6"/>
      <c r="QJI50" s="6"/>
      <c r="QJJ50" s="6"/>
      <c r="QJK50" s="6"/>
      <c r="QJL50" s="6"/>
      <c r="QJM50" s="6"/>
      <c r="QJN50" s="6"/>
      <c r="QJO50" s="6"/>
      <c r="QJP50" s="6"/>
      <c r="QJQ50" s="6"/>
      <c r="QJR50" s="6"/>
      <c r="QJS50" s="6"/>
      <c r="QJT50" s="6"/>
      <c r="QJU50" s="6"/>
      <c r="QJV50" s="6"/>
      <c r="QJW50" s="6"/>
      <c r="QJX50" s="6"/>
      <c r="QJY50" s="6"/>
      <c r="QJZ50" s="6"/>
      <c r="QKA50" s="6"/>
      <c r="QKB50" s="6"/>
      <c r="QKC50" s="6"/>
      <c r="QKD50" s="6"/>
      <c r="QKE50" s="6"/>
      <c r="QKF50" s="6"/>
      <c r="QKG50" s="6"/>
      <c r="QKH50" s="6"/>
      <c r="QKI50" s="6"/>
      <c r="QKJ50" s="6"/>
      <c r="QKK50" s="6"/>
      <c r="QKL50" s="6"/>
      <c r="QKM50" s="6"/>
      <c r="QKN50" s="6"/>
      <c r="QKO50" s="6"/>
      <c r="QKP50" s="6"/>
      <c r="QKQ50" s="6"/>
      <c r="QKR50" s="6"/>
      <c r="QKS50" s="6"/>
      <c r="QKT50" s="6"/>
      <c r="QKU50" s="6"/>
      <c r="QKV50" s="6"/>
      <c r="QKW50" s="6"/>
      <c r="QKX50" s="6"/>
      <c r="QKY50" s="6"/>
      <c r="QKZ50" s="6"/>
      <c r="QLA50" s="6"/>
      <c r="QLB50" s="6"/>
      <c r="QLC50" s="6"/>
      <c r="QLD50" s="6"/>
      <c r="QLE50" s="6"/>
      <c r="QLF50" s="6"/>
      <c r="QLG50" s="6"/>
      <c r="QLH50" s="6"/>
      <c r="QLI50" s="6"/>
      <c r="QLJ50" s="6"/>
      <c r="QLK50" s="6"/>
      <c r="QLL50" s="6"/>
      <c r="QLM50" s="6"/>
      <c r="QLN50" s="6"/>
      <c r="QLO50" s="6"/>
      <c r="QLP50" s="6"/>
      <c r="QLQ50" s="6"/>
      <c r="QLR50" s="6"/>
      <c r="QLS50" s="6"/>
      <c r="QLT50" s="6"/>
      <c r="QLU50" s="6"/>
      <c r="QLV50" s="6"/>
      <c r="QLW50" s="6"/>
      <c r="QLX50" s="6"/>
      <c r="QLY50" s="6"/>
      <c r="QLZ50" s="6"/>
      <c r="QMA50" s="6"/>
      <c r="QMB50" s="6"/>
      <c r="QMC50" s="6"/>
      <c r="QMD50" s="6"/>
      <c r="QME50" s="6"/>
      <c r="QMF50" s="6"/>
      <c r="QMG50" s="6"/>
      <c r="QMH50" s="6"/>
      <c r="QMI50" s="6"/>
      <c r="QMJ50" s="6"/>
      <c r="QMK50" s="6"/>
      <c r="QML50" s="6"/>
      <c r="QMM50" s="6"/>
      <c r="QMN50" s="6"/>
      <c r="QMO50" s="6"/>
      <c r="QMP50" s="6"/>
      <c r="QMQ50" s="6"/>
      <c r="QMR50" s="6"/>
      <c r="QMS50" s="6"/>
      <c r="QMT50" s="6"/>
      <c r="QMU50" s="6"/>
      <c r="QMV50" s="6"/>
      <c r="QMW50" s="6"/>
      <c r="QMX50" s="6"/>
      <c r="QMY50" s="6"/>
      <c r="QMZ50" s="6"/>
      <c r="QNA50" s="6"/>
      <c r="QNB50" s="6"/>
      <c r="QNC50" s="6"/>
      <c r="QND50" s="6"/>
      <c r="QNE50" s="6"/>
      <c r="QNF50" s="6"/>
      <c r="QNG50" s="6"/>
      <c r="QNH50" s="6"/>
      <c r="QNI50" s="6"/>
      <c r="QNJ50" s="6"/>
      <c r="QNK50" s="6"/>
      <c r="QNL50" s="6"/>
      <c r="QNM50" s="6"/>
      <c r="QNN50" s="6"/>
      <c r="QNO50" s="6"/>
      <c r="QNP50" s="6"/>
      <c r="QNQ50" s="6"/>
      <c r="QNR50" s="6"/>
      <c r="QNS50" s="6"/>
      <c r="QNT50" s="6"/>
      <c r="QNU50" s="6"/>
      <c r="QNV50" s="6"/>
      <c r="QNW50" s="6"/>
      <c r="QNX50" s="6"/>
      <c r="QNY50" s="6"/>
      <c r="QNZ50" s="6"/>
      <c r="QOA50" s="6"/>
      <c r="QOB50" s="6"/>
      <c r="QOC50" s="6"/>
      <c r="QOD50" s="6"/>
      <c r="QOE50" s="6"/>
      <c r="QOF50" s="6"/>
      <c r="QOG50" s="6"/>
      <c r="QOH50" s="6"/>
      <c r="QOI50" s="6"/>
      <c r="QOJ50" s="6"/>
      <c r="QOK50" s="6"/>
      <c r="QOL50" s="6"/>
      <c r="QOM50" s="6"/>
      <c r="QON50" s="6"/>
      <c r="QOO50" s="6"/>
      <c r="QOP50" s="6"/>
      <c r="QOQ50" s="6"/>
      <c r="QOR50" s="6"/>
      <c r="QOS50" s="6"/>
      <c r="QOT50" s="6"/>
      <c r="QOU50" s="6"/>
      <c r="QOV50" s="6"/>
      <c r="QOW50" s="6"/>
      <c r="QOX50" s="6"/>
      <c r="QOY50" s="6"/>
      <c r="QOZ50" s="6"/>
      <c r="QPA50" s="6"/>
      <c r="QPB50" s="6"/>
      <c r="QPC50" s="6"/>
      <c r="QPD50" s="6"/>
      <c r="QPE50" s="6"/>
      <c r="QPF50" s="6"/>
      <c r="QPG50" s="6"/>
      <c r="QPH50" s="6"/>
      <c r="QPI50" s="6"/>
      <c r="QPJ50" s="6"/>
      <c r="QPK50" s="6"/>
      <c r="QPL50" s="6"/>
      <c r="QPM50" s="6"/>
      <c r="QPN50" s="6"/>
      <c r="QPO50" s="6"/>
      <c r="QPP50" s="6"/>
      <c r="QPQ50" s="6"/>
      <c r="QPR50" s="6"/>
      <c r="QPS50" s="6"/>
      <c r="QPT50" s="6"/>
      <c r="QPU50" s="6"/>
      <c r="QPV50" s="6"/>
      <c r="QPW50" s="6"/>
      <c r="QPX50" s="6"/>
      <c r="QPY50" s="6"/>
      <c r="QPZ50" s="6"/>
      <c r="QQA50" s="6"/>
      <c r="QQB50" s="6"/>
      <c r="QQC50" s="6"/>
      <c r="QQD50" s="6"/>
      <c r="QQE50" s="6"/>
      <c r="QQF50" s="6"/>
      <c r="QQG50" s="6"/>
      <c r="QQH50" s="6"/>
      <c r="QQI50" s="6"/>
      <c r="QQJ50" s="6"/>
      <c r="QQK50" s="6"/>
      <c r="QQL50" s="6"/>
      <c r="QQM50" s="6"/>
      <c r="QQN50" s="6"/>
      <c r="QQO50" s="6"/>
      <c r="QQP50" s="6"/>
      <c r="QQQ50" s="6"/>
      <c r="QQR50" s="6"/>
      <c r="QQS50" s="6"/>
      <c r="QQT50" s="6"/>
      <c r="QQU50" s="6"/>
      <c r="QQV50" s="6"/>
      <c r="QQW50" s="6"/>
      <c r="QQX50" s="6"/>
      <c r="QQY50" s="6"/>
      <c r="QQZ50" s="6"/>
      <c r="QRA50" s="6"/>
      <c r="QRB50" s="6"/>
      <c r="QRC50" s="6"/>
      <c r="QRD50" s="6"/>
      <c r="QRE50" s="6"/>
      <c r="QRF50" s="6"/>
      <c r="QRG50" s="6"/>
      <c r="QRH50" s="6"/>
      <c r="QRI50" s="6"/>
      <c r="QRJ50" s="6"/>
      <c r="QRK50" s="6"/>
      <c r="QRL50" s="6"/>
      <c r="QRM50" s="6"/>
      <c r="QRN50" s="6"/>
      <c r="QRO50" s="6"/>
      <c r="QRP50" s="6"/>
      <c r="QRQ50" s="6"/>
      <c r="QRR50" s="6"/>
      <c r="QRS50" s="6"/>
      <c r="QRT50" s="6"/>
      <c r="QRU50" s="6"/>
      <c r="QRV50" s="6"/>
      <c r="QRW50" s="6"/>
      <c r="QRX50" s="6"/>
      <c r="QRY50" s="6"/>
      <c r="QRZ50" s="6"/>
      <c r="QSA50" s="6"/>
      <c r="QSB50" s="6"/>
      <c r="QSC50" s="6"/>
      <c r="QSD50" s="6"/>
      <c r="QSE50" s="6"/>
      <c r="QSF50" s="6"/>
      <c r="QSG50" s="6"/>
      <c r="QSH50" s="6"/>
      <c r="QSI50" s="6"/>
      <c r="QSJ50" s="6"/>
      <c r="QSK50" s="6"/>
      <c r="QSL50" s="6"/>
      <c r="QSM50" s="6"/>
      <c r="QSN50" s="6"/>
      <c r="QSO50" s="6"/>
      <c r="QSP50" s="6"/>
      <c r="QSQ50" s="6"/>
      <c r="QSR50" s="6"/>
      <c r="QSS50" s="6"/>
      <c r="QST50" s="6"/>
      <c r="QSU50" s="6"/>
      <c r="QSV50" s="6"/>
      <c r="QSW50" s="6"/>
      <c r="QSX50" s="6"/>
      <c r="QSY50" s="6"/>
      <c r="QSZ50" s="6"/>
      <c r="QTA50" s="6"/>
      <c r="QTB50" s="6"/>
      <c r="QTC50" s="6"/>
      <c r="QTD50" s="6"/>
      <c r="QTE50" s="6"/>
      <c r="QTF50" s="6"/>
      <c r="QTG50" s="6"/>
      <c r="QTH50" s="6"/>
      <c r="QTI50" s="6"/>
      <c r="QTJ50" s="6"/>
      <c r="QTK50" s="6"/>
      <c r="QTL50" s="6"/>
      <c r="QTM50" s="6"/>
      <c r="QTN50" s="6"/>
      <c r="QTO50" s="6"/>
      <c r="QTP50" s="6"/>
      <c r="QTQ50" s="6"/>
      <c r="QTR50" s="6"/>
      <c r="QTS50" s="6"/>
      <c r="QTT50" s="6"/>
      <c r="QTU50" s="6"/>
      <c r="QTV50" s="6"/>
      <c r="QTW50" s="6"/>
      <c r="QTX50" s="6"/>
      <c r="QTY50" s="6"/>
      <c r="QTZ50" s="6"/>
      <c r="QUA50" s="6"/>
      <c r="QUB50" s="6"/>
      <c r="QUC50" s="6"/>
      <c r="QUD50" s="6"/>
      <c r="QUE50" s="6"/>
      <c r="QUF50" s="6"/>
      <c r="QUG50" s="6"/>
      <c r="QUH50" s="6"/>
      <c r="QUI50" s="6"/>
      <c r="QUJ50" s="6"/>
      <c r="QUK50" s="6"/>
      <c r="QUL50" s="6"/>
      <c r="QUM50" s="6"/>
      <c r="QUN50" s="6"/>
      <c r="QUO50" s="6"/>
      <c r="QUP50" s="6"/>
      <c r="QUQ50" s="6"/>
      <c r="QUR50" s="6"/>
      <c r="QUS50" s="6"/>
      <c r="QUT50" s="6"/>
      <c r="QUU50" s="6"/>
      <c r="QUV50" s="6"/>
      <c r="QUW50" s="6"/>
      <c r="QUX50" s="6"/>
      <c r="QUY50" s="6"/>
      <c r="QUZ50" s="6"/>
      <c r="QVA50" s="6"/>
      <c r="QVB50" s="6"/>
      <c r="QVC50" s="6"/>
      <c r="QVD50" s="6"/>
      <c r="QVE50" s="6"/>
      <c r="QVF50" s="6"/>
      <c r="QVG50" s="6"/>
      <c r="QVH50" s="6"/>
      <c r="QVI50" s="6"/>
      <c r="QVJ50" s="6"/>
      <c r="QVK50" s="6"/>
      <c r="QVL50" s="6"/>
      <c r="QVM50" s="6"/>
      <c r="QVN50" s="6"/>
      <c r="QVO50" s="6"/>
      <c r="QVP50" s="6"/>
      <c r="QVQ50" s="6"/>
      <c r="QVR50" s="6"/>
      <c r="QVS50" s="6"/>
      <c r="QVT50" s="6"/>
      <c r="QVU50" s="6"/>
      <c r="QVV50" s="6"/>
      <c r="QVW50" s="6"/>
      <c r="QVX50" s="6"/>
      <c r="QVY50" s="6"/>
      <c r="QVZ50" s="6"/>
      <c r="QWA50" s="6"/>
      <c r="QWB50" s="6"/>
      <c r="QWC50" s="6"/>
      <c r="QWD50" s="6"/>
      <c r="QWE50" s="6"/>
      <c r="QWF50" s="6"/>
      <c r="QWG50" s="6"/>
      <c r="QWH50" s="6"/>
      <c r="QWI50" s="6"/>
      <c r="QWJ50" s="6"/>
      <c r="QWK50" s="6"/>
      <c r="QWL50" s="6"/>
      <c r="QWM50" s="6"/>
      <c r="QWN50" s="6"/>
      <c r="QWO50" s="6"/>
      <c r="QWP50" s="6"/>
      <c r="QWQ50" s="6"/>
      <c r="QWR50" s="6"/>
      <c r="QWS50" s="6"/>
      <c r="QWT50" s="6"/>
      <c r="QWU50" s="6"/>
      <c r="QWV50" s="6"/>
      <c r="QWW50" s="6"/>
      <c r="QWX50" s="6"/>
      <c r="QWY50" s="6"/>
      <c r="QWZ50" s="6"/>
      <c r="QXA50" s="6"/>
      <c r="QXB50" s="6"/>
      <c r="QXC50" s="6"/>
      <c r="QXD50" s="6"/>
      <c r="QXE50" s="6"/>
      <c r="QXF50" s="6"/>
      <c r="QXG50" s="6"/>
      <c r="QXH50" s="6"/>
      <c r="QXI50" s="6"/>
      <c r="QXJ50" s="6"/>
      <c r="QXK50" s="6"/>
      <c r="QXL50" s="6"/>
      <c r="QXM50" s="6"/>
      <c r="QXN50" s="6"/>
      <c r="QXO50" s="6"/>
      <c r="QXP50" s="6"/>
      <c r="QXQ50" s="6"/>
      <c r="QXR50" s="6"/>
      <c r="QXS50" s="6"/>
      <c r="QXT50" s="6"/>
      <c r="QXU50" s="6"/>
      <c r="QXV50" s="6"/>
      <c r="QXW50" s="6"/>
      <c r="QXX50" s="6"/>
      <c r="QXY50" s="6"/>
      <c r="QXZ50" s="6"/>
      <c r="QYA50" s="6"/>
      <c r="QYB50" s="6"/>
      <c r="QYC50" s="6"/>
      <c r="QYD50" s="6"/>
      <c r="QYE50" s="6"/>
      <c r="QYF50" s="6"/>
      <c r="QYG50" s="6"/>
      <c r="QYH50" s="6"/>
      <c r="QYI50" s="6"/>
      <c r="QYJ50" s="6"/>
      <c r="QYK50" s="6"/>
      <c r="QYL50" s="6"/>
      <c r="QYM50" s="6"/>
      <c r="QYN50" s="6"/>
      <c r="QYO50" s="6"/>
      <c r="QYP50" s="6"/>
      <c r="QYQ50" s="6"/>
      <c r="QYR50" s="6"/>
      <c r="QYS50" s="6"/>
      <c r="QYT50" s="6"/>
      <c r="QYU50" s="6"/>
      <c r="QYV50" s="6"/>
      <c r="QYW50" s="6"/>
      <c r="QYX50" s="6"/>
      <c r="QYY50" s="6"/>
      <c r="QYZ50" s="6"/>
      <c r="QZA50" s="6"/>
      <c r="QZB50" s="6"/>
      <c r="QZC50" s="6"/>
      <c r="QZD50" s="6"/>
      <c r="QZE50" s="6"/>
      <c r="QZF50" s="6"/>
      <c r="QZG50" s="6"/>
      <c r="QZH50" s="6"/>
      <c r="QZI50" s="6"/>
      <c r="QZJ50" s="6"/>
      <c r="QZK50" s="6"/>
      <c r="QZL50" s="6"/>
      <c r="QZM50" s="6"/>
      <c r="QZN50" s="6"/>
      <c r="QZO50" s="6"/>
      <c r="QZP50" s="6"/>
      <c r="QZQ50" s="6"/>
      <c r="QZR50" s="6"/>
      <c r="QZS50" s="6"/>
      <c r="QZT50" s="6"/>
      <c r="QZU50" s="6"/>
      <c r="QZV50" s="6"/>
      <c r="QZW50" s="6"/>
      <c r="QZX50" s="6"/>
      <c r="QZY50" s="6"/>
      <c r="QZZ50" s="6"/>
      <c r="RAA50" s="6"/>
      <c r="RAB50" s="6"/>
      <c r="RAC50" s="6"/>
      <c r="RAD50" s="6"/>
      <c r="RAE50" s="6"/>
      <c r="RAF50" s="6"/>
      <c r="RAG50" s="6"/>
      <c r="RAH50" s="6"/>
      <c r="RAI50" s="6"/>
      <c r="RAJ50" s="6"/>
      <c r="RAK50" s="6"/>
      <c r="RAL50" s="6"/>
      <c r="RAM50" s="6"/>
      <c r="RAN50" s="6"/>
      <c r="RAO50" s="6"/>
      <c r="RAP50" s="6"/>
      <c r="RAQ50" s="6"/>
      <c r="RAR50" s="6"/>
      <c r="RAS50" s="6"/>
      <c r="RAT50" s="6"/>
      <c r="RAU50" s="6"/>
      <c r="RAV50" s="6"/>
      <c r="RAW50" s="6"/>
      <c r="RAX50" s="6"/>
      <c r="RAY50" s="6"/>
      <c r="RAZ50" s="6"/>
      <c r="RBA50" s="6"/>
      <c r="RBB50" s="6"/>
      <c r="RBC50" s="6"/>
      <c r="RBD50" s="6"/>
      <c r="RBE50" s="6"/>
      <c r="RBF50" s="6"/>
      <c r="RBG50" s="6"/>
      <c r="RBH50" s="6"/>
      <c r="RBI50" s="6"/>
      <c r="RBJ50" s="6"/>
      <c r="RBK50" s="6"/>
      <c r="RBL50" s="6"/>
      <c r="RBM50" s="6"/>
      <c r="RBN50" s="6"/>
      <c r="RBO50" s="6"/>
      <c r="RBP50" s="6"/>
      <c r="RBQ50" s="6"/>
      <c r="RBR50" s="6"/>
      <c r="RBS50" s="6"/>
      <c r="RBT50" s="6"/>
      <c r="RBU50" s="6"/>
      <c r="RBV50" s="6"/>
      <c r="RBW50" s="6"/>
      <c r="RBX50" s="6"/>
      <c r="RBY50" s="6"/>
      <c r="RBZ50" s="6"/>
      <c r="RCA50" s="6"/>
      <c r="RCB50" s="6"/>
      <c r="RCC50" s="6"/>
      <c r="RCD50" s="6"/>
      <c r="RCE50" s="6"/>
      <c r="RCF50" s="6"/>
      <c r="RCG50" s="6"/>
      <c r="RCH50" s="6"/>
      <c r="RCI50" s="6"/>
      <c r="RCJ50" s="6"/>
      <c r="RCK50" s="6"/>
      <c r="RCL50" s="6"/>
      <c r="RCM50" s="6"/>
      <c r="RCN50" s="6"/>
      <c r="RCO50" s="6"/>
      <c r="RCP50" s="6"/>
      <c r="RCQ50" s="6"/>
      <c r="RCR50" s="6"/>
      <c r="RCS50" s="6"/>
      <c r="RCT50" s="6"/>
      <c r="RCU50" s="6"/>
      <c r="RCV50" s="6"/>
      <c r="RCW50" s="6"/>
      <c r="RCX50" s="6"/>
      <c r="RCY50" s="6"/>
      <c r="RCZ50" s="6"/>
      <c r="RDA50" s="6"/>
      <c r="RDB50" s="6"/>
      <c r="RDC50" s="6"/>
      <c r="RDD50" s="6"/>
      <c r="RDE50" s="6"/>
      <c r="RDF50" s="6"/>
      <c r="RDG50" s="6"/>
      <c r="RDH50" s="6"/>
      <c r="RDI50" s="6"/>
      <c r="RDJ50" s="6"/>
      <c r="RDK50" s="6"/>
      <c r="RDL50" s="6"/>
      <c r="RDM50" s="6"/>
      <c r="RDN50" s="6"/>
      <c r="RDO50" s="6"/>
      <c r="RDP50" s="6"/>
      <c r="RDQ50" s="6"/>
      <c r="RDR50" s="6"/>
      <c r="RDS50" s="6"/>
      <c r="RDT50" s="6"/>
      <c r="RDU50" s="6"/>
      <c r="RDV50" s="6"/>
      <c r="RDW50" s="6"/>
      <c r="RDX50" s="6"/>
      <c r="RDY50" s="6"/>
      <c r="RDZ50" s="6"/>
      <c r="REA50" s="6"/>
      <c r="REB50" s="6"/>
      <c r="REC50" s="6"/>
      <c r="RED50" s="6"/>
      <c r="REE50" s="6"/>
      <c r="REF50" s="6"/>
      <c r="REG50" s="6"/>
      <c r="REH50" s="6"/>
      <c r="REI50" s="6"/>
      <c r="REJ50" s="6"/>
      <c r="REK50" s="6"/>
      <c r="REL50" s="6"/>
      <c r="REM50" s="6"/>
      <c r="REN50" s="6"/>
      <c r="REO50" s="6"/>
      <c r="REP50" s="6"/>
      <c r="REQ50" s="6"/>
      <c r="RER50" s="6"/>
      <c r="RES50" s="6"/>
      <c r="RET50" s="6"/>
      <c r="REU50" s="6"/>
      <c r="REV50" s="6"/>
      <c r="REW50" s="6"/>
      <c r="REX50" s="6"/>
      <c r="REY50" s="6"/>
      <c r="REZ50" s="6"/>
      <c r="RFA50" s="6"/>
      <c r="RFB50" s="6"/>
      <c r="RFC50" s="6"/>
      <c r="RFD50" s="6"/>
      <c r="RFE50" s="6"/>
      <c r="RFF50" s="6"/>
      <c r="RFG50" s="6"/>
      <c r="RFH50" s="6"/>
      <c r="RFI50" s="6"/>
      <c r="RFJ50" s="6"/>
      <c r="RFK50" s="6"/>
      <c r="RFL50" s="6"/>
      <c r="RFM50" s="6"/>
      <c r="RFN50" s="6"/>
      <c r="RFO50" s="6"/>
      <c r="RFP50" s="6"/>
      <c r="RFQ50" s="6"/>
      <c r="RFR50" s="6"/>
      <c r="RFS50" s="6"/>
      <c r="RFT50" s="6"/>
      <c r="RFU50" s="6"/>
      <c r="RFV50" s="6"/>
      <c r="RFW50" s="6"/>
      <c r="RFX50" s="6"/>
      <c r="RFY50" s="6"/>
      <c r="RFZ50" s="6"/>
      <c r="RGA50" s="6"/>
      <c r="RGB50" s="6"/>
      <c r="RGC50" s="6"/>
      <c r="RGD50" s="6"/>
      <c r="RGE50" s="6"/>
      <c r="RGF50" s="6"/>
      <c r="RGG50" s="6"/>
      <c r="RGH50" s="6"/>
      <c r="RGI50" s="6"/>
      <c r="RGJ50" s="6"/>
      <c r="RGK50" s="6"/>
      <c r="RGL50" s="6"/>
      <c r="RGM50" s="6"/>
      <c r="RGN50" s="6"/>
      <c r="RGO50" s="6"/>
      <c r="RGP50" s="6"/>
      <c r="RGQ50" s="6"/>
      <c r="RGR50" s="6"/>
      <c r="RGS50" s="6"/>
      <c r="RGT50" s="6"/>
      <c r="RGU50" s="6"/>
      <c r="RGV50" s="6"/>
      <c r="RGW50" s="6"/>
      <c r="RGX50" s="6"/>
      <c r="RGY50" s="6"/>
      <c r="RGZ50" s="6"/>
      <c r="RHA50" s="6"/>
      <c r="RHB50" s="6"/>
      <c r="RHC50" s="6"/>
      <c r="RHD50" s="6"/>
      <c r="RHE50" s="6"/>
      <c r="RHF50" s="6"/>
      <c r="RHG50" s="6"/>
      <c r="RHH50" s="6"/>
      <c r="RHI50" s="6"/>
      <c r="RHJ50" s="6"/>
      <c r="RHK50" s="6"/>
      <c r="RHL50" s="6"/>
      <c r="RHM50" s="6"/>
      <c r="RHN50" s="6"/>
      <c r="RHO50" s="6"/>
      <c r="RHP50" s="6"/>
      <c r="RHQ50" s="6"/>
      <c r="RHR50" s="6"/>
      <c r="RHS50" s="6"/>
      <c r="RHT50" s="6"/>
      <c r="RHU50" s="6"/>
      <c r="RHV50" s="6"/>
      <c r="RHW50" s="6"/>
      <c r="RHX50" s="6"/>
      <c r="RHY50" s="6"/>
      <c r="RHZ50" s="6"/>
      <c r="RIA50" s="6"/>
      <c r="RIB50" s="6"/>
      <c r="RIC50" s="6"/>
      <c r="RID50" s="6"/>
      <c r="RIE50" s="6"/>
      <c r="RIF50" s="6"/>
      <c r="RIG50" s="6"/>
      <c r="RIH50" s="6"/>
      <c r="RII50" s="6"/>
      <c r="RIJ50" s="6"/>
      <c r="RIK50" s="6"/>
      <c r="RIL50" s="6"/>
      <c r="RIM50" s="6"/>
      <c r="RIN50" s="6"/>
      <c r="RIO50" s="6"/>
      <c r="RIP50" s="6"/>
      <c r="RIQ50" s="6"/>
      <c r="RIR50" s="6"/>
      <c r="RIS50" s="6"/>
      <c r="RIT50" s="6"/>
      <c r="RIU50" s="6"/>
      <c r="RIV50" s="6"/>
      <c r="RIW50" s="6"/>
      <c r="RIX50" s="6"/>
      <c r="RIY50" s="6"/>
      <c r="RIZ50" s="6"/>
      <c r="RJA50" s="6"/>
      <c r="RJB50" s="6"/>
      <c r="RJC50" s="6"/>
      <c r="RJD50" s="6"/>
      <c r="RJE50" s="6"/>
      <c r="RJF50" s="6"/>
      <c r="RJG50" s="6"/>
      <c r="RJH50" s="6"/>
      <c r="RJI50" s="6"/>
      <c r="RJJ50" s="6"/>
      <c r="RJK50" s="6"/>
      <c r="RJL50" s="6"/>
      <c r="RJM50" s="6"/>
      <c r="RJN50" s="6"/>
      <c r="RJO50" s="6"/>
      <c r="RJP50" s="6"/>
      <c r="RJQ50" s="6"/>
      <c r="RJR50" s="6"/>
      <c r="RJS50" s="6"/>
      <c r="RJT50" s="6"/>
      <c r="RJU50" s="6"/>
      <c r="RJV50" s="6"/>
      <c r="RJW50" s="6"/>
      <c r="RJX50" s="6"/>
      <c r="RJY50" s="6"/>
      <c r="RJZ50" s="6"/>
      <c r="RKA50" s="6"/>
      <c r="RKB50" s="6"/>
      <c r="RKC50" s="6"/>
      <c r="RKD50" s="6"/>
      <c r="RKE50" s="6"/>
      <c r="RKF50" s="6"/>
      <c r="RKG50" s="6"/>
      <c r="RKH50" s="6"/>
      <c r="RKI50" s="6"/>
      <c r="RKJ50" s="6"/>
      <c r="RKK50" s="6"/>
      <c r="RKL50" s="6"/>
      <c r="RKM50" s="6"/>
      <c r="RKN50" s="6"/>
      <c r="RKO50" s="6"/>
      <c r="RKP50" s="6"/>
      <c r="RKQ50" s="6"/>
      <c r="RKR50" s="6"/>
      <c r="RKS50" s="6"/>
      <c r="RKT50" s="6"/>
      <c r="RKU50" s="6"/>
      <c r="RKV50" s="6"/>
      <c r="RKW50" s="6"/>
      <c r="RKX50" s="6"/>
      <c r="RKY50" s="6"/>
      <c r="RKZ50" s="6"/>
      <c r="RLA50" s="6"/>
      <c r="RLB50" s="6"/>
      <c r="RLC50" s="6"/>
      <c r="RLD50" s="6"/>
      <c r="RLE50" s="6"/>
      <c r="RLF50" s="6"/>
      <c r="RLG50" s="6"/>
      <c r="RLH50" s="6"/>
      <c r="RLI50" s="6"/>
      <c r="RLJ50" s="6"/>
      <c r="RLK50" s="6"/>
      <c r="RLL50" s="6"/>
      <c r="RLM50" s="6"/>
      <c r="RLN50" s="6"/>
      <c r="RLO50" s="6"/>
      <c r="RLP50" s="6"/>
      <c r="RLQ50" s="6"/>
      <c r="RLR50" s="6"/>
      <c r="RLS50" s="6"/>
      <c r="RLT50" s="6"/>
      <c r="RLU50" s="6"/>
      <c r="RLV50" s="6"/>
      <c r="RLW50" s="6"/>
      <c r="RLX50" s="6"/>
      <c r="RLY50" s="6"/>
      <c r="RLZ50" s="6"/>
      <c r="RMA50" s="6"/>
      <c r="RMB50" s="6"/>
      <c r="RMC50" s="6"/>
      <c r="RMD50" s="6"/>
      <c r="RME50" s="6"/>
      <c r="RMF50" s="6"/>
      <c r="RMG50" s="6"/>
      <c r="RMH50" s="6"/>
      <c r="RMI50" s="6"/>
      <c r="RMJ50" s="6"/>
      <c r="RMK50" s="6"/>
      <c r="RML50" s="6"/>
      <c r="RMM50" s="6"/>
      <c r="RMN50" s="6"/>
      <c r="RMO50" s="6"/>
      <c r="RMP50" s="6"/>
      <c r="RMQ50" s="6"/>
      <c r="RMR50" s="6"/>
      <c r="RMS50" s="6"/>
      <c r="RMT50" s="6"/>
      <c r="RMU50" s="6"/>
      <c r="RMV50" s="6"/>
      <c r="RMW50" s="6"/>
      <c r="RMX50" s="6"/>
      <c r="RMY50" s="6"/>
      <c r="RMZ50" s="6"/>
      <c r="RNA50" s="6"/>
      <c r="RNB50" s="6"/>
      <c r="RNC50" s="6"/>
      <c r="RND50" s="6"/>
      <c r="RNE50" s="6"/>
      <c r="RNF50" s="6"/>
      <c r="RNG50" s="6"/>
      <c r="RNH50" s="6"/>
      <c r="RNI50" s="6"/>
      <c r="RNJ50" s="6"/>
      <c r="RNK50" s="6"/>
      <c r="RNL50" s="6"/>
      <c r="RNM50" s="6"/>
      <c r="RNN50" s="6"/>
      <c r="RNO50" s="6"/>
      <c r="RNP50" s="6"/>
      <c r="RNQ50" s="6"/>
      <c r="RNR50" s="6"/>
      <c r="RNS50" s="6"/>
      <c r="RNT50" s="6"/>
      <c r="RNU50" s="6"/>
      <c r="RNV50" s="6"/>
      <c r="RNW50" s="6"/>
      <c r="RNX50" s="6"/>
      <c r="RNY50" s="6"/>
      <c r="RNZ50" s="6"/>
      <c r="ROA50" s="6"/>
      <c r="ROB50" s="6"/>
      <c r="ROC50" s="6"/>
      <c r="ROD50" s="6"/>
      <c r="ROE50" s="6"/>
      <c r="ROF50" s="6"/>
      <c r="ROG50" s="6"/>
      <c r="ROH50" s="6"/>
      <c r="ROI50" s="6"/>
      <c r="ROJ50" s="6"/>
      <c r="ROK50" s="6"/>
      <c r="ROL50" s="6"/>
      <c r="ROM50" s="6"/>
      <c r="RON50" s="6"/>
      <c r="ROO50" s="6"/>
      <c r="ROP50" s="6"/>
      <c r="ROQ50" s="6"/>
      <c r="ROR50" s="6"/>
      <c r="ROS50" s="6"/>
      <c r="ROT50" s="6"/>
      <c r="ROU50" s="6"/>
      <c r="ROV50" s="6"/>
      <c r="ROW50" s="6"/>
      <c r="ROX50" s="6"/>
      <c r="ROY50" s="6"/>
      <c r="ROZ50" s="6"/>
      <c r="RPA50" s="6"/>
      <c r="RPB50" s="6"/>
      <c r="RPC50" s="6"/>
      <c r="RPD50" s="6"/>
      <c r="RPE50" s="6"/>
      <c r="RPF50" s="6"/>
      <c r="RPG50" s="6"/>
      <c r="RPH50" s="6"/>
      <c r="RPI50" s="6"/>
      <c r="RPJ50" s="6"/>
      <c r="RPK50" s="6"/>
      <c r="RPL50" s="6"/>
      <c r="RPM50" s="6"/>
      <c r="RPN50" s="6"/>
      <c r="RPO50" s="6"/>
      <c r="RPP50" s="6"/>
      <c r="RPQ50" s="6"/>
      <c r="RPR50" s="6"/>
      <c r="RPS50" s="6"/>
      <c r="RPT50" s="6"/>
      <c r="RPU50" s="6"/>
      <c r="RPV50" s="6"/>
      <c r="RPW50" s="6"/>
      <c r="RPX50" s="6"/>
      <c r="RPY50" s="6"/>
      <c r="RPZ50" s="6"/>
      <c r="RQA50" s="6"/>
      <c r="RQB50" s="6"/>
      <c r="RQC50" s="6"/>
      <c r="RQD50" s="6"/>
      <c r="RQE50" s="6"/>
      <c r="RQF50" s="6"/>
      <c r="RQG50" s="6"/>
      <c r="RQH50" s="6"/>
      <c r="RQI50" s="6"/>
      <c r="RQJ50" s="6"/>
      <c r="RQK50" s="6"/>
      <c r="RQL50" s="6"/>
      <c r="RQM50" s="6"/>
      <c r="RQN50" s="6"/>
      <c r="RQO50" s="6"/>
      <c r="RQP50" s="6"/>
      <c r="RQQ50" s="6"/>
      <c r="RQR50" s="6"/>
      <c r="RQS50" s="6"/>
      <c r="RQT50" s="6"/>
      <c r="RQU50" s="6"/>
      <c r="RQV50" s="6"/>
      <c r="RQW50" s="6"/>
      <c r="RQX50" s="6"/>
      <c r="RQY50" s="6"/>
      <c r="RQZ50" s="6"/>
      <c r="RRA50" s="6"/>
      <c r="RRB50" s="6"/>
      <c r="RRC50" s="6"/>
      <c r="RRD50" s="6"/>
      <c r="RRE50" s="6"/>
      <c r="RRF50" s="6"/>
      <c r="RRG50" s="6"/>
      <c r="RRH50" s="6"/>
      <c r="RRI50" s="6"/>
      <c r="RRJ50" s="6"/>
      <c r="RRK50" s="6"/>
      <c r="RRL50" s="6"/>
      <c r="RRM50" s="6"/>
      <c r="RRN50" s="6"/>
      <c r="RRO50" s="6"/>
      <c r="RRP50" s="6"/>
      <c r="RRQ50" s="6"/>
      <c r="RRR50" s="6"/>
      <c r="RRS50" s="6"/>
      <c r="RRT50" s="6"/>
      <c r="RRU50" s="6"/>
      <c r="RRV50" s="6"/>
      <c r="RRW50" s="6"/>
      <c r="RRX50" s="6"/>
      <c r="RRY50" s="6"/>
      <c r="RRZ50" s="6"/>
      <c r="RSA50" s="6"/>
      <c r="RSB50" s="6"/>
      <c r="RSC50" s="6"/>
      <c r="RSD50" s="6"/>
      <c r="RSE50" s="6"/>
      <c r="RSF50" s="6"/>
      <c r="RSG50" s="6"/>
      <c r="RSH50" s="6"/>
      <c r="RSI50" s="6"/>
      <c r="RSJ50" s="6"/>
      <c r="RSK50" s="6"/>
      <c r="RSL50" s="6"/>
      <c r="RSM50" s="6"/>
      <c r="RSN50" s="6"/>
      <c r="RSO50" s="6"/>
      <c r="RSP50" s="6"/>
      <c r="RSQ50" s="6"/>
      <c r="RSR50" s="6"/>
      <c r="RSS50" s="6"/>
      <c r="RST50" s="6"/>
      <c r="RSU50" s="6"/>
      <c r="RSV50" s="6"/>
      <c r="RSW50" s="6"/>
      <c r="RSX50" s="6"/>
      <c r="RSY50" s="6"/>
      <c r="RSZ50" s="6"/>
      <c r="RTA50" s="6"/>
      <c r="RTB50" s="6"/>
      <c r="RTC50" s="6"/>
      <c r="RTD50" s="6"/>
      <c r="RTE50" s="6"/>
      <c r="RTF50" s="6"/>
      <c r="RTG50" s="6"/>
      <c r="RTH50" s="6"/>
      <c r="RTI50" s="6"/>
      <c r="RTJ50" s="6"/>
      <c r="RTK50" s="6"/>
      <c r="RTL50" s="6"/>
      <c r="RTM50" s="6"/>
      <c r="RTN50" s="6"/>
      <c r="RTO50" s="6"/>
      <c r="RTP50" s="6"/>
      <c r="RTQ50" s="6"/>
      <c r="RTR50" s="6"/>
      <c r="RTS50" s="6"/>
      <c r="RTT50" s="6"/>
      <c r="RTU50" s="6"/>
      <c r="RTV50" s="6"/>
      <c r="RTW50" s="6"/>
      <c r="RTX50" s="6"/>
      <c r="RTY50" s="6"/>
      <c r="RTZ50" s="6"/>
      <c r="RUA50" s="6"/>
      <c r="RUB50" s="6"/>
      <c r="RUC50" s="6"/>
      <c r="RUD50" s="6"/>
      <c r="RUE50" s="6"/>
      <c r="RUF50" s="6"/>
      <c r="RUG50" s="6"/>
      <c r="RUH50" s="6"/>
      <c r="RUI50" s="6"/>
      <c r="RUJ50" s="6"/>
      <c r="RUK50" s="6"/>
      <c r="RUL50" s="6"/>
      <c r="RUM50" s="6"/>
      <c r="RUN50" s="6"/>
      <c r="RUO50" s="6"/>
      <c r="RUP50" s="6"/>
      <c r="RUQ50" s="6"/>
      <c r="RUR50" s="6"/>
      <c r="RUS50" s="6"/>
      <c r="RUT50" s="6"/>
      <c r="RUU50" s="6"/>
      <c r="RUV50" s="6"/>
      <c r="RUW50" s="6"/>
      <c r="RUX50" s="6"/>
      <c r="RUY50" s="6"/>
      <c r="RUZ50" s="6"/>
      <c r="RVA50" s="6"/>
      <c r="RVB50" s="6"/>
      <c r="RVC50" s="6"/>
      <c r="RVD50" s="6"/>
      <c r="RVE50" s="6"/>
      <c r="RVF50" s="6"/>
      <c r="RVG50" s="6"/>
      <c r="RVH50" s="6"/>
      <c r="RVI50" s="6"/>
      <c r="RVJ50" s="6"/>
      <c r="RVK50" s="6"/>
      <c r="RVL50" s="6"/>
      <c r="RVM50" s="6"/>
      <c r="RVN50" s="6"/>
      <c r="RVO50" s="6"/>
      <c r="RVP50" s="6"/>
      <c r="RVQ50" s="6"/>
      <c r="RVR50" s="6"/>
      <c r="RVS50" s="6"/>
      <c r="RVT50" s="6"/>
      <c r="RVU50" s="6"/>
      <c r="RVV50" s="6"/>
      <c r="RVW50" s="6"/>
      <c r="RVX50" s="6"/>
      <c r="RVY50" s="6"/>
      <c r="RVZ50" s="6"/>
      <c r="RWA50" s="6"/>
      <c r="RWB50" s="6"/>
      <c r="RWC50" s="6"/>
      <c r="RWD50" s="6"/>
      <c r="RWE50" s="6"/>
      <c r="RWF50" s="6"/>
      <c r="RWG50" s="6"/>
      <c r="RWH50" s="6"/>
      <c r="RWI50" s="6"/>
      <c r="RWJ50" s="6"/>
      <c r="RWK50" s="6"/>
      <c r="RWL50" s="6"/>
      <c r="RWM50" s="6"/>
      <c r="RWN50" s="6"/>
      <c r="RWO50" s="6"/>
      <c r="RWP50" s="6"/>
      <c r="RWQ50" s="6"/>
      <c r="RWR50" s="6"/>
      <c r="RWS50" s="6"/>
      <c r="RWT50" s="6"/>
      <c r="RWU50" s="6"/>
      <c r="RWV50" s="6"/>
      <c r="RWW50" s="6"/>
      <c r="RWX50" s="6"/>
      <c r="RWY50" s="6"/>
      <c r="RWZ50" s="6"/>
      <c r="RXA50" s="6"/>
      <c r="RXB50" s="6"/>
      <c r="RXC50" s="6"/>
      <c r="RXD50" s="6"/>
      <c r="RXE50" s="6"/>
      <c r="RXF50" s="6"/>
      <c r="RXG50" s="6"/>
      <c r="RXH50" s="6"/>
      <c r="RXI50" s="6"/>
      <c r="RXJ50" s="6"/>
      <c r="RXK50" s="6"/>
      <c r="RXL50" s="6"/>
      <c r="RXM50" s="6"/>
      <c r="RXN50" s="6"/>
      <c r="RXO50" s="6"/>
      <c r="RXP50" s="6"/>
      <c r="RXQ50" s="6"/>
      <c r="RXR50" s="6"/>
      <c r="RXS50" s="6"/>
      <c r="RXT50" s="6"/>
      <c r="RXU50" s="6"/>
      <c r="RXV50" s="6"/>
      <c r="RXW50" s="6"/>
      <c r="RXX50" s="6"/>
      <c r="RXY50" s="6"/>
      <c r="RXZ50" s="6"/>
      <c r="RYA50" s="6"/>
      <c r="RYB50" s="6"/>
      <c r="RYC50" s="6"/>
      <c r="RYD50" s="6"/>
      <c r="RYE50" s="6"/>
      <c r="RYF50" s="6"/>
      <c r="RYG50" s="6"/>
      <c r="RYH50" s="6"/>
      <c r="RYI50" s="6"/>
      <c r="RYJ50" s="6"/>
      <c r="RYK50" s="6"/>
      <c r="RYL50" s="6"/>
      <c r="RYM50" s="6"/>
      <c r="RYN50" s="6"/>
      <c r="RYO50" s="6"/>
      <c r="RYP50" s="6"/>
      <c r="RYQ50" s="6"/>
      <c r="RYR50" s="6"/>
      <c r="RYS50" s="6"/>
      <c r="RYT50" s="6"/>
      <c r="RYU50" s="6"/>
      <c r="RYV50" s="6"/>
      <c r="RYW50" s="6"/>
      <c r="RYX50" s="6"/>
      <c r="RYY50" s="6"/>
      <c r="RYZ50" s="6"/>
      <c r="RZA50" s="6"/>
      <c r="RZB50" s="6"/>
      <c r="RZC50" s="6"/>
      <c r="RZD50" s="6"/>
      <c r="RZE50" s="6"/>
      <c r="RZF50" s="6"/>
      <c r="RZG50" s="6"/>
      <c r="RZH50" s="6"/>
      <c r="RZI50" s="6"/>
      <c r="RZJ50" s="6"/>
      <c r="RZK50" s="6"/>
      <c r="RZL50" s="6"/>
      <c r="RZM50" s="6"/>
      <c r="RZN50" s="6"/>
      <c r="RZO50" s="6"/>
      <c r="RZP50" s="6"/>
      <c r="RZQ50" s="6"/>
      <c r="RZR50" s="6"/>
      <c r="RZS50" s="6"/>
      <c r="RZT50" s="6"/>
      <c r="RZU50" s="6"/>
      <c r="RZV50" s="6"/>
      <c r="RZW50" s="6"/>
      <c r="RZX50" s="6"/>
      <c r="RZY50" s="6"/>
      <c r="RZZ50" s="6"/>
      <c r="SAA50" s="6"/>
      <c r="SAB50" s="6"/>
      <c r="SAC50" s="6"/>
      <c r="SAD50" s="6"/>
      <c r="SAE50" s="6"/>
      <c r="SAF50" s="6"/>
      <c r="SAG50" s="6"/>
      <c r="SAH50" s="6"/>
      <c r="SAI50" s="6"/>
      <c r="SAJ50" s="6"/>
      <c r="SAK50" s="6"/>
      <c r="SAL50" s="6"/>
      <c r="SAM50" s="6"/>
      <c r="SAN50" s="6"/>
      <c r="SAO50" s="6"/>
      <c r="SAP50" s="6"/>
      <c r="SAQ50" s="6"/>
      <c r="SAR50" s="6"/>
      <c r="SAS50" s="6"/>
      <c r="SAT50" s="6"/>
      <c r="SAU50" s="6"/>
      <c r="SAV50" s="6"/>
      <c r="SAW50" s="6"/>
      <c r="SAX50" s="6"/>
      <c r="SAY50" s="6"/>
      <c r="SAZ50" s="6"/>
      <c r="SBA50" s="6"/>
      <c r="SBB50" s="6"/>
      <c r="SBC50" s="6"/>
      <c r="SBD50" s="6"/>
      <c r="SBE50" s="6"/>
      <c r="SBF50" s="6"/>
      <c r="SBG50" s="6"/>
      <c r="SBH50" s="6"/>
      <c r="SBI50" s="6"/>
      <c r="SBJ50" s="6"/>
      <c r="SBK50" s="6"/>
      <c r="SBL50" s="6"/>
      <c r="SBM50" s="6"/>
      <c r="SBN50" s="6"/>
      <c r="SBO50" s="6"/>
      <c r="SBP50" s="6"/>
      <c r="SBQ50" s="6"/>
      <c r="SBR50" s="6"/>
      <c r="SBS50" s="6"/>
      <c r="SBT50" s="6"/>
      <c r="SBU50" s="6"/>
      <c r="SBV50" s="6"/>
      <c r="SBW50" s="6"/>
      <c r="SBX50" s="6"/>
      <c r="SBY50" s="6"/>
      <c r="SBZ50" s="6"/>
      <c r="SCA50" s="6"/>
      <c r="SCB50" s="6"/>
      <c r="SCC50" s="6"/>
      <c r="SCD50" s="6"/>
      <c r="SCE50" s="6"/>
      <c r="SCF50" s="6"/>
      <c r="SCG50" s="6"/>
      <c r="SCH50" s="6"/>
      <c r="SCI50" s="6"/>
      <c r="SCJ50" s="6"/>
      <c r="SCK50" s="6"/>
      <c r="SCL50" s="6"/>
      <c r="SCM50" s="6"/>
      <c r="SCN50" s="6"/>
      <c r="SCO50" s="6"/>
      <c r="SCP50" s="6"/>
      <c r="SCQ50" s="6"/>
      <c r="SCR50" s="6"/>
      <c r="SCS50" s="6"/>
      <c r="SCT50" s="6"/>
      <c r="SCU50" s="6"/>
      <c r="SCV50" s="6"/>
      <c r="SCW50" s="6"/>
      <c r="SCX50" s="6"/>
      <c r="SCY50" s="6"/>
      <c r="SCZ50" s="6"/>
      <c r="SDA50" s="6"/>
      <c r="SDB50" s="6"/>
      <c r="SDC50" s="6"/>
      <c r="SDD50" s="6"/>
      <c r="SDE50" s="6"/>
      <c r="SDF50" s="6"/>
      <c r="SDG50" s="6"/>
      <c r="SDH50" s="6"/>
      <c r="SDI50" s="6"/>
      <c r="SDJ50" s="6"/>
      <c r="SDK50" s="6"/>
      <c r="SDL50" s="6"/>
      <c r="SDM50" s="6"/>
      <c r="SDN50" s="6"/>
      <c r="SDO50" s="6"/>
      <c r="SDP50" s="6"/>
      <c r="SDQ50" s="6"/>
      <c r="SDR50" s="6"/>
      <c r="SDS50" s="6"/>
      <c r="SDT50" s="6"/>
      <c r="SDU50" s="6"/>
      <c r="SDV50" s="6"/>
      <c r="SDW50" s="6"/>
      <c r="SDX50" s="6"/>
      <c r="SDY50" s="6"/>
      <c r="SDZ50" s="6"/>
      <c r="SEA50" s="6"/>
      <c r="SEB50" s="6"/>
      <c r="SEC50" s="6"/>
      <c r="SED50" s="6"/>
      <c r="SEE50" s="6"/>
      <c r="SEF50" s="6"/>
      <c r="SEG50" s="6"/>
      <c r="SEH50" s="6"/>
      <c r="SEI50" s="6"/>
      <c r="SEJ50" s="6"/>
      <c r="SEK50" s="6"/>
      <c r="SEL50" s="6"/>
      <c r="SEM50" s="6"/>
      <c r="SEN50" s="6"/>
      <c r="SEO50" s="6"/>
      <c r="SEP50" s="6"/>
      <c r="SEQ50" s="6"/>
      <c r="SER50" s="6"/>
      <c r="SES50" s="6"/>
      <c r="SET50" s="6"/>
      <c r="SEU50" s="6"/>
      <c r="SEV50" s="6"/>
      <c r="SEW50" s="6"/>
      <c r="SEX50" s="6"/>
      <c r="SEY50" s="6"/>
      <c r="SEZ50" s="6"/>
      <c r="SFA50" s="6"/>
      <c r="SFB50" s="6"/>
      <c r="SFC50" s="6"/>
      <c r="SFD50" s="6"/>
      <c r="SFE50" s="6"/>
      <c r="SFF50" s="6"/>
      <c r="SFG50" s="6"/>
      <c r="SFH50" s="6"/>
      <c r="SFI50" s="6"/>
      <c r="SFJ50" s="6"/>
      <c r="SFK50" s="6"/>
      <c r="SFL50" s="6"/>
      <c r="SFM50" s="6"/>
      <c r="SFN50" s="6"/>
      <c r="SFO50" s="6"/>
      <c r="SFP50" s="6"/>
      <c r="SFQ50" s="6"/>
      <c r="SFR50" s="6"/>
      <c r="SFS50" s="6"/>
      <c r="SFT50" s="6"/>
      <c r="SFU50" s="6"/>
      <c r="SFV50" s="6"/>
      <c r="SFW50" s="6"/>
      <c r="SFX50" s="6"/>
      <c r="SFY50" s="6"/>
      <c r="SFZ50" s="6"/>
      <c r="SGA50" s="6"/>
      <c r="SGB50" s="6"/>
      <c r="SGC50" s="6"/>
      <c r="SGD50" s="6"/>
      <c r="SGE50" s="6"/>
      <c r="SGF50" s="6"/>
      <c r="SGG50" s="6"/>
      <c r="SGH50" s="6"/>
      <c r="SGI50" s="6"/>
      <c r="SGJ50" s="6"/>
      <c r="SGK50" s="6"/>
      <c r="SGL50" s="6"/>
      <c r="SGM50" s="6"/>
      <c r="SGN50" s="6"/>
      <c r="SGO50" s="6"/>
      <c r="SGP50" s="6"/>
      <c r="SGQ50" s="6"/>
      <c r="SGR50" s="6"/>
      <c r="SGS50" s="6"/>
      <c r="SGT50" s="6"/>
      <c r="SGU50" s="6"/>
      <c r="SGV50" s="6"/>
      <c r="SGW50" s="6"/>
      <c r="SGX50" s="6"/>
      <c r="SGY50" s="6"/>
      <c r="SGZ50" s="6"/>
      <c r="SHA50" s="6"/>
      <c r="SHB50" s="6"/>
      <c r="SHC50" s="6"/>
      <c r="SHD50" s="6"/>
      <c r="SHE50" s="6"/>
      <c r="SHF50" s="6"/>
      <c r="SHG50" s="6"/>
      <c r="SHH50" s="6"/>
      <c r="SHI50" s="6"/>
      <c r="SHJ50" s="6"/>
      <c r="SHK50" s="6"/>
      <c r="SHL50" s="6"/>
      <c r="SHM50" s="6"/>
      <c r="SHN50" s="6"/>
      <c r="SHO50" s="6"/>
      <c r="SHP50" s="6"/>
      <c r="SHQ50" s="6"/>
      <c r="SHR50" s="6"/>
      <c r="SHS50" s="6"/>
      <c r="SHT50" s="6"/>
      <c r="SHU50" s="6"/>
      <c r="SHV50" s="6"/>
      <c r="SHW50" s="6"/>
      <c r="SHX50" s="6"/>
      <c r="SHY50" s="6"/>
      <c r="SHZ50" s="6"/>
      <c r="SIA50" s="6"/>
      <c r="SIB50" s="6"/>
      <c r="SIC50" s="6"/>
      <c r="SID50" s="6"/>
      <c r="SIE50" s="6"/>
      <c r="SIF50" s="6"/>
      <c r="SIG50" s="6"/>
      <c r="SIH50" s="6"/>
      <c r="SII50" s="6"/>
      <c r="SIJ50" s="6"/>
      <c r="SIK50" s="6"/>
      <c r="SIL50" s="6"/>
      <c r="SIM50" s="6"/>
      <c r="SIN50" s="6"/>
      <c r="SIO50" s="6"/>
      <c r="SIP50" s="6"/>
      <c r="SIQ50" s="6"/>
      <c r="SIR50" s="6"/>
      <c r="SIS50" s="6"/>
      <c r="SIT50" s="6"/>
      <c r="SIU50" s="6"/>
      <c r="SIV50" s="6"/>
      <c r="SIW50" s="6"/>
      <c r="SIX50" s="6"/>
      <c r="SIY50" s="6"/>
      <c r="SIZ50" s="6"/>
      <c r="SJA50" s="6"/>
      <c r="SJB50" s="6"/>
      <c r="SJC50" s="6"/>
      <c r="SJD50" s="6"/>
      <c r="SJE50" s="6"/>
      <c r="SJF50" s="6"/>
      <c r="SJG50" s="6"/>
      <c r="SJH50" s="6"/>
      <c r="SJI50" s="6"/>
      <c r="SJJ50" s="6"/>
      <c r="SJK50" s="6"/>
      <c r="SJL50" s="6"/>
      <c r="SJM50" s="6"/>
      <c r="SJN50" s="6"/>
      <c r="SJO50" s="6"/>
      <c r="SJP50" s="6"/>
      <c r="SJQ50" s="6"/>
      <c r="SJR50" s="6"/>
      <c r="SJS50" s="6"/>
      <c r="SJT50" s="6"/>
      <c r="SJU50" s="6"/>
      <c r="SJV50" s="6"/>
      <c r="SJW50" s="6"/>
      <c r="SJX50" s="6"/>
      <c r="SJY50" s="6"/>
      <c r="SJZ50" s="6"/>
      <c r="SKA50" s="6"/>
      <c r="SKB50" s="6"/>
      <c r="SKC50" s="6"/>
      <c r="SKD50" s="6"/>
      <c r="SKE50" s="6"/>
      <c r="SKF50" s="6"/>
      <c r="SKG50" s="6"/>
      <c r="SKH50" s="6"/>
      <c r="SKI50" s="6"/>
      <c r="SKJ50" s="6"/>
      <c r="SKK50" s="6"/>
      <c r="SKL50" s="6"/>
      <c r="SKM50" s="6"/>
      <c r="SKN50" s="6"/>
      <c r="SKO50" s="6"/>
      <c r="SKP50" s="6"/>
      <c r="SKQ50" s="6"/>
      <c r="SKR50" s="6"/>
      <c r="SKS50" s="6"/>
      <c r="SKT50" s="6"/>
      <c r="SKU50" s="6"/>
      <c r="SKV50" s="6"/>
      <c r="SKW50" s="6"/>
      <c r="SKX50" s="6"/>
      <c r="SKY50" s="6"/>
      <c r="SKZ50" s="6"/>
      <c r="SLA50" s="6"/>
      <c r="SLB50" s="6"/>
      <c r="SLC50" s="6"/>
      <c r="SLD50" s="6"/>
      <c r="SLE50" s="6"/>
      <c r="SLF50" s="6"/>
      <c r="SLG50" s="6"/>
      <c r="SLH50" s="6"/>
      <c r="SLI50" s="6"/>
      <c r="SLJ50" s="6"/>
      <c r="SLK50" s="6"/>
      <c r="SLL50" s="6"/>
      <c r="SLM50" s="6"/>
      <c r="SLN50" s="6"/>
      <c r="SLO50" s="6"/>
      <c r="SLP50" s="6"/>
      <c r="SLQ50" s="6"/>
      <c r="SLR50" s="6"/>
      <c r="SLS50" s="6"/>
      <c r="SLT50" s="6"/>
      <c r="SLU50" s="6"/>
      <c r="SLV50" s="6"/>
      <c r="SLW50" s="6"/>
      <c r="SLX50" s="6"/>
      <c r="SLY50" s="6"/>
      <c r="SLZ50" s="6"/>
      <c r="SMA50" s="6"/>
      <c r="SMB50" s="6"/>
      <c r="SMC50" s="6"/>
      <c r="SMD50" s="6"/>
      <c r="SME50" s="6"/>
      <c r="SMF50" s="6"/>
      <c r="SMG50" s="6"/>
      <c r="SMH50" s="6"/>
      <c r="SMI50" s="6"/>
      <c r="SMJ50" s="6"/>
      <c r="SMK50" s="6"/>
      <c r="SML50" s="6"/>
      <c r="SMM50" s="6"/>
      <c r="SMN50" s="6"/>
      <c r="SMO50" s="6"/>
      <c r="SMP50" s="6"/>
      <c r="SMQ50" s="6"/>
      <c r="SMR50" s="6"/>
      <c r="SMS50" s="6"/>
      <c r="SMT50" s="6"/>
      <c r="SMU50" s="6"/>
      <c r="SMV50" s="6"/>
      <c r="SMW50" s="6"/>
      <c r="SMX50" s="6"/>
      <c r="SMY50" s="6"/>
      <c r="SMZ50" s="6"/>
      <c r="SNA50" s="6"/>
      <c r="SNB50" s="6"/>
      <c r="SNC50" s="6"/>
      <c r="SND50" s="6"/>
      <c r="SNE50" s="6"/>
      <c r="SNF50" s="6"/>
      <c r="SNG50" s="6"/>
      <c r="SNH50" s="6"/>
      <c r="SNI50" s="6"/>
      <c r="SNJ50" s="6"/>
      <c r="SNK50" s="6"/>
      <c r="SNL50" s="6"/>
      <c r="SNM50" s="6"/>
      <c r="SNN50" s="6"/>
      <c r="SNO50" s="6"/>
      <c r="SNP50" s="6"/>
      <c r="SNQ50" s="6"/>
      <c r="SNR50" s="6"/>
      <c r="SNS50" s="6"/>
      <c r="SNT50" s="6"/>
      <c r="SNU50" s="6"/>
      <c r="SNV50" s="6"/>
      <c r="SNW50" s="6"/>
      <c r="SNX50" s="6"/>
      <c r="SNY50" s="6"/>
      <c r="SNZ50" s="6"/>
      <c r="SOA50" s="6"/>
      <c r="SOB50" s="6"/>
      <c r="SOC50" s="6"/>
      <c r="SOD50" s="6"/>
      <c r="SOE50" s="6"/>
      <c r="SOF50" s="6"/>
      <c r="SOG50" s="6"/>
      <c r="SOH50" s="6"/>
      <c r="SOI50" s="6"/>
      <c r="SOJ50" s="6"/>
      <c r="SOK50" s="6"/>
      <c r="SOL50" s="6"/>
      <c r="SOM50" s="6"/>
      <c r="SON50" s="6"/>
      <c r="SOO50" s="6"/>
      <c r="SOP50" s="6"/>
      <c r="SOQ50" s="6"/>
      <c r="SOR50" s="6"/>
      <c r="SOS50" s="6"/>
      <c r="SOT50" s="6"/>
      <c r="SOU50" s="6"/>
      <c r="SOV50" s="6"/>
      <c r="SOW50" s="6"/>
      <c r="SOX50" s="6"/>
      <c r="SOY50" s="6"/>
      <c r="SOZ50" s="6"/>
      <c r="SPA50" s="6"/>
      <c r="SPB50" s="6"/>
      <c r="SPC50" s="6"/>
      <c r="SPD50" s="6"/>
      <c r="SPE50" s="6"/>
      <c r="SPF50" s="6"/>
      <c r="SPG50" s="6"/>
      <c r="SPH50" s="6"/>
      <c r="SPI50" s="6"/>
      <c r="SPJ50" s="6"/>
      <c r="SPK50" s="6"/>
      <c r="SPL50" s="6"/>
      <c r="SPM50" s="6"/>
      <c r="SPN50" s="6"/>
      <c r="SPO50" s="6"/>
      <c r="SPP50" s="6"/>
      <c r="SPQ50" s="6"/>
      <c r="SPR50" s="6"/>
      <c r="SPS50" s="6"/>
      <c r="SPT50" s="6"/>
      <c r="SPU50" s="6"/>
      <c r="SPV50" s="6"/>
      <c r="SPW50" s="6"/>
      <c r="SPX50" s="6"/>
      <c r="SPY50" s="6"/>
      <c r="SPZ50" s="6"/>
      <c r="SQA50" s="6"/>
      <c r="SQB50" s="6"/>
      <c r="SQC50" s="6"/>
      <c r="SQD50" s="6"/>
      <c r="SQE50" s="6"/>
      <c r="SQF50" s="6"/>
      <c r="SQG50" s="6"/>
      <c r="SQH50" s="6"/>
      <c r="SQI50" s="6"/>
      <c r="SQJ50" s="6"/>
      <c r="SQK50" s="6"/>
      <c r="SQL50" s="6"/>
      <c r="SQM50" s="6"/>
      <c r="SQN50" s="6"/>
      <c r="SQO50" s="6"/>
      <c r="SQP50" s="6"/>
      <c r="SQQ50" s="6"/>
      <c r="SQR50" s="6"/>
      <c r="SQS50" s="6"/>
      <c r="SQT50" s="6"/>
      <c r="SQU50" s="6"/>
      <c r="SQV50" s="6"/>
      <c r="SQW50" s="6"/>
      <c r="SQX50" s="6"/>
      <c r="SQY50" s="6"/>
      <c r="SQZ50" s="6"/>
      <c r="SRA50" s="6"/>
      <c r="SRB50" s="6"/>
      <c r="SRC50" s="6"/>
      <c r="SRD50" s="6"/>
      <c r="SRE50" s="6"/>
      <c r="SRF50" s="6"/>
      <c r="SRG50" s="6"/>
      <c r="SRH50" s="6"/>
      <c r="SRI50" s="6"/>
      <c r="SRJ50" s="6"/>
      <c r="SRK50" s="6"/>
      <c r="SRL50" s="6"/>
      <c r="SRM50" s="6"/>
      <c r="SRN50" s="6"/>
      <c r="SRO50" s="6"/>
      <c r="SRP50" s="6"/>
      <c r="SRQ50" s="6"/>
      <c r="SRR50" s="6"/>
      <c r="SRS50" s="6"/>
      <c r="SRT50" s="6"/>
      <c r="SRU50" s="6"/>
      <c r="SRV50" s="6"/>
      <c r="SRW50" s="6"/>
      <c r="SRX50" s="6"/>
      <c r="SRY50" s="6"/>
      <c r="SRZ50" s="6"/>
      <c r="SSA50" s="6"/>
      <c r="SSB50" s="6"/>
      <c r="SSC50" s="6"/>
      <c r="SSD50" s="6"/>
      <c r="SSE50" s="6"/>
      <c r="SSF50" s="6"/>
      <c r="SSG50" s="6"/>
      <c r="SSH50" s="6"/>
      <c r="SSI50" s="6"/>
      <c r="SSJ50" s="6"/>
      <c r="SSK50" s="6"/>
      <c r="SSL50" s="6"/>
      <c r="SSM50" s="6"/>
      <c r="SSN50" s="6"/>
      <c r="SSO50" s="6"/>
      <c r="SSP50" s="6"/>
      <c r="SSQ50" s="6"/>
      <c r="SSR50" s="6"/>
      <c r="SSS50" s="6"/>
      <c r="SST50" s="6"/>
      <c r="SSU50" s="6"/>
      <c r="SSV50" s="6"/>
      <c r="SSW50" s="6"/>
      <c r="SSX50" s="6"/>
      <c r="SSY50" s="6"/>
      <c r="SSZ50" s="6"/>
      <c r="STA50" s="6"/>
      <c r="STB50" s="6"/>
      <c r="STC50" s="6"/>
      <c r="STD50" s="6"/>
      <c r="STE50" s="6"/>
      <c r="STF50" s="6"/>
      <c r="STG50" s="6"/>
      <c r="STH50" s="6"/>
      <c r="STI50" s="6"/>
      <c r="STJ50" s="6"/>
      <c r="STK50" s="6"/>
      <c r="STL50" s="6"/>
      <c r="STM50" s="6"/>
      <c r="STN50" s="6"/>
      <c r="STO50" s="6"/>
      <c r="STP50" s="6"/>
      <c r="STQ50" s="6"/>
      <c r="STR50" s="6"/>
      <c r="STS50" s="6"/>
      <c r="STT50" s="6"/>
      <c r="STU50" s="6"/>
      <c r="STV50" s="6"/>
      <c r="STW50" s="6"/>
      <c r="STX50" s="6"/>
      <c r="STY50" s="6"/>
      <c r="STZ50" s="6"/>
      <c r="SUA50" s="6"/>
      <c r="SUB50" s="6"/>
      <c r="SUC50" s="6"/>
      <c r="SUD50" s="6"/>
      <c r="SUE50" s="6"/>
      <c r="SUF50" s="6"/>
      <c r="SUG50" s="6"/>
      <c r="SUH50" s="6"/>
      <c r="SUI50" s="6"/>
      <c r="SUJ50" s="6"/>
      <c r="SUK50" s="6"/>
      <c r="SUL50" s="6"/>
      <c r="SUM50" s="6"/>
      <c r="SUN50" s="6"/>
      <c r="SUO50" s="6"/>
      <c r="SUP50" s="6"/>
      <c r="SUQ50" s="6"/>
      <c r="SUR50" s="6"/>
      <c r="SUS50" s="6"/>
      <c r="SUT50" s="6"/>
      <c r="SUU50" s="6"/>
      <c r="SUV50" s="6"/>
      <c r="SUW50" s="6"/>
      <c r="SUX50" s="6"/>
      <c r="SUY50" s="6"/>
      <c r="SUZ50" s="6"/>
      <c r="SVA50" s="6"/>
      <c r="SVB50" s="6"/>
      <c r="SVC50" s="6"/>
      <c r="SVD50" s="6"/>
      <c r="SVE50" s="6"/>
      <c r="SVF50" s="6"/>
      <c r="SVG50" s="6"/>
      <c r="SVH50" s="6"/>
      <c r="SVI50" s="6"/>
      <c r="SVJ50" s="6"/>
      <c r="SVK50" s="6"/>
      <c r="SVL50" s="6"/>
      <c r="SVM50" s="6"/>
      <c r="SVN50" s="6"/>
      <c r="SVO50" s="6"/>
      <c r="SVP50" s="6"/>
      <c r="SVQ50" s="6"/>
      <c r="SVR50" s="6"/>
      <c r="SVS50" s="6"/>
      <c r="SVT50" s="6"/>
      <c r="SVU50" s="6"/>
      <c r="SVV50" s="6"/>
      <c r="SVW50" s="6"/>
      <c r="SVX50" s="6"/>
      <c r="SVY50" s="6"/>
      <c r="SVZ50" s="6"/>
      <c r="SWA50" s="6"/>
      <c r="SWB50" s="6"/>
      <c r="SWC50" s="6"/>
      <c r="SWD50" s="6"/>
      <c r="SWE50" s="6"/>
      <c r="SWF50" s="6"/>
      <c r="SWG50" s="6"/>
      <c r="SWH50" s="6"/>
      <c r="SWI50" s="6"/>
      <c r="SWJ50" s="6"/>
      <c r="SWK50" s="6"/>
      <c r="SWL50" s="6"/>
      <c r="SWM50" s="6"/>
      <c r="SWN50" s="6"/>
      <c r="SWO50" s="6"/>
      <c r="SWP50" s="6"/>
      <c r="SWQ50" s="6"/>
      <c r="SWR50" s="6"/>
      <c r="SWS50" s="6"/>
      <c r="SWT50" s="6"/>
      <c r="SWU50" s="6"/>
      <c r="SWV50" s="6"/>
      <c r="SWW50" s="6"/>
      <c r="SWX50" s="6"/>
      <c r="SWY50" s="6"/>
      <c r="SWZ50" s="6"/>
      <c r="SXA50" s="6"/>
      <c r="SXB50" s="6"/>
      <c r="SXC50" s="6"/>
      <c r="SXD50" s="6"/>
      <c r="SXE50" s="6"/>
      <c r="SXF50" s="6"/>
      <c r="SXG50" s="6"/>
      <c r="SXH50" s="6"/>
      <c r="SXI50" s="6"/>
      <c r="SXJ50" s="6"/>
      <c r="SXK50" s="6"/>
      <c r="SXL50" s="6"/>
      <c r="SXM50" s="6"/>
      <c r="SXN50" s="6"/>
      <c r="SXO50" s="6"/>
      <c r="SXP50" s="6"/>
      <c r="SXQ50" s="6"/>
      <c r="SXR50" s="6"/>
      <c r="SXS50" s="6"/>
      <c r="SXT50" s="6"/>
      <c r="SXU50" s="6"/>
      <c r="SXV50" s="6"/>
      <c r="SXW50" s="6"/>
      <c r="SXX50" s="6"/>
      <c r="SXY50" s="6"/>
      <c r="SXZ50" s="6"/>
      <c r="SYA50" s="6"/>
      <c r="SYB50" s="6"/>
      <c r="SYC50" s="6"/>
      <c r="SYD50" s="6"/>
      <c r="SYE50" s="6"/>
      <c r="SYF50" s="6"/>
      <c r="SYG50" s="6"/>
      <c r="SYH50" s="6"/>
      <c r="SYI50" s="6"/>
      <c r="SYJ50" s="6"/>
      <c r="SYK50" s="6"/>
      <c r="SYL50" s="6"/>
      <c r="SYM50" s="6"/>
      <c r="SYN50" s="6"/>
      <c r="SYO50" s="6"/>
      <c r="SYP50" s="6"/>
      <c r="SYQ50" s="6"/>
      <c r="SYR50" s="6"/>
      <c r="SYS50" s="6"/>
      <c r="SYT50" s="6"/>
      <c r="SYU50" s="6"/>
      <c r="SYV50" s="6"/>
      <c r="SYW50" s="6"/>
      <c r="SYX50" s="6"/>
      <c r="SYY50" s="6"/>
      <c r="SYZ50" s="6"/>
      <c r="SZA50" s="6"/>
      <c r="SZB50" s="6"/>
      <c r="SZC50" s="6"/>
      <c r="SZD50" s="6"/>
      <c r="SZE50" s="6"/>
      <c r="SZF50" s="6"/>
      <c r="SZG50" s="6"/>
      <c r="SZH50" s="6"/>
      <c r="SZI50" s="6"/>
      <c r="SZJ50" s="6"/>
      <c r="SZK50" s="6"/>
      <c r="SZL50" s="6"/>
      <c r="SZM50" s="6"/>
      <c r="SZN50" s="6"/>
      <c r="SZO50" s="6"/>
      <c r="SZP50" s="6"/>
      <c r="SZQ50" s="6"/>
      <c r="SZR50" s="6"/>
      <c r="SZS50" s="6"/>
      <c r="SZT50" s="6"/>
      <c r="SZU50" s="6"/>
      <c r="SZV50" s="6"/>
      <c r="SZW50" s="6"/>
      <c r="SZX50" s="6"/>
      <c r="SZY50" s="6"/>
      <c r="SZZ50" s="6"/>
      <c r="TAA50" s="6"/>
      <c r="TAB50" s="6"/>
      <c r="TAC50" s="6"/>
      <c r="TAD50" s="6"/>
      <c r="TAE50" s="6"/>
      <c r="TAF50" s="6"/>
      <c r="TAG50" s="6"/>
      <c r="TAH50" s="6"/>
      <c r="TAI50" s="6"/>
      <c r="TAJ50" s="6"/>
      <c r="TAK50" s="6"/>
      <c r="TAL50" s="6"/>
      <c r="TAM50" s="6"/>
      <c r="TAN50" s="6"/>
      <c r="TAO50" s="6"/>
      <c r="TAP50" s="6"/>
      <c r="TAQ50" s="6"/>
      <c r="TAR50" s="6"/>
      <c r="TAS50" s="6"/>
      <c r="TAT50" s="6"/>
      <c r="TAU50" s="6"/>
      <c r="TAV50" s="6"/>
      <c r="TAW50" s="6"/>
      <c r="TAX50" s="6"/>
      <c r="TAY50" s="6"/>
      <c r="TAZ50" s="6"/>
      <c r="TBA50" s="6"/>
      <c r="TBB50" s="6"/>
      <c r="TBC50" s="6"/>
      <c r="TBD50" s="6"/>
      <c r="TBE50" s="6"/>
      <c r="TBF50" s="6"/>
      <c r="TBG50" s="6"/>
      <c r="TBH50" s="6"/>
      <c r="TBI50" s="6"/>
      <c r="TBJ50" s="6"/>
      <c r="TBK50" s="6"/>
      <c r="TBL50" s="6"/>
      <c r="TBM50" s="6"/>
      <c r="TBN50" s="6"/>
      <c r="TBO50" s="6"/>
      <c r="TBP50" s="6"/>
      <c r="TBQ50" s="6"/>
      <c r="TBR50" s="6"/>
      <c r="TBS50" s="6"/>
      <c r="TBT50" s="6"/>
      <c r="TBU50" s="6"/>
      <c r="TBV50" s="6"/>
      <c r="TBW50" s="6"/>
      <c r="TBX50" s="6"/>
      <c r="TBY50" s="6"/>
      <c r="TBZ50" s="6"/>
      <c r="TCA50" s="6"/>
      <c r="TCB50" s="6"/>
      <c r="TCC50" s="6"/>
      <c r="TCD50" s="6"/>
      <c r="TCE50" s="6"/>
      <c r="TCF50" s="6"/>
      <c r="TCG50" s="6"/>
      <c r="TCH50" s="6"/>
      <c r="TCI50" s="6"/>
      <c r="TCJ50" s="6"/>
      <c r="TCK50" s="6"/>
      <c r="TCL50" s="6"/>
      <c r="TCM50" s="6"/>
      <c r="TCN50" s="6"/>
      <c r="TCO50" s="6"/>
      <c r="TCP50" s="6"/>
      <c r="TCQ50" s="6"/>
      <c r="TCR50" s="6"/>
      <c r="TCS50" s="6"/>
      <c r="TCT50" s="6"/>
      <c r="TCU50" s="6"/>
      <c r="TCV50" s="6"/>
      <c r="TCW50" s="6"/>
      <c r="TCX50" s="6"/>
      <c r="TCY50" s="6"/>
      <c r="TCZ50" s="6"/>
      <c r="TDA50" s="6"/>
      <c r="TDB50" s="6"/>
      <c r="TDC50" s="6"/>
      <c r="TDD50" s="6"/>
      <c r="TDE50" s="6"/>
      <c r="TDF50" s="6"/>
      <c r="TDG50" s="6"/>
      <c r="TDH50" s="6"/>
      <c r="TDI50" s="6"/>
      <c r="TDJ50" s="6"/>
      <c r="TDK50" s="6"/>
      <c r="TDL50" s="6"/>
      <c r="TDM50" s="6"/>
      <c r="TDN50" s="6"/>
      <c r="TDO50" s="6"/>
      <c r="TDP50" s="6"/>
      <c r="TDQ50" s="6"/>
      <c r="TDR50" s="6"/>
      <c r="TDS50" s="6"/>
      <c r="TDT50" s="6"/>
      <c r="TDU50" s="6"/>
      <c r="TDV50" s="6"/>
      <c r="TDW50" s="6"/>
      <c r="TDX50" s="6"/>
      <c r="TDY50" s="6"/>
      <c r="TDZ50" s="6"/>
      <c r="TEA50" s="6"/>
      <c r="TEB50" s="6"/>
      <c r="TEC50" s="6"/>
      <c r="TED50" s="6"/>
      <c r="TEE50" s="6"/>
      <c r="TEF50" s="6"/>
      <c r="TEG50" s="6"/>
      <c r="TEH50" s="6"/>
      <c r="TEI50" s="6"/>
      <c r="TEJ50" s="6"/>
      <c r="TEK50" s="6"/>
      <c r="TEL50" s="6"/>
      <c r="TEM50" s="6"/>
      <c r="TEN50" s="6"/>
      <c r="TEO50" s="6"/>
      <c r="TEP50" s="6"/>
      <c r="TEQ50" s="6"/>
      <c r="TER50" s="6"/>
      <c r="TES50" s="6"/>
      <c r="TET50" s="6"/>
      <c r="TEU50" s="6"/>
      <c r="TEV50" s="6"/>
      <c r="TEW50" s="6"/>
      <c r="TEX50" s="6"/>
      <c r="TEY50" s="6"/>
      <c r="TEZ50" s="6"/>
      <c r="TFA50" s="6"/>
      <c r="TFB50" s="6"/>
      <c r="TFC50" s="6"/>
      <c r="TFD50" s="6"/>
      <c r="TFE50" s="6"/>
      <c r="TFF50" s="6"/>
      <c r="TFG50" s="6"/>
      <c r="TFH50" s="6"/>
      <c r="TFI50" s="6"/>
      <c r="TFJ50" s="6"/>
      <c r="TFK50" s="6"/>
      <c r="TFL50" s="6"/>
      <c r="TFM50" s="6"/>
      <c r="TFN50" s="6"/>
      <c r="TFO50" s="6"/>
      <c r="TFP50" s="6"/>
      <c r="TFQ50" s="6"/>
      <c r="TFR50" s="6"/>
      <c r="TFS50" s="6"/>
      <c r="TFT50" s="6"/>
      <c r="TFU50" s="6"/>
      <c r="TFV50" s="6"/>
      <c r="TFW50" s="6"/>
      <c r="TFX50" s="6"/>
      <c r="TFY50" s="6"/>
      <c r="TFZ50" s="6"/>
      <c r="TGA50" s="6"/>
      <c r="TGB50" s="6"/>
      <c r="TGC50" s="6"/>
      <c r="TGD50" s="6"/>
      <c r="TGE50" s="6"/>
      <c r="TGF50" s="6"/>
      <c r="TGG50" s="6"/>
      <c r="TGH50" s="6"/>
      <c r="TGI50" s="6"/>
      <c r="TGJ50" s="6"/>
      <c r="TGK50" s="6"/>
      <c r="TGL50" s="6"/>
      <c r="TGM50" s="6"/>
      <c r="TGN50" s="6"/>
      <c r="TGO50" s="6"/>
      <c r="TGP50" s="6"/>
      <c r="TGQ50" s="6"/>
      <c r="TGR50" s="6"/>
      <c r="TGS50" s="6"/>
      <c r="TGT50" s="6"/>
      <c r="TGU50" s="6"/>
      <c r="TGV50" s="6"/>
      <c r="TGW50" s="6"/>
      <c r="TGX50" s="6"/>
      <c r="TGY50" s="6"/>
      <c r="TGZ50" s="6"/>
      <c r="THA50" s="6"/>
      <c r="THB50" s="6"/>
      <c r="THC50" s="6"/>
      <c r="THD50" s="6"/>
      <c r="THE50" s="6"/>
      <c r="THF50" s="6"/>
      <c r="THG50" s="6"/>
      <c r="THH50" s="6"/>
      <c r="THI50" s="6"/>
      <c r="THJ50" s="6"/>
      <c r="THK50" s="6"/>
      <c r="THL50" s="6"/>
      <c r="THM50" s="6"/>
      <c r="THN50" s="6"/>
      <c r="THO50" s="6"/>
      <c r="THP50" s="6"/>
      <c r="THQ50" s="6"/>
      <c r="THR50" s="6"/>
      <c r="THS50" s="6"/>
      <c r="THT50" s="6"/>
      <c r="THU50" s="6"/>
      <c r="THV50" s="6"/>
      <c r="THW50" s="6"/>
      <c r="THX50" s="6"/>
      <c r="THY50" s="6"/>
      <c r="THZ50" s="6"/>
      <c r="TIA50" s="6"/>
      <c r="TIB50" s="6"/>
      <c r="TIC50" s="6"/>
      <c r="TID50" s="6"/>
      <c r="TIE50" s="6"/>
      <c r="TIF50" s="6"/>
      <c r="TIG50" s="6"/>
      <c r="TIH50" s="6"/>
      <c r="TII50" s="6"/>
      <c r="TIJ50" s="6"/>
      <c r="TIK50" s="6"/>
      <c r="TIL50" s="6"/>
      <c r="TIM50" s="6"/>
      <c r="TIN50" s="6"/>
      <c r="TIO50" s="6"/>
      <c r="TIP50" s="6"/>
      <c r="TIQ50" s="6"/>
      <c r="TIR50" s="6"/>
      <c r="TIS50" s="6"/>
      <c r="TIT50" s="6"/>
      <c r="TIU50" s="6"/>
      <c r="TIV50" s="6"/>
      <c r="TIW50" s="6"/>
      <c r="TIX50" s="6"/>
      <c r="TIY50" s="6"/>
      <c r="TIZ50" s="6"/>
      <c r="TJA50" s="6"/>
      <c r="TJB50" s="6"/>
      <c r="TJC50" s="6"/>
      <c r="TJD50" s="6"/>
      <c r="TJE50" s="6"/>
      <c r="TJF50" s="6"/>
      <c r="TJG50" s="6"/>
      <c r="TJH50" s="6"/>
      <c r="TJI50" s="6"/>
      <c r="TJJ50" s="6"/>
      <c r="TJK50" s="6"/>
      <c r="TJL50" s="6"/>
      <c r="TJM50" s="6"/>
      <c r="TJN50" s="6"/>
      <c r="TJO50" s="6"/>
      <c r="TJP50" s="6"/>
      <c r="TJQ50" s="6"/>
      <c r="TJR50" s="6"/>
      <c r="TJS50" s="6"/>
      <c r="TJT50" s="6"/>
      <c r="TJU50" s="6"/>
      <c r="TJV50" s="6"/>
      <c r="TJW50" s="6"/>
      <c r="TJX50" s="6"/>
      <c r="TJY50" s="6"/>
      <c r="TJZ50" s="6"/>
      <c r="TKA50" s="6"/>
      <c r="TKB50" s="6"/>
      <c r="TKC50" s="6"/>
      <c r="TKD50" s="6"/>
      <c r="TKE50" s="6"/>
      <c r="TKF50" s="6"/>
      <c r="TKG50" s="6"/>
      <c r="TKH50" s="6"/>
      <c r="TKI50" s="6"/>
      <c r="TKJ50" s="6"/>
      <c r="TKK50" s="6"/>
      <c r="TKL50" s="6"/>
      <c r="TKM50" s="6"/>
      <c r="TKN50" s="6"/>
      <c r="TKO50" s="6"/>
      <c r="TKP50" s="6"/>
      <c r="TKQ50" s="6"/>
      <c r="TKR50" s="6"/>
      <c r="TKS50" s="6"/>
      <c r="TKT50" s="6"/>
      <c r="TKU50" s="6"/>
      <c r="TKV50" s="6"/>
      <c r="TKW50" s="6"/>
      <c r="TKX50" s="6"/>
      <c r="TKY50" s="6"/>
      <c r="TKZ50" s="6"/>
      <c r="TLA50" s="6"/>
      <c r="TLB50" s="6"/>
      <c r="TLC50" s="6"/>
      <c r="TLD50" s="6"/>
      <c r="TLE50" s="6"/>
      <c r="TLF50" s="6"/>
      <c r="TLG50" s="6"/>
      <c r="TLH50" s="6"/>
      <c r="TLI50" s="6"/>
      <c r="TLJ50" s="6"/>
      <c r="TLK50" s="6"/>
      <c r="TLL50" s="6"/>
      <c r="TLM50" s="6"/>
      <c r="TLN50" s="6"/>
      <c r="TLO50" s="6"/>
      <c r="TLP50" s="6"/>
      <c r="TLQ50" s="6"/>
      <c r="TLR50" s="6"/>
      <c r="TLS50" s="6"/>
      <c r="TLT50" s="6"/>
      <c r="TLU50" s="6"/>
      <c r="TLV50" s="6"/>
      <c r="TLW50" s="6"/>
      <c r="TLX50" s="6"/>
      <c r="TLY50" s="6"/>
      <c r="TLZ50" s="6"/>
      <c r="TMA50" s="6"/>
      <c r="TMB50" s="6"/>
      <c r="TMC50" s="6"/>
      <c r="TMD50" s="6"/>
      <c r="TME50" s="6"/>
      <c r="TMF50" s="6"/>
      <c r="TMG50" s="6"/>
      <c r="TMH50" s="6"/>
      <c r="TMI50" s="6"/>
      <c r="TMJ50" s="6"/>
      <c r="TMK50" s="6"/>
      <c r="TML50" s="6"/>
      <c r="TMM50" s="6"/>
      <c r="TMN50" s="6"/>
      <c r="TMO50" s="6"/>
      <c r="TMP50" s="6"/>
      <c r="TMQ50" s="6"/>
      <c r="TMR50" s="6"/>
      <c r="TMS50" s="6"/>
      <c r="TMT50" s="6"/>
      <c r="TMU50" s="6"/>
      <c r="TMV50" s="6"/>
      <c r="TMW50" s="6"/>
      <c r="TMX50" s="6"/>
      <c r="TMY50" s="6"/>
      <c r="TMZ50" s="6"/>
      <c r="TNA50" s="6"/>
      <c r="TNB50" s="6"/>
      <c r="TNC50" s="6"/>
      <c r="TND50" s="6"/>
      <c r="TNE50" s="6"/>
      <c r="TNF50" s="6"/>
      <c r="TNG50" s="6"/>
      <c r="TNH50" s="6"/>
      <c r="TNI50" s="6"/>
      <c r="TNJ50" s="6"/>
      <c r="TNK50" s="6"/>
      <c r="TNL50" s="6"/>
      <c r="TNM50" s="6"/>
      <c r="TNN50" s="6"/>
      <c r="TNO50" s="6"/>
      <c r="TNP50" s="6"/>
      <c r="TNQ50" s="6"/>
      <c r="TNR50" s="6"/>
      <c r="TNS50" s="6"/>
      <c r="TNT50" s="6"/>
      <c r="TNU50" s="6"/>
      <c r="TNV50" s="6"/>
      <c r="TNW50" s="6"/>
      <c r="TNX50" s="6"/>
      <c r="TNY50" s="6"/>
      <c r="TNZ50" s="6"/>
      <c r="TOA50" s="6"/>
      <c r="TOB50" s="6"/>
      <c r="TOC50" s="6"/>
      <c r="TOD50" s="6"/>
      <c r="TOE50" s="6"/>
      <c r="TOF50" s="6"/>
      <c r="TOG50" s="6"/>
      <c r="TOH50" s="6"/>
      <c r="TOI50" s="6"/>
      <c r="TOJ50" s="6"/>
      <c r="TOK50" s="6"/>
      <c r="TOL50" s="6"/>
      <c r="TOM50" s="6"/>
      <c r="TON50" s="6"/>
      <c r="TOO50" s="6"/>
      <c r="TOP50" s="6"/>
      <c r="TOQ50" s="6"/>
      <c r="TOR50" s="6"/>
      <c r="TOS50" s="6"/>
      <c r="TOT50" s="6"/>
      <c r="TOU50" s="6"/>
      <c r="TOV50" s="6"/>
      <c r="TOW50" s="6"/>
      <c r="TOX50" s="6"/>
      <c r="TOY50" s="6"/>
      <c r="TOZ50" s="6"/>
      <c r="TPA50" s="6"/>
      <c r="TPB50" s="6"/>
      <c r="TPC50" s="6"/>
      <c r="TPD50" s="6"/>
      <c r="TPE50" s="6"/>
      <c r="TPF50" s="6"/>
      <c r="TPG50" s="6"/>
      <c r="TPH50" s="6"/>
      <c r="TPI50" s="6"/>
      <c r="TPJ50" s="6"/>
      <c r="TPK50" s="6"/>
      <c r="TPL50" s="6"/>
      <c r="TPM50" s="6"/>
      <c r="TPN50" s="6"/>
      <c r="TPO50" s="6"/>
      <c r="TPP50" s="6"/>
      <c r="TPQ50" s="6"/>
      <c r="TPR50" s="6"/>
      <c r="TPS50" s="6"/>
      <c r="TPT50" s="6"/>
      <c r="TPU50" s="6"/>
      <c r="TPV50" s="6"/>
      <c r="TPW50" s="6"/>
      <c r="TPX50" s="6"/>
      <c r="TPY50" s="6"/>
      <c r="TPZ50" s="6"/>
      <c r="TQA50" s="6"/>
      <c r="TQB50" s="6"/>
      <c r="TQC50" s="6"/>
      <c r="TQD50" s="6"/>
      <c r="TQE50" s="6"/>
      <c r="TQF50" s="6"/>
      <c r="TQG50" s="6"/>
      <c r="TQH50" s="6"/>
      <c r="TQI50" s="6"/>
      <c r="TQJ50" s="6"/>
      <c r="TQK50" s="6"/>
      <c r="TQL50" s="6"/>
      <c r="TQM50" s="6"/>
      <c r="TQN50" s="6"/>
      <c r="TQO50" s="6"/>
      <c r="TQP50" s="6"/>
      <c r="TQQ50" s="6"/>
      <c r="TQR50" s="6"/>
      <c r="TQS50" s="6"/>
      <c r="TQT50" s="6"/>
      <c r="TQU50" s="6"/>
      <c r="TQV50" s="6"/>
      <c r="TQW50" s="6"/>
      <c r="TQX50" s="6"/>
      <c r="TQY50" s="6"/>
      <c r="TQZ50" s="6"/>
      <c r="TRA50" s="6"/>
      <c r="TRB50" s="6"/>
      <c r="TRC50" s="6"/>
      <c r="TRD50" s="6"/>
      <c r="TRE50" s="6"/>
      <c r="TRF50" s="6"/>
      <c r="TRG50" s="6"/>
      <c r="TRH50" s="6"/>
      <c r="TRI50" s="6"/>
      <c r="TRJ50" s="6"/>
      <c r="TRK50" s="6"/>
      <c r="TRL50" s="6"/>
      <c r="TRM50" s="6"/>
      <c r="TRN50" s="6"/>
      <c r="TRO50" s="6"/>
      <c r="TRP50" s="6"/>
      <c r="TRQ50" s="6"/>
      <c r="TRR50" s="6"/>
      <c r="TRS50" s="6"/>
      <c r="TRT50" s="6"/>
      <c r="TRU50" s="6"/>
      <c r="TRV50" s="6"/>
      <c r="TRW50" s="6"/>
      <c r="TRX50" s="6"/>
      <c r="TRY50" s="6"/>
      <c r="TRZ50" s="6"/>
      <c r="TSA50" s="6"/>
      <c r="TSB50" s="6"/>
      <c r="TSC50" s="6"/>
      <c r="TSD50" s="6"/>
      <c r="TSE50" s="6"/>
      <c r="TSF50" s="6"/>
      <c r="TSG50" s="6"/>
      <c r="TSH50" s="6"/>
      <c r="TSI50" s="6"/>
      <c r="TSJ50" s="6"/>
      <c r="TSK50" s="6"/>
      <c r="TSL50" s="6"/>
      <c r="TSM50" s="6"/>
      <c r="TSN50" s="6"/>
      <c r="TSO50" s="6"/>
      <c r="TSP50" s="6"/>
      <c r="TSQ50" s="6"/>
      <c r="TSR50" s="6"/>
      <c r="TSS50" s="6"/>
      <c r="TST50" s="6"/>
      <c r="TSU50" s="6"/>
      <c r="TSV50" s="6"/>
      <c r="TSW50" s="6"/>
      <c r="TSX50" s="6"/>
      <c r="TSY50" s="6"/>
      <c r="TSZ50" s="6"/>
      <c r="TTA50" s="6"/>
      <c r="TTB50" s="6"/>
      <c r="TTC50" s="6"/>
      <c r="TTD50" s="6"/>
      <c r="TTE50" s="6"/>
      <c r="TTF50" s="6"/>
      <c r="TTG50" s="6"/>
      <c r="TTH50" s="6"/>
      <c r="TTI50" s="6"/>
      <c r="TTJ50" s="6"/>
      <c r="TTK50" s="6"/>
      <c r="TTL50" s="6"/>
      <c r="TTM50" s="6"/>
      <c r="TTN50" s="6"/>
      <c r="TTO50" s="6"/>
      <c r="TTP50" s="6"/>
      <c r="TTQ50" s="6"/>
      <c r="TTR50" s="6"/>
      <c r="TTS50" s="6"/>
      <c r="TTT50" s="6"/>
      <c r="TTU50" s="6"/>
      <c r="TTV50" s="6"/>
      <c r="TTW50" s="6"/>
      <c r="TTX50" s="6"/>
      <c r="TTY50" s="6"/>
      <c r="TTZ50" s="6"/>
      <c r="TUA50" s="6"/>
      <c r="TUB50" s="6"/>
      <c r="TUC50" s="6"/>
      <c r="TUD50" s="6"/>
      <c r="TUE50" s="6"/>
      <c r="TUF50" s="6"/>
      <c r="TUG50" s="6"/>
      <c r="TUH50" s="6"/>
      <c r="TUI50" s="6"/>
      <c r="TUJ50" s="6"/>
      <c r="TUK50" s="6"/>
      <c r="TUL50" s="6"/>
      <c r="TUM50" s="6"/>
      <c r="TUN50" s="6"/>
      <c r="TUO50" s="6"/>
      <c r="TUP50" s="6"/>
      <c r="TUQ50" s="6"/>
      <c r="TUR50" s="6"/>
      <c r="TUS50" s="6"/>
      <c r="TUT50" s="6"/>
      <c r="TUU50" s="6"/>
      <c r="TUV50" s="6"/>
      <c r="TUW50" s="6"/>
      <c r="TUX50" s="6"/>
      <c r="TUY50" s="6"/>
      <c r="TUZ50" s="6"/>
      <c r="TVA50" s="6"/>
      <c r="TVB50" s="6"/>
      <c r="TVC50" s="6"/>
      <c r="TVD50" s="6"/>
      <c r="TVE50" s="6"/>
      <c r="TVF50" s="6"/>
      <c r="TVG50" s="6"/>
      <c r="TVH50" s="6"/>
      <c r="TVI50" s="6"/>
      <c r="TVJ50" s="6"/>
      <c r="TVK50" s="6"/>
      <c r="TVL50" s="6"/>
      <c r="TVM50" s="6"/>
      <c r="TVN50" s="6"/>
      <c r="TVO50" s="6"/>
      <c r="TVP50" s="6"/>
      <c r="TVQ50" s="6"/>
      <c r="TVR50" s="6"/>
      <c r="TVS50" s="6"/>
      <c r="TVT50" s="6"/>
      <c r="TVU50" s="6"/>
      <c r="TVV50" s="6"/>
      <c r="TVW50" s="6"/>
      <c r="TVX50" s="6"/>
      <c r="TVY50" s="6"/>
      <c r="TVZ50" s="6"/>
      <c r="TWA50" s="6"/>
      <c r="TWB50" s="6"/>
      <c r="TWC50" s="6"/>
      <c r="TWD50" s="6"/>
      <c r="TWE50" s="6"/>
      <c r="TWF50" s="6"/>
      <c r="TWG50" s="6"/>
      <c r="TWH50" s="6"/>
      <c r="TWI50" s="6"/>
      <c r="TWJ50" s="6"/>
      <c r="TWK50" s="6"/>
      <c r="TWL50" s="6"/>
      <c r="TWM50" s="6"/>
      <c r="TWN50" s="6"/>
      <c r="TWO50" s="6"/>
      <c r="TWP50" s="6"/>
      <c r="TWQ50" s="6"/>
      <c r="TWR50" s="6"/>
      <c r="TWS50" s="6"/>
      <c r="TWT50" s="6"/>
      <c r="TWU50" s="6"/>
      <c r="TWV50" s="6"/>
      <c r="TWW50" s="6"/>
      <c r="TWX50" s="6"/>
      <c r="TWY50" s="6"/>
      <c r="TWZ50" s="6"/>
      <c r="TXA50" s="6"/>
      <c r="TXB50" s="6"/>
      <c r="TXC50" s="6"/>
      <c r="TXD50" s="6"/>
      <c r="TXE50" s="6"/>
      <c r="TXF50" s="6"/>
      <c r="TXG50" s="6"/>
      <c r="TXH50" s="6"/>
      <c r="TXI50" s="6"/>
      <c r="TXJ50" s="6"/>
      <c r="TXK50" s="6"/>
      <c r="TXL50" s="6"/>
      <c r="TXM50" s="6"/>
      <c r="TXN50" s="6"/>
      <c r="TXO50" s="6"/>
      <c r="TXP50" s="6"/>
      <c r="TXQ50" s="6"/>
      <c r="TXR50" s="6"/>
      <c r="TXS50" s="6"/>
      <c r="TXT50" s="6"/>
      <c r="TXU50" s="6"/>
      <c r="TXV50" s="6"/>
      <c r="TXW50" s="6"/>
      <c r="TXX50" s="6"/>
      <c r="TXY50" s="6"/>
      <c r="TXZ50" s="6"/>
      <c r="TYA50" s="6"/>
      <c r="TYB50" s="6"/>
      <c r="TYC50" s="6"/>
      <c r="TYD50" s="6"/>
      <c r="TYE50" s="6"/>
      <c r="TYF50" s="6"/>
      <c r="TYG50" s="6"/>
      <c r="TYH50" s="6"/>
      <c r="TYI50" s="6"/>
      <c r="TYJ50" s="6"/>
      <c r="TYK50" s="6"/>
      <c r="TYL50" s="6"/>
      <c r="TYM50" s="6"/>
      <c r="TYN50" s="6"/>
      <c r="TYO50" s="6"/>
      <c r="TYP50" s="6"/>
      <c r="TYQ50" s="6"/>
      <c r="TYR50" s="6"/>
      <c r="TYS50" s="6"/>
      <c r="TYT50" s="6"/>
      <c r="TYU50" s="6"/>
      <c r="TYV50" s="6"/>
      <c r="TYW50" s="6"/>
      <c r="TYX50" s="6"/>
      <c r="TYY50" s="6"/>
      <c r="TYZ50" s="6"/>
      <c r="TZA50" s="6"/>
      <c r="TZB50" s="6"/>
      <c r="TZC50" s="6"/>
      <c r="TZD50" s="6"/>
      <c r="TZE50" s="6"/>
      <c r="TZF50" s="6"/>
      <c r="TZG50" s="6"/>
      <c r="TZH50" s="6"/>
      <c r="TZI50" s="6"/>
      <c r="TZJ50" s="6"/>
      <c r="TZK50" s="6"/>
      <c r="TZL50" s="6"/>
      <c r="TZM50" s="6"/>
      <c r="TZN50" s="6"/>
      <c r="TZO50" s="6"/>
      <c r="TZP50" s="6"/>
      <c r="TZQ50" s="6"/>
      <c r="TZR50" s="6"/>
      <c r="TZS50" s="6"/>
      <c r="TZT50" s="6"/>
      <c r="TZU50" s="6"/>
      <c r="TZV50" s="6"/>
      <c r="TZW50" s="6"/>
      <c r="TZX50" s="6"/>
      <c r="TZY50" s="6"/>
      <c r="TZZ50" s="6"/>
      <c r="UAA50" s="6"/>
      <c r="UAB50" s="6"/>
      <c r="UAC50" s="6"/>
      <c r="UAD50" s="6"/>
      <c r="UAE50" s="6"/>
      <c r="UAF50" s="6"/>
      <c r="UAG50" s="6"/>
      <c r="UAH50" s="6"/>
      <c r="UAI50" s="6"/>
      <c r="UAJ50" s="6"/>
      <c r="UAK50" s="6"/>
      <c r="UAL50" s="6"/>
      <c r="UAM50" s="6"/>
      <c r="UAN50" s="6"/>
      <c r="UAO50" s="6"/>
      <c r="UAP50" s="6"/>
      <c r="UAQ50" s="6"/>
      <c r="UAR50" s="6"/>
      <c r="UAS50" s="6"/>
      <c r="UAT50" s="6"/>
      <c r="UAU50" s="6"/>
      <c r="UAV50" s="6"/>
      <c r="UAW50" s="6"/>
      <c r="UAX50" s="6"/>
      <c r="UAY50" s="6"/>
      <c r="UAZ50" s="6"/>
      <c r="UBA50" s="6"/>
      <c r="UBB50" s="6"/>
      <c r="UBC50" s="6"/>
      <c r="UBD50" s="6"/>
      <c r="UBE50" s="6"/>
      <c r="UBF50" s="6"/>
      <c r="UBG50" s="6"/>
      <c r="UBH50" s="6"/>
      <c r="UBI50" s="6"/>
      <c r="UBJ50" s="6"/>
      <c r="UBK50" s="6"/>
      <c r="UBL50" s="6"/>
      <c r="UBM50" s="6"/>
      <c r="UBN50" s="6"/>
      <c r="UBO50" s="6"/>
      <c r="UBP50" s="6"/>
      <c r="UBQ50" s="6"/>
      <c r="UBR50" s="6"/>
      <c r="UBS50" s="6"/>
      <c r="UBT50" s="6"/>
      <c r="UBU50" s="6"/>
      <c r="UBV50" s="6"/>
      <c r="UBW50" s="6"/>
      <c r="UBX50" s="6"/>
      <c r="UBY50" s="6"/>
      <c r="UBZ50" s="6"/>
      <c r="UCA50" s="6"/>
      <c r="UCB50" s="6"/>
      <c r="UCC50" s="6"/>
      <c r="UCD50" s="6"/>
      <c r="UCE50" s="6"/>
      <c r="UCF50" s="6"/>
      <c r="UCG50" s="6"/>
      <c r="UCH50" s="6"/>
      <c r="UCI50" s="6"/>
      <c r="UCJ50" s="6"/>
      <c r="UCK50" s="6"/>
      <c r="UCL50" s="6"/>
      <c r="UCM50" s="6"/>
      <c r="UCN50" s="6"/>
      <c r="UCO50" s="6"/>
      <c r="UCP50" s="6"/>
      <c r="UCQ50" s="6"/>
      <c r="UCR50" s="6"/>
      <c r="UCS50" s="6"/>
      <c r="UCT50" s="6"/>
      <c r="UCU50" s="6"/>
      <c r="UCV50" s="6"/>
      <c r="UCW50" s="6"/>
      <c r="UCX50" s="6"/>
      <c r="UCY50" s="6"/>
      <c r="UCZ50" s="6"/>
      <c r="UDA50" s="6"/>
      <c r="UDB50" s="6"/>
      <c r="UDC50" s="6"/>
      <c r="UDD50" s="6"/>
      <c r="UDE50" s="6"/>
      <c r="UDF50" s="6"/>
      <c r="UDG50" s="6"/>
      <c r="UDH50" s="6"/>
      <c r="UDI50" s="6"/>
      <c r="UDJ50" s="6"/>
      <c r="UDK50" s="6"/>
      <c r="UDL50" s="6"/>
      <c r="UDM50" s="6"/>
      <c r="UDN50" s="6"/>
      <c r="UDO50" s="6"/>
      <c r="UDP50" s="6"/>
      <c r="UDQ50" s="6"/>
      <c r="UDR50" s="6"/>
      <c r="UDS50" s="6"/>
      <c r="UDT50" s="6"/>
      <c r="UDU50" s="6"/>
      <c r="UDV50" s="6"/>
      <c r="UDW50" s="6"/>
      <c r="UDX50" s="6"/>
      <c r="UDY50" s="6"/>
      <c r="UDZ50" s="6"/>
      <c r="UEA50" s="6"/>
      <c r="UEB50" s="6"/>
      <c r="UEC50" s="6"/>
      <c r="UED50" s="6"/>
      <c r="UEE50" s="6"/>
      <c r="UEF50" s="6"/>
      <c r="UEG50" s="6"/>
      <c r="UEH50" s="6"/>
      <c r="UEI50" s="6"/>
      <c r="UEJ50" s="6"/>
      <c r="UEK50" s="6"/>
      <c r="UEL50" s="6"/>
      <c r="UEM50" s="6"/>
      <c r="UEN50" s="6"/>
      <c r="UEO50" s="6"/>
      <c r="UEP50" s="6"/>
      <c r="UEQ50" s="6"/>
      <c r="UER50" s="6"/>
      <c r="UES50" s="6"/>
      <c r="UET50" s="6"/>
      <c r="UEU50" s="6"/>
      <c r="UEV50" s="6"/>
      <c r="UEW50" s="6"/>
      <c r="UEX50" s="6"/>
      <c r="UEY50" s="6"/>
      <c r="UEZ50" s="6"/>
      <c r="UFA50" s="6"/>
      <c r="UFB50" s="6"/>
      <c r="UFC50" s="6"/>
      <c r="UFD50" s="6"/>
      <c r="UFE50" s="6"/>
      <c r="UFF50" s="6"/>
      <c r="UFG50" s="6"/>
      <c r="UFH50" s="6"/>
      <c r="UFI50" s="6"/>
      <c r="UFJ50" s="6"/>
      <c r="UFK50" s="6"/>
      <c r="UFL50" s="6"/>
      <c r="UFM50" s="6"/>
      <c r="UFN50" s="6"/>
      <c r="UFO50" s="6"/>
      <c r="UFP50" s="6"/>
      <c r="UFQ50" s="6"/>
      <c r="UFR50" s="6"/>
      <c r="UFS50" s="6"/>
      <c r="UFT50" s="6"/>
      <c r="UFU50" s="6"/>
      <c r="UFV50" s="6"/>
      <c r="UFW50" s="6"/>
      <c r="UFX50" s="6"/>
      <c r="UFY50" s="6"/>
      <c r="UFZ50" s="6"/>
      <c r="UGA50" s="6"/>
      <c r="UGB50" s="6"/>
      <c r="UGC50" s="6"/>
      <c r="UGD50" s="6"/>
      <c r="UGE50" s="6"/>
      <c r="UGF50" s="6"/>
      <c r="UGG50" s="6"/>
      <c r="UGH50" s="6"/>
      <c r="UGI50" s="6"/>
      <c r="UGJ50" s="6"/>
      <c r="UGK50" s="6"/>
      <c r="UGL50" s="6"/>
      <c r="UGM50" s="6"/>
      <c r="UGN50" s="6"/>
      <c r="UGO50" s="6"/>
      <c r="UGP50" s="6"/>
      <c r="UGQ50" s="6"/>
      <c r="UGR50" s="6"/>
      <c r="UGS50" s="6"/>
      <c r="UGT50" s="6"/>
      <c r="UGU50" s="6"/>
      <c r="UGV50" s="6"/>
      <c r="UGW50" s="6"/>
      <c r="UGX50" s="6"/>
      <c r="UGY50" s="6"/>
      <c r="UGZ50" s="6"/>
      <c r="UHA50" s="6"/>
      <c r="UHB50" s="6"/>
      <c r="UHC50" s="6"/>
      <c r="UHD50" s="6"/>
      <c r="UHE50" s="6"/>
      <c r="UHF50" s="6"/>
      <c r="UHG50" s="6"/>
      <c r="UHH50" s="6"/>
      <c r="UHI50" s="6"/>
      <c r="UHJ50" s="6"/>
      <c r="UHK50" s="6"/>
      <c r="UHL50" s="6"/>
      <c r="UHM50" s="6"/>
      <c r="UHN50" s="6"/>
      <c r="UHO50" s="6"/>
      <c r="UHP50" s="6"/>
      <c r="UHQ50" s="6"/>
      <c r="UHR50" s="6"/>
      <c r="UHS50" s="6"/>
      <c r="UHT50" s="6"/>
      <c r="UHU50" s="6"/>
      <c r="UHV50" s="6"/>
      <c r="UHW50" s="6"/>
      <c r="UHX50" s="6"/>
      <c r="UHY50" s="6"/>
      <c r="UHZ50" s="6"/>
      <c r="UIA50" s="6"/>
      <c r="UIB50" s="6"/>
      <c r="UIC50" s="6"/>
      <c r="UID50" s="6"/>
      <c r="UIE50" s="6"/>
      <c r="UIF50" s="6"/>
      <c r="UIG50" s="6"/>
      <c r="UIH50" s="6"/>
      <c r="UII50" s="6"/>
      <c r="UIJ50" s="6"/>
      <c r="UIK50" s="6"/>
      <c r="UIL50" s="6"/>
      <c r="UIM50" s="6"/>
      <c r="UIN50" s="6"/>
      <c r="UIO50" s="6"/>
      <c r="UIP50" s="6"/>
      <c r="UIQ50" s="6"/>
      <c r="UIR50" s="6"/>
      <c r="UIS50" s="6"/>
      <c r="UIT50" s="6"/>
      <c r="UIU50" s="6"/>
      <c r="UIV50" s="6"/>
      <c r="UIW50" s="6"/>
      <c r="UIX50" s="6"/>
      <c r="UIY50" s="6"/>
      <c r="UIZ50" s="6"/>
      <c r="UJA50" s="6"/>
      <c r="UJB50" s="6"/>
      <c r="UJC50" s="6"/>
      <c r="UJD50" s="6"/>
      <c r="UJE50" s="6"/>
      <c r="UJF50" s="6"/>
      <c r="UJG50" s="6"/>
      <c r="UJH50" s="6"/>
      <c r="UJI50" s="6"/>
      <c r="UJJ50" s="6"/>
      <c r="UJK50" s="6"/>
      <c r="UJL50" s="6"/>
      <c r="UJM50" s="6"/>
      <c r="UJN50" s="6"/>
      <c r="UJO50" s="6"/>
      <c r="UJP50" s="6"/>
      <c r="UJQ50" s="6"/>
      <c r="UJR50" s="6"/>
      <c r="UJS50" s="6"/>
      <c r="UJT50" s="6"/>
      <c r="UJU50" s="6"/>
      <c r="UJV50" s="6"/>
      <c r="UJW50" s="6"/>
      <c r="UJX50" s="6"/>
      <c r="UJY50" s="6"/>
      <c r="UJZ50" s="6"/>
      <c r="UKA50" s="6"/>
      <c r="UKB50" s="6"/>
      <c r="UKC50" s="6"/>
      <c r="UKD50" s="6"/>
      <c r="UKE50" s="6"/>
      <c r="UKF50" s="6"/>
      <c r="UKG50" s="6"/>
      <c r="UKH50" s="6"/>
      <c r="UKI50" s="6"/>
      <c r="UKJ50" s="6"/>
      <c r="UKK50" s="6"/>
      <c r="UKL50" s="6"/>
      <c r="UKM50" s="6"/>
      <c r="UKN50" s="6"/>
      <c r="UKO50" s="6"/>
      <c r="UKP50" s="6"/>
      <c r="UKQ50" s="6"/>
      <c r="UKR50" s="6"/>
      <c r="UKS50" s="6"/>
      <c r="UKT50" s="6"/>
      <c r="UKU50" s="6"/>
      <c r="UKV50" s="6"/>
      <c r="UKW50" s="6"/>
      <c r="UKX50" s="6"/>
      <c r="UKY50" s="6"/>
      <c r="UKZ50" s="6"/>
      <c r="ULA50" s="6"/>
      <c r="ULB50" s="6"/>
      <c r="ULC50" s="6"/>
      <c r="ULD50" s="6"/>
      <c r="ULE50" s="6"/>
      <c r="ULF50" s="6"/>
      <c r="ULG50" s="6"/>
      <c r="ULH50" s="6"/>
      <c r="ULI50" s="6"/>
      <c r="ULJ50" s="6"/>
      <c r="ULK50" s="6"/>
      <c r="ULL50" s="6"/>
      <c r="ULM50" s="6"/>
      <c r="ULN50" s="6"/>
      <c r="ULO50" s="6"/>
      <c r="ULP50" s="6"/>
      <c r="ULQ50" s="6"/>
      <c r="ULR50" s="6"/>
      <c r="ULS50" s="6"/>
      <c r="ULT50" s="6"/>
      <c r="ULU50" s="6"/>
      <c r="ULV50" s="6"/>
      <c r="ULW50" s="6"/>
      <c r="ULX50" s="6"/>
      <c r="ULY50" s="6"/>
      <c r="ULZ50" s="6"/>
      <c r="UMA50" s="6"/>
      <c r="UMB50" s="6"/>
      <c r="UMC50" s="6"/>
      <c r="UMD50" s="6"/>
      <c r="UME50" s="6"/>
      <c r="UMF50" s="6"/>
      <c r="UMG50" s="6"/>
      <c r="UMH50" s="6"/>
      <c r="UMI50" s="6"/>
      <c r="UMJ50" s="6"/>
      <c r="UMK50" s="6"/>
      <c r="UML50" s="6"/>
      <c r="UMM50" s="6"/>
      <c r="UMN50" s="6"/>
      <c r="UMO50" s="6"/>
      <c r="UMP50" s="6"/>
      <c r="UMQ50" s="6"/>
      <c r="UMR50" s="6"/>
      <c r="UMS50" s="6"/>
      <c r="UMT50" s="6"/>
      <c r="UMU50" s="6"/>
      <c r="UMV50" s="6"/>
      <c r="UMW50" s="6"/>
      <c r="UMX50" s="6"/>
      <c r="UMY50" s="6"/>
      <c r="UMZ50" s="6"/>
      <c r="UNA50" s="6"/>
      <c r="UNB50" s="6"/>
      <c r="UNC50" s="6"/>
      <c r="UND50" s="6"/>
      <c r="UNE50" s="6"/>
      <c r="UNF50" s="6"/>
      <c r="UNG50" s="6"/>
      <c r="UNH50" s="6"/>
      <c r="UNI50" s="6"/>
      <c r="UNJ50" s="6"/>
      <c r="UNK50" s="6"/>
      <c r="UNL50" s="6"/>
      <c r="UNM50" s="6"/>
      <c r="UNN50" s="6"/>
      <c r="UNO50" s="6"/>
      <c r="UNP50" s="6"/>
      <c r="UNQ50" s="6"/>
      <c r="UNR50" s="6"/>
      <c r="UNS50" s="6"/>
      <c r="UNT50" s="6"/>
      <c r="UNU50" s="6"/>
      <c r="UNV50" s="6"/>
      <c r="UNW50" s="6"/>
      <c r="UNX50" s="6"/>
      <c r="UNY50" s="6"/>
      <c r="UNZ50" s="6"/>
      <c r="UOA50" s="6"/>
      <c r="UOB50" s="6"/>
      <c r="UOC50" s="6"/>
      <c r="UOD50" s="6"/>
      <c r="UOE50" s="6"/>
      <c r="UOF50" s="6"/>
      <c r="UOG50" s="6"/>
      <c r="UOH50" s="6"/>
      <c r="UOI50" s="6"/>
      <c r="UOJ50" s="6"/>
      <c r="UOK50" s="6"/>
      <c r="UOL50" s="6"/>
      <c r="UOM50" s="6"/>
      <c r="UON50" s="6"/>
      <c r="UOO50" s="6"/>
      <c r="UOP50" s="6"/>
      <c r="UOQ50" s="6"/>
      <c r="UOR50" s="6"/>
      <c r="UOS50" s="6"/>
      <c r="UOT50" s="6"/>
      <c r="UOU50" s="6"/>
      <c r="UOV50" s="6"/>
      <c r="UOW50" s="6"/>
      <c r="UOX50" s="6"/>
      <c r="UOY50" s="6"/>
      <c r="UOZ50" s="6"/>
      <c r="UPA50" s="6"/>
      <c r="UPB50" s="6"/>
      <c r="UPC50" s="6"/>
      <c r="UPD50" s="6"/>
      <c r="UPE50" s="6"/>
      <c r="UPF50" s="6"/>
      <c r="UPG50" s="6"/>
      <c r="UPH50" s="6"/>
      <c r="UPI50" s="6"/>
      <c r="UPJ50" s="6"/>
      <c r="UPK50" s="6"/>
      <c r="UPL50" s="6"/>
      <c r="UPM50" s="6"/>
      <c r="UPN50" s="6"/>
      <c r="UPO50" s="6"/>
      <c r="UPP50" s="6"/>
      <c r="UPQ50" s="6"/>
      <c r="UPR50" s="6"/>
      <c r="UPS50" s="6"/>
      <c r="UPT50" s="6"/>
      <c r="UPU50" s="6"/>
      <c r="UPV50" s="6"/>
      <c r="UPW50" s="6"/>
      <c r="UPX50" s="6"/>
      <c r="UPY50" s="6"/>
      <c r="UPZ50" s="6"/>
      <c r="UQA50" s="6"/>
      <c r="UQB50" s="6"/>
      <c r="UQC50" s="6"/>
      <c r="UQD50" s="6"/>
      <c r="UQE50" s="6"/>
      <c r="UQF50" s="6"/>
      <c r="UQG50" s="6"/>
      <c r="UQH50" s="6"/>
      <c r="UQI50" s="6"/>
      <c r="UQJ50" s="6"/>
      <c r="UQK50" s="6"/>
      <c r="UQL50" s="6"/>
      <c r="UQM50" s="6"/>
      <c r="UQN50" s="6"/>
      <c r="UQO50" s="6"/>
      <c r="UQP50" s="6"/>
      <c r="UQQ50" s="6"/>
      <c r="UQR50" s="6"/>
      <c r="UQS50" s="6"/>
      <c r="UQT50" s="6"/>
      <c r="UQU50" s="6"/>
      <c r="UQV50" s="6"/>
      <c r="UQW50" s="6"/>
      <c r="UQX50" s="6"/>
      <c r="UQY50" s="6"/>
      <c r="UQZ50" s="6"/>
      <c r="URA50" s="6"/>
      <c r="URB50" s="6"/>
      <c r="URC50" s="6"/>
      <c r="URD50" s="6"/>
      <c r="URE50" s="6"/>
      <c r="URF50" s="6"/>
      <c r="URG50" s="6"/>
      <c r="URH50" s="6"/>
      <c r="URI50" s="6"/>
      <c r="URJ50" s="6"/>
      <c r="URK50" s="6"/>
      <c r="URL50" s="6"/>
      <c r="URM50" s="6"/>
      <c r="URN50" s="6"/>
      <c r="URO50" s="6"/>
      <c r="URP50" s="6"/>
      <c r="URQ50" s="6"/>
      <c r="URR50" s="6"/>
      <c r="URS50" s="6"/>
      <c r="URT50" s="6"/>
      <c r="URU50" s="6"/>
      <c r="URV50" s="6"/>
      <c r="URW50" s="6"/>
      <c r="URX50" s="6"/>
      <c r="URY50" s="6"/>
      <c r="URZ50" s="6"/>
      <c r="USA50" s="6"/>
      <c r="USB50" s="6"/>
      <c r="USC50" s="6"/>
      <c r="USD50" s="6"/>
      <c r="USE50" s="6"/>
      <c r="USF50" s="6"/>
      <c r="USG50" s="6"/>
      <c r="USH50" s="6"/>
      <c r="USI50" s="6"/>
      <c r="USJ50" s="6"/>
      <c r="USK50" s="6"/>
      <c r="USL50" s="6"/>
      <c r="USM50" s="6"/>
      <c r="USN50" s="6"/>
      <c r="USO50" s="6"/>
      <c r="USP50" s="6"/>
      <c r="USQ50" s="6"/>
      <c r="USR50" s="6"/>
      <c r="USS50" s="6"/>
      <c r="UST50" s="6"/>
      <c r="USU50" s="6"/>
      <c r="USV50" s="6"/>
      <c r="USW50" s="6"/>
      <c r="USX50" s="6"/>
      <c r="USY50" s="6"/>
      <c r="USZ50" s="6"/>
      <c r="UTA50" s="6"/>
      <c r="UTB50" s="6"/>
      <c r="UTC50" s="6"/>
      <c r="UTD50" s="6"/>
      <c r="UTE50" s="6"/>
      <c r="UTF50" s="6"/>
      <c r="UTG50" s="6"/>
      <c r="UTH50" s="6"/>
      <c r="UTI50" s="6"/>
      <c r="UTJ50" s="6"/>
      <c r="UTK50" s="6"/>
      <c r="UTL50" s="6"/>
      <c r="UTM50" s="6"/>
      <c r="UTN50" s="6"/>
      <c r="UTO50" s="6"/>
      <c r="UTP50" s="6"/>
      <c r="UTQ50" s="6"/>
      <c r="UTR50" s="6"/>
      <c r="UTS50" s="6"/>
      <c r="UTT50" s="6"/>
      <c r="UTU50" s="6"/>
      <c r="UTV50" s="6"/>
      <c r="UTW50" s="6"/>
      <c r="UTX50" s="6"/>
      <c r="UTY50" s="6"/>
      <c r="UTZ50" s="6"/>
      <c r="UUA50" s="6"/>
      <c r="UUB50" s="6"/>
      <c r="UUC50" s="6"/>
      <c r="UUD50" s="6"/>
      <c r="UUE50" s="6"/>
      <c r="UUF50" s="6"/>
      <c r="UUG50" s="6"/>
      <c r="UUH50" s="6"/>
      <c r="UUI50" s="6"/>
      <c r="UUJ50" s="6"/>
      <c r="UUK50" s="6"/>
      <c r="UUL50" s="6"/>
      <c r="UUM50" s="6"/>
      <c r="UUN50" s="6"/>
      <c r="UUO50" s="6"/>
      <c r="UUP50" s="6"/>
      <c r="UUQ50" s="6"/>
      <c r="UUR50" s="6"/>
      <c r="UUS50" s="6"/>
      <c r="UUT50" s="6"/>
      <c r="UUU50" s="6"/>
      <c r="UUV50" s="6"/>
      <c r="UUW50" s="6"/>
      <c r="UUX50" s="6"/>
      <c r="UUY50" s="6"/>
      <c r="UUZ50" s="6"/>
      <c r="UVA50" s="6"/>
      <c r="UVB50" s="6"/>
      <c r="UVC50" s="6"/>
      <c r="UVD50" s="6"/>
      <c r="UVE50" s="6"/>
      <c r="UVF50" s="6"/>
      <c r="UVG50" s="6"/>
      <c r="UVH50" s="6"/>
      <c r="UVI50" s="6"/>
      <c r="UVJ50" s="6"/>
      <c r="UVK50" s="6"/>
      <c r="UVL50" s="6"/>
      <c r="UVM50" s="6"/>
      <c r="UVN50" s="6"/>
      <c r="UVO50" s="6"/>
      <c r="UVP50" s="6"/>
      <c r="UVQ50" s="6"/>
      <c r="UVR50" s="6"/>
      <c r="UVS50" s="6"/>
      <c r="UVT50" s="6"/>
      <c r="UVU50" s="6"/>
      <c r="UVV50" s="6"/>
      <c r="UVW50" s="6"/>
      <c r="UVX50" s="6"/>
      <c r="UVY50" s="6"/>
      <c r="UVZ50" s="6"/>
      <c r="UWA50" s="6"/>
      <c r="UWB50" s="6"/>
      <c r="UWC50" s="6"/>
      <c r="UWD50" s="6"/>
      <c r="UWE50" s="6"/>
      <c r="UWF50" s="6"/>
      <c r="UWG50" s="6"/>
      <c r="UWH50" s="6"/>
      <c r="UWI50" s="6"/>
      <c r="UWJ50" s="6"/>
      <c r="UWK50" s="6"/>
      <c r="UWL50" s="6"/>
      <c r="UWM50" s="6"/>
      <c r="UWN50" s="6"/>
      <c r="UWO50" s="6"/>
      <c r="UWP50" s="6"/>
      <c r="UWQ50" s="6"/>
      <c r="UWR50" s="6"/>
      <c r="UWS50" s="6"/>
      <c r="UWT50" s="6"/>
      <c r="UWU50" s="6"/>
      <c r="UWV50" s="6"/>
      <c r="UWW50" s="6"/>
      <c r="UWX50" s="6"/>
      <c r="UWY50" s="6"/>
      <c r="UWZ50" s="6"/>
      <c r="UXA50" s="6"/>
      <c r="UXB50" s="6"/>
      <c r="UXC50" s="6"/>
      <c r="UXD50" s="6"/>
      <c r="UXE50" s="6"/>
      <c r="UXF50" s="6"/>
      <c r="UXG50" s="6"/>
      <c r="UXH50" s="6"/>
      <c r="UXI50" s="6"/>
      <c r="UXJ50" s="6"/>
      <c r="UXK50" s="6"/>
      <c r="UXL50" s="6"/>
      <c r="UXM50" s="6"/>
      <c r="UXN50" s="6"/>
      <c r="UXO50" s="6"/>
      <c r="UXP50" s="6"/>
      <c r="UXQ50" s="6"/>
      <c r="UXR50" s="6"/>
      <c r="UXS50" s="6"/>
      <c r="UXT50" s="6"/>
      <c r="UXU50" s="6"/>
      <c r="UXV50" s="6"/>
      <c r="UXW50" s="6"/>
      <c r="UXX50" s="6"/>
      <c r="UXY50" s="6"/>
      <c r="UXZ50" s="6"/>
      <c r="UYA50" s="6"/>
      <c r="UYB50" s="6"/>
      <c r="UYC50" s="6"/>
      <c r="UYD50" s="6"/>
      <c r="UYE50" s="6"/>
      <c r="UYF50" s="6"/>
      <c r="UYG50" s="6"/>
      <c r="UYH50" s="6"/>
      <c r="UYI50" s="6"/>
      <c r="UYJ50" s="6"/>
      <c r="UYK50" s="6"/>
      <c r="UYL50" s="6"/>
      <c r="UYM50" s="6"/>
      <c r="UYN50" s="6"/>
      <c r="UYO50" s="6"/>
      <c r="UYP50" s="6"/>
      <c r="UYQ50" s="6"/>
      <c r="UYR50" s="6"/>
      <c r="UYS50" s="6"/>
      <c r="UYT50" s="6"/>
      <c r="UYU50" s="6"/>
      <c r="UYV50" s="6"/>
      <c r="UYW50" s="6"/>
      <c r="UYX50" s="6"/>
      <c r="UYY50" s="6"/>
      <c r="UYZ50" s="6"/>
      <c r="UZA50" s="6"/>
      <c r="UZB50" s="6"/>
      <c r="UZC50" s="6"/>
      <c r="UZD50" s="6"/>
      <c r="UZE50" s="6"/>
      <c r="UZF50" s="6"/>
      <c r="UZG50" s="6"/>
      <c r="UZH50" s="6"/>
      <c r="UZI50" s="6"/>
      <c r="UZJ50" s="6"/>
      <c r="UZK50" s="6"/>
      <c r="UZL50" s="6"/>
      <c r="UZM50" s="6"/>
      <c r="UZN50" s="6"/>
      <c r="UZO50" s="6"/>
      <c r="UZP50" s="6"/>
      <c r="UZQ50" s="6"/>
      <c r="UZR50" s="6"/>
      <c r="UZS50" s="6"/>
      <c r="UZT50" s="6"/>
      <c r="UZU50" s="6"/>
      <c r="UZV50" s="6"/>
      <c r="UZW50" s="6"/>
      <c r="UZX50" s="6"/>
      <c r="UZY50" s="6"/>
      <c r="UZZ50" s="6"/>
      <c r="VAA50" s="6"/>
      <c r="VAB50" s="6"/>
      <c r="VAC50" s="6"/>
      <c r="VAD50" s="6"/>
      <c r="VAE50" s="6"/>
      <c r="VAF50" s="6"/>
      <c r="VAG50" s="6"/>
      <c r="VAH50" s="6"/>
      <c r="VAI50" s="6"/>
      <c r="VAJ50" s="6"/>
      <c r="VAK50" s="6"/>
      <c r="VAL50" s="6"/>
      <c r="VAM50" s="6"/>
      <c r="VAN50" s="6"/>
      <c r="VAO50" s="6"/>
      <c r="VAP50" s="6"/>
      <c r="VAQ50" s="6"/>
      <c r="VAR50" s="6"/>
      <c r="VAS50" s="6"/>
      <c r="VAT50" s="6"/>
      <c r="VAU50" s="6"/>
      <c r="VAV50" s="6"/>
      <c r="VAW50" s="6"/>
      <c r="VAX50" s="6"/>
      <c r="VAY50" s="6"/>
      <c r="VAZ50" s="6"/>
      <c r="VBA50" s="6"/>
      <c r="VBB50" s="6"/>
      <c r="VBC50" s="6"/>
      <c r="VBD50" s="6"/>
      <c r="VBE50" s="6"/>
      <c r="VBF50" s="6"/>
      <c r="VBG50" s="6"/>
      <c r="VBH50" s="6"/>
      <c r="VBI50" s="6"/>
      <c r="VBJ50" s="6"/>
      <c r="VBK50" s="6"/>
      <c r="VBL50" s="6"/>
      <c r="VBM50" s="6"/>
      <c r="VBN50" s="6"/>
      <c r="VBO50" s="6"/>
      <c r="VBP50" s="6"/>
      <c r="VBQ50" s="6"/>
      <c r="VBR50" s="6"/>
      <c r="VBS50" s="6"/>
      <c r="VBT50" s="6"/>
      <c r="VBU50" s="6"/>
      <c r="VBV50" s="6"/>
      <c r="VBW50" s="6"/>
      <c r="VBX50" s="6"/>
      <c r="VBY50" s="6"/>
      <c r="VBZ50" s="6"/>
      <c r="VCA50" s="6"/>
      <c r="VCB50" s="6"/>
      <c r="VCC50" s="6"/>
      <c r="VCD50" s="6"/>
      <c r="VCE50" s="6"/>
      <c r="VCF50" s="6"/>
      <c r="VCG50" s="6"/>
      <c r="VCH50" s="6"/>
      <c r="VCI50" s="6"/>
      <c r="VCJ50" s="6"/>
      <c r="VCK50" s="6"/>
      <c r="VCL50" s="6"/>
      <c r="VCM50" s="6"/>
      <c r="VCN50" s="6"/>
      <c r="VCO50" s="6"/>
      <c r="VCP50" s="6"/>
      <c r="VCQ50" s="6"/>
      <c r="VCR50" s="6"/>
      <c r="VCS50" s="6"/>
      <c r="VCT50" s="6"/>
      <c r="VCU50" s="6"/>
      <c r="VCV50" s="6"/>
      <c r="VCW50" s="6"/>
      <c r="VCX50" s="6"/>
      <c r="VCY50" s="6"/>
      <c r="VCZ50" s="6"/>
      <c r="VDA50" s="6"/>
      <c r="VDB50" s="6"/>
      <c r="VDC50" s="6"/>
      <c r="VDD50" s="6"/>
      <c r="VDE50" s="6"/>
      <c r="VDF50" s="6"/>
      <c r="VDG50" s="6"/>
      <c r="VDH50" s="6"/>
      <c r="VDI50" s="6"/>
      <c r="VDJ50" s="6"/>
      <c r="VDK50" s="6"/>
      <c r="VDL50" s="6"/>
      <c r="VDM50" s="6"/>
      <c r="VDN50" s="6"/>
      <c r="VDO50" s="6"/>
      <c r="VDP50" s="6"/>
      <c r="VDQ50" s="6"/>
      <c r="VDR50" s="6"/>
      <c r="VDS50" s="6"/>
      <c r="VDT50" s="6"/>
      <c r="VDU50" s="6"/>
      <c r="VDV50" s="6"/>
      <c r="VDW50" s="6"/>
      <c r="VDX50" s="6"/>
      <c r="VDY50" s="6"/>
      <c r="VDZ50" s="6"/>
      <c r="VEA50" s="6"/>
      <c r="VEB50" s="6"/>
      <c r="VEC50" s="6"/>
      <c r="VED50" s="6"/>
      <c r="VEE50" s="6"/>
      <c r="VEF50" s="6"/>
      <c r="VEG50" s="6"/>
      <c r="VEH50" s="6"/>
      <c r="VEI50" s="6"/>
      <c r="VEJ50" s="6"/>
      <c r="VEK50" s="6"/>
      <c r="VEL50" s="6"/>
      <c r="VEM50" s="6"/>
      <c r="VEN50" s="6"/>
      <c r="VEO50" s="6"/>
      <c r="VEP50" s="6"/>
      <c r="VEQ50" s="6"/>
      <c r="VER50" s="6"/>
      <c r="VES50" s="6"/>
      <c r="VET50" s="6"/>
      <c r="VEU50" s="6"/>
      <c r="VEV50" s="6"/>
      <c r="VEW50" s="6"/>
      <c r="VEX50" s="6"/>
      <c r="VEY50" s="6"/>
      <c r="VEZ50" s="6"/>
      <c r="VFA50" s="6"/>
      <c r="VFB50" s="6"/>
      <c r="VFC50" s="6"/>
      <c r="VFD50" s="6"/>
      <c r="VFE50" s="6"/>
      <c r="VFF50" s="6"/>
      <c r="VFG50" s="6"/>
      <c r="VFH50" s="6"/>
      <c r="VFI50" s="6"/>
      <c r="VFJ50" s="6"/>
      <c r="VFK50" s="6"/>
      <c r="VFL50" s="6"/>
      <c r="VFM50" s="6"/>
      <c r="VFN50" s="6"/>
      <c r="VFO50" s="6"/>
      <c r="VFP50" s="6"/>
      <c r="VFQ50" s="6"/>
      <c r="VFR50" s="6"/>
      <c r="VFS50" s="6"/>
      <c r="VFT50" s="6"/>
      <c r="VFU50" s="6"/>
      <c r="VFV50" s="6"/>
      <c r="VFW50" s="6"/>
      <c r="VFX50" s="6"/>
      <c r="VFY50" s="6"/>
      <c r="VFZ50" s="6"/>
      <c r="VGA50" s="6"/>
      <c r="VGB50" s="6"/>
      <c r="VGC50" s="6"/>
      <c r="VGD50" s="6"/>
      <c r="VGE50" s="6"/>
      <c r="VGF50" s="6"/>
      <c r="VGG50" s="6"/>
      <c r="VGH50" s="6"/>
      <c r="VGI50" s="6"/>
      <c r="VGJ50" s="6"/>
      <c r="VGK50" s="6"/>
      <c r="VGL50" s="6"/>
      <c r="VGM50" s="6"/>
      <c r="VGN50" s="6"/>
      <c r="VGO50" s="6"/>
      <c r="VGP50" s="6"/>
      <c r="VGQ50" s="6"/>
      <c r="VGR50" s="6"/>
      <c r="VGS50" s="6"/>
      <c r="VGT50" s="6"/>
      <c r="VGU50" s="6"/>
      <c r="VGV50" s="6"/>
      <c r="VGW50" s="6"/>
      <c r="VGX50" s="6"/>
      <c r="VGY50" s="6"/>
      <c r="VGZ50" s="6"/>
      <c r="VHA50" s="6"/>
      <c r="VHB50" s="6"/>
      <c r="VHC50" s="6"/>
      <c r="VHD50" s="6"/>
      <c r="VHE50" s="6"/>
      <c r="VHF50" s="6"/>
      <c r="VHG50" s="6"/>
      <c r="VHH50" s="6"/>
      <c r="VHI50" s="6"/>
      <c r="VHJ50" s="6"/>
      <c r="VHK50" s="6"/>
      <c r="VHL50" s="6"/>
      <c r="VHM50" s="6"/>
      <c r="VHN50" s="6"/>
      <c r="VHO50" s="6"/>
      <c r="VHP50" s="6"/>
      <c r="VHQ50" s="6"/>
      <c r="VHR50" s="6"/>
      <c r="VHS50" s="6"/>
      <c r="VHT50" s="6"/>
      <c r="VHU50" s="6"/>
      <c r="VHV50" s="6"/>
      <c r="VHW50" s="6"/>
      <c r="VHX50" s="6"/>
      <c r="VHY50" s="6"/>
      <c r="VHZ50" s="6"/>
      <c r="VIA50" s="6"/>
      <c r="VIB50" s="6"/>
      <c r="VIC50" s="6"/>
      <c r="VID50" s="6"/>
      <c r="VIE50" s="6"/>
      <c r="VIF50" s="6"/>
      <c r="VIG50" s="6"/>
      <c r="VIH50" s="6"/>
      <c r="VII50" s="6"/>
      <c r="VIJ50" s="6"/>
      <c r="VIK50" s="6"/>
      <c r="VIL50" s="6"/>
      <c r="VIM50" s="6"/>
      <c r="VIN50" s="6"/>
      <c r="VIO50" s="6"/>
      <c r="VIP50" s="6"/>
      <c r="VIQ50" s="6"/>
      <c r="VIR50" s="6"/>
      <c r="VIS50" s="6"/>
      <c r="VIT50" s="6"/>
      <c r="VIU50" s="6"/>
      <c r="VIV50" s="6"/>
      <c r="VIW50" s="6"/>
      <c r="VIX50" s="6"/>
      <c r="VIY50" s="6"/>
      <c r="VIZ50" s="6"/>
      <c r="VJA50" s="6"/>
      <c r="VJB50" s="6"/>
      <c r="VJC50" s="6"/>
      <c r="VJD50" s="6"/>
      <c r="VJE50" s="6"/>
      <c r="VJF50" s="6"/>
      <c r="VJG50" s="6"/>
      <c r="VJH50" s="6"/>
      <c r="VJI50" s="6"/>
      <c r="VJJ50" s="6"/>
      <c r="VJK50" s="6"/>
      <c r="VJL50" s="6"/>
      <c r="VJM50" s="6"/>
      <c r="VJN50" s="6"/>
      <c r="VJO50" s="6"/>
      <c r="VJP50" s="6"/>
      <c r="VJQ50" s="6"/>
      <c r="VJR50" s="6"/>
      <c r="VJS50" s="6"/>
      <c r="VJT50" s="6"/>
      <c r="VJU50" s="6"/>
      <c r="VJV50" s="6"/>
      <c r="VJW50" s="6"/>
      <c r="VJX50" s="6"/>
      <c r="VJY50" s="6"/>
      <c r="VJZ50" s="6"/>
      <c r="VKA50" s="6"/>
      <c r="VKB50" s="6"/>
      <c r="VKC50" s="6"/>
      <c r="VKD50" s="6"/>
      <c r="VKE50" s="6"/>
      <c r="VKF50" s="6"/>
      <c r="VKG50" s="6"/>
      <c r="VKH50" s="6"/>
      <c r="VKI50" s="6"/>
      <c r="VKJ50" s="6"/>
      <c r="VKK50" s="6"/>
      <c r="VKL50" s="6"/>
      <c r="VKM50" s="6"/>
      <c r="VKN50" s="6"/>
      <c r="VKO50" s="6"/>
      <c r="VKP50" s="6"/>
      <c r="VKQ50" s="6"/>
      <c r="VKR50" s="6"/>
      <c r="VKS50" s="6"/>
      <c r="VKT50" s="6"/>
      <c r="VKU50" s="6"/>
      <c r="VKV50" s="6"/>
      <c r="VKW50" s="6"/>
      <c r="VKX50" s="6"/>
      <c r="VKY50" s="6"/>
      <c r="VKZ50" s="6"/>
      <c r="VLA50" s="6"/>
      <c r="VLB50" s="6"/>
      <c r="VLC50" s="6"/>
      <c r="VLD50" s="6"/>
      <c r="VLE50" s="6"/>
      <c r="VLF50" s="6"/>
      <c r="VLG50" s="6"/>
      <c r="VLH50" s="6"/>
      <c r="VLI50" s="6"/>
      <c r="VLJ50" s="6"/>
      <c r="VLK50" s="6"/>
      <c r="VLL50" s="6"/>
      <c r="VLM50" s="6"/>
      <c r="VLN50" s="6"/>
      <c r="VLO50" s="6"/>
      <c r="VLP50" s="6"/>
      <c r="VLQ50" s="6"/>
      <c r="VLR50" s="6"/>
      <c r="VLS50" s="6"/>
      <c r="VLT50" s="6"/>
      <c r="VLU50" s="6"/>
      <c r="VLV50" s="6"/>
      <c r="VLW50" s="6"/>
      <c r="VLX50" s="6"/>
      <c r="VLY50" s="6"/>
      <c r="VLZ50" s="6"/>
      <c r="VMA50" s="6"/>
      <c r="VMB50" s="6"/>
      <c r="VMC50" s="6"/>
      <c r="VMD50" s="6"/>
      <c r="VME50" s="6"/>
      <c r="VMF50" s="6"/>
      <c r="VMG50" s="6"/>
      <c r="VMH50" s="6"/>
      <c r="VMI50" s="6"/>
      <c r="VMJ50" s="6"/>
      <c r="VMK50" s="6"/>
      <c r="VML50" s="6"/>
      <c r="VMM50" s="6"/>
      <c r="VMN50" s="6"/>
      <c r="VMO50" s="6"/>
      <c r="VMP50" s="6"/>
      <c r="VMQ50" s="6"/>
      <c r="VMR50" s="6"/>
      <c r="VMS50" s="6"/>
      <c r="VMT50" s="6"/>
      <c r="VMU50" s="6"/>
      <c r="VMV50" s="6"/>
      <c r="VMW50" s="6"/>
      <c r="VMX50" s="6"/>
      <c r="VMY50" s="6"/>
      <c r="VMZ50" s="6"/>
      <c r="VNA50" s="6"/>
      <c r="VNB50" s="6"/>
      <c r="VNC50" s="6"/>
      <c r="VND50" s="6"/>
      <c r="VNE50" s="6"/>
      <c r="VNF50" s="6"/>
      <c r="VNG50" s="6"/>
      <c r="VNH50" s="6"/>
      <c r="VNI50" s="6"/>
      <c r="VNJ50" s="6"/>
      <c r="VNK50" s="6"/>
      <c r="VNL50" s="6"/>
      <c r="VNM50" s="6"/>
      <c r="VNN50" s="6"/>
      <c r="VNO50" s="6"/>
      <c r="VNP50" s="6"/>
      <c r="VNQ50" s="6"/>
      <c r="VNR50" s="6"/>
      <c r="VNS50" s="6"/>
      <c r="VNT50" s="6"/>
      <c r="VNU50" s="6"/>
      <c r="VNV50" s="6"/>
      <c r="VNW50" s="6"/>
      <c r="VNX50" s="6"/>
      <c r="VNY50" s="6"/>
      <c r="VNZ50" s="6"/>
      <c r="VOA50" s="6"/>
      <c r="VOB50" s="6"/>
      <c r="VOC50" s="6"/>
      <c r="VOD50" s="6"/>
      <c r="VOE50" s="6"/>
      <c r="VOF50" s="6"/>
      <c r="VOG50" s="6"/>
      <c r="VOH50" s="6"/>
      <c r="VOI50" s="6"/>
      <c r="VOJ50" s="6"/>
      <c r="VOK50" s="6"/>
      <c r="VOL50" s="6"/>
      <c r="VOM50" s="6"/>
      <c r="VON50" s="6"/>
      <c r="VOO50" s="6"/>
      <c r="VOP50" s="6"/>
      <c r="VOQ50" s="6"/>
      <c r="VOR50" s="6"/>
      <c r="VOS50" s="6"/>
      <c r="VOT50" s="6"/>
      <c r="VOU50" s="6"/>
      <c r="VOV50" s="6"/>
      <c r="VOW50" s="6"/>
      <c r="VOX50" s="6"/>
      <c r="VOY50" s="6"/>
      <c r="VOZ50" s="6"/>
      <c r="VPA50" s="6"/>
      <c r="VPB50" s="6"/>
      <c r="VPC50" s="6"/>
      <c r="VPD50" s="6"/>
      <c r="VPE50" s="6"/>
      <c r="VPF50" s="6"/>
      <c r="VPG50" s="6"/>
      <c r="VPH50" s="6"/>
      <c r="VPI50" s="6"/>
      <c r="VPJ50" s="6"/>
      <c r="VPK50" s="6"/>
      <c r="VPL50" s="6"/>
      <c r="VPM50" s="6"/>
      <c r="VPN50" s="6"/>
      <c r="VPO50" s="6"/>
      <c r="VPP50" s="6"/>
      <c r="VPQ50" s="6"/>
      <c r="VPR50" s="6"/>
      <c r="VPS50" s="6"/>
      <c r="VPT50" s="6"/>
      <c r="VPU50" s="6"/>
      <c r="VPV50" s="6"/>
      <c r="VPW50" s="6"/>
      <c r="VPX50" s="6"/>
      <c r="VPY50" s="6"/>
      <c r="VPZ50" s="6"/>
      <c r="VQA50" s="6"/>
      <c r="VQB50" s="6"/>
      <c r="VQC50" s="6"/>
      <c r="VQD50" s="6"/>
      <c r="VQE50" s="6"/>
      <c r="VQF50" s="6"/>
      <c r="VQG50" s="6"/>
      <c r="VQH50" s="6"/>
      <c r="VQI50" s="6"/>
      <c r="VQJ50" s="6"/>
      <c r="VQK50" s="6"/>
      <c r="VQL50" s="6"/>
      <c r="VQM50" s="6"/>
      <c r="VQN50" s="6"/>
      <c r="VQO50" s="6"/>
      <c r="VQP50" s="6"/>
      <c r="VQQ50" s="6"/>
      <c r="VQR50" s="6"/>
      <c r="VQS50" s="6"/>
      <c r="VQT50" s="6"/>
      <c r="VQU50" s="6"/>
      <c r="VQV50" s="6"/>
      <c r="VQW50" s="6"/>
      <c r="VQX50" s="6"/>
      <c r="VQY50" s="6"/>
      <c r="VQZ50" s="6"/>
      <c r="VRA50" s="6"/>
      <c r="VRB50" s="6"/>
      <c r="VRC50" s="6"/>
      <c r="VRD50" s="6"/>
      <c r="VRE50" s="6"/>
      <c r="VRF50" s="6"/>
      <c r="VRG50" s="6"/>
      <c r="VRH50" s="6"/>
      <c r="VRI50" s="6"/>
      <c r="VRJ50" s="6"/>
      <c r="VRK50" s="6"/>
      <c r="VRL50" s="6"/>
      <c r="VRM50" s="6"/>
      <c r="VRN50" s="6"/>
      <c r="VRO50" s="6"/>
      <c r="VRP50" s="6"/>
      <c r="VRQ50" s="6"/>
      <c r="VRR50" s="6"/>
      <c r="VRS50" s="6"/>
      <c r="VRT50" s="6"/>
      <c r="VRU50" s="6"/>
      <c r="VRV50" s="6"/>
      <c r="VRW50" s="6"/>
      <c r="VRX50" s="6"/>
      <c r="VRY50" s="6"/>
      <c r="VRZ50" s="6"/>
      <c r="VSA50" s="6"/>
      <c r="VSB50" s="6"/>
      <c r="VSC50" s="6"/>
      <c r="VSD50" s="6"/>
      <c r="VSE50" s="6"/>
      <c r="VSF50" s="6"/>
      <c r="VSG50" s="6"/>
      <c r="VSH50" s="6"/>
      <c r="VSI50" s="6"/>
      <c r="VSJ50" s="6"/>
      <c r="VSK50" s="6"/>
      <c r="VSL50" s="6"/>
      <c r="VSM50" s="6"/>
      <c r="VSN50" s="6"/>
      <c r="VSO50" s="6"/>
      <c r="VSP50" s="6"/>
      <c r="VSQ50" s="6"/>
      <c r="VSR50" s="6"/>
      <c r="VSS50" s="6"/>
      <c r="VST50" s="6"/>
      <c r="VSU50" s="6"/>
      <c r="VSV50" s="6"/>
      <c r="VSW50" s="6"/>
      <c r="VSX50" s="6"/>
      <c r="VSY50" s="6"/>
      <c r="VSZ50" s="6"/>
      <c r="VTA50" s="6"/>
      <c r="VTB50" s="6"/>
      <c r="VTC50" s="6"/>
      <c r="VTD50" s="6"/>
      <c r="VTE50" s="6"/>
      <c r="VTF50" s="6"/>
      <c r="VTG50" s="6"/>
      <c r="VTH50" s="6"/>
      <c r="VTI50" s="6"/>
      <c r="VTJ50" s="6"/>
      <c r="VTK50" s="6"/>
      <c r="VTL50" s="6"/>
      <c r="VTM50" s="6"/>
      <c r="VTN50" s="6"/>
      <c r="VTO50" s="6"/>
      <c r="VTP50" s="6"/>
      <c r="VTQ50" s="6"/>
      <c r="VTR50" s="6"/>
      <c r="VTS50" s="6"/>
      <c r="VTT50" s="6"/>
      <c r="VTU50" s="6"/>
      <c r="VTV50" s="6"/>
      <c r="VTW50" s="6"/>
      <c r="VTX50" s="6"/>
      <c r="VTY50" s="6"/>
      <c r="VTZ50" s="6"/>
      <c r="VUA50" s="6"/>
      <c r="VUB50" s="6"/>
      <c r="VUC50" s="6"/>
      <c r="VUD50" s="6"/>
      <c r="VUE50" s="6"/>
      <c r="VUF50" s="6"/>
      <c r="VUG50" s="6"/>
      <c r="VUH50" s="6"/>
      <c r="VUI50" s="6"/>
      <c r="VUJ50" s="6"/>
      <c r="VUK50" s="6"/>
      <c r="VUL50" s="6"/>
      <c r="VUM50" s="6"/>
      <c r="VUN50" s="6"/>
      <c r="VUO50" s="6"/>
      <c r="VUP50" s="6"/>
      <c r="VUQ50" s="6"/>
      <c r="VUR50" s="6"/>
      <c r="VUS50" s="6"/>
      <c r="VUT50" s="6"/>
      <c r="VUU50" s="6"/>
      <c r="VUV50" s="6"/>
      <c r="VUW50" s="6"/>
      <c r="VUX50" s="6"/>
      <c r="VUY50" s="6"/>
      <c r="VUZ50" s="6"/>
      <c r="VVA50" s="6"/>
      <c r="VVB50" s="6"/>
      <c r="VVC50" s="6"/>
      <c r="VVD50" s="6"/>
      <c r="VVE50" s="6"/>
      <c r="VVF50" s="6"/>
      <c r="VVG50" s="6"/>
      <c r="VVH50" s="6"/>
      <c r="VVI50" s="6"/>
      <c r="VVJ50" s="6"/>
      <c r="VVK50" s="6"/>
      <c r="VVL50" s="6"/>
      <c r="VVM50" s="6"/>
      <c r="VVN50" s="6"/>
      <c r="VVO50" s="6"/>
      <c r="VVP50" s="6"/>
      <c r="VVQ50" s="6"/>
      <c r="VVR50" s="6"/>
      <c r="VVS50" s="6"/>
      <c r="VVT50" s="6"/>
      <c r="VVU50" s="6"/>
      <c r="VVV50" s="6"/>
      <c r="VVW50" s="6"/>
      <c r="VVX50" s="6"/>
      <c r="VVY50" s="6"/>
      <c r="VVZ50" s="6"/>
      <c r="VWA50" s="6"/>
      <c r="VWB50" s="6"/>
      <c r="VWC50" s="6"/>
      <c r="VWD50" s="6"/>
      <c r="VWE50" s="6"/>
      <c r="VWF50" s="6"/>
      <c r="VWG50" s="6"/>
      <c r="VWH50" s="6"/>
      <c r="VWI50" s="6"/>
      <c r="VWJ50" s="6"/>
      <c r="VWK50" s="6"/>
      <c r="VWL50" s="6"/>
      <c r="VWM50" s="6"/>
      <c r="VWN50" s="6"/>
      <c r="VWO50" s="6"/>
      <c r="VWP50" s="6"/>
      <c r="VWQ50" s="6"/>
      <c r="VWR50" s="6"/>
      <c r="VWS50" s="6"/>
      <c r="VWT50" s="6"/>
      <c r="VWU50" s="6"/>
      <c r="VWV50" s="6"/>
      <c r="VWW50" s="6"/>
      <c r="VWX50" s="6"/>
      <c r="VWY50" s="6"/>
      <c r="VWZ50" s="6"/>
      <c r="VXA50" s="6"/>
      <c r="VXB50" s="6"/>
      <c r="VXC50" s="6"/>
      <c r="VXD50" s="6"/>
      <c r="VXE50" s="6"/>
      <c r="VXF50" s="6"/>
      <c r="VXG50" s="6"/>
      <c r="VXH50" s="6"/>
      <c r="VXI50" s="6"/>
      <c r="VXJ50" s="6"/>
      <c r="VXK50" s="6"/>
      <c r="VXL50" s="6"/>
      <c r="VXM50" s="6"/>
      <c r="VXN50" s="6"/>
      <c r="VXO50" s="6"/>
      <c r="VXP50" s="6"/>
      <c r="VXQ50" s="6"/>
      <c r="VXR50" s="6"/>
      <c r="VXS50" s="6"/>
      <c r="VXT50" s="6"/>
      <c r="VXU50" s="6"/>
      <c r="VXV50" s="6"/>
      <c r="VXW50" s="6"/>
      <c r="VXX50" s="6"/>
      <c r="VXY50" s="6"/>
      <c r="VXZ50" s="6"/>
      <c r="VYA50" s="6"/>
      <c r="VYB50" s="6"/>
      <c r="VYC50" s="6"/>
      <c r="VYD50" s="6"/>
      <c r="VYE50" s="6"/>
      <c r="VYF50" s="6"/>
      <c r="VYG50" s="6"/>
      <c r="VYH50" s="6"/>
      <c r="VYI50" s="6"/>
      <c r="VYJ50" s="6"/>
      <c r="VYK50" s="6"/>
      <c r="VYL50" s="6"/>
      <c r="VYM50" s="6"/>
      <c r="VYN50" s="6"/>
      <c r="VYO50" s="6"/>
      <c r="VYP50" s="6"/>
      <c r="VYQ50" s="6"/>
      <c r="VYR50" s="6"/>
      <c r="VYS50" s="6"/>
      <c r="VYT50" s="6"/>
      <c r="VYU50" s="6"/>
      <c r="VYV50" s="6"/>
      <c r="VYW50" s="6"/>
      <c r="VYX50" s="6"/>
      <c r="VYY50" s="6"/>
      <c r="VYZ50" s="6"/>
      <c r="VZA50" s="6"/>
      <c r="VZB50" s="6"/>
      <c r="VZC50" s="6"/>
      <c r="VZD50" s="6"/>
      <c r="VZE50" s="6"/>
      <c r="VZF50" s="6"/>
      <c r="VZG50" s="6"/>
      <c r="VZH50" s="6"/>
      <c r="VZI50" s="6"/>
      <c r="VZJ50" s="6"/>
      <c r="VZK50" s="6"/>
      <c r="VZL50" s="6"/>
      <c r="VZM50" s="6"/>
      <c r="VZN50" s="6"/>
      <c r="VZO50" s="6"/>
      <c r="VZP50" s="6"/>
      <c r="VZQ50" s="6"/>
      <c r="VZR50" s="6"/>
      <c r="VZS50" s="6"/>
      <c r="VZT50" s="6"/>
      <c r="VZU50" s="6"/>
      <c r="VZV50" s="6"/>
      <c r="VZW50" s="6"/>
      <c r="VZX50" s="6"/>
      <c r="VZY50" s="6"/>
      <c r="VZZ50" s="6"/>
      <c r="WAA50" s="6"/>
      <c r="WAB50" s="6"/>
      <c r="WAC50" s="6"/>
      <c r="WAD50" s="6"/>
      <c r="WAE50" s="6"/>
      <c r="WAF50" s="6"/>
      <c r="WAG50" s="6"/>
      <c r="WAH50" s="6"/>
      <c r="WAI50" s="6"/>
      <c r="WAJ50" s="6"/>
      <c r="WAK50" s="6"/>
      <c r="WAL50" s="6"/>
      <c r="WAM50" s="6"/>
      <c r="WAN50" s="6"/>
      <c r="WAO50" s="6"/>
      <c r="WAP50" s="6"/>
      <c r="WAQ50" s="6"/>
      <c r="WAR50" s="6"/>
      <c r="WAS50" s="6"/>
      <c r="WAT50" s="6"/>
      <c r="WAU50" s="6"/>
      <c r="WAV50" s="6"/>
      <c r="WAW50" s="6"/>
      <c r="WAX50" s="6"/>
      <c r="WAY50" s="6"/>
      <c r="WAZ50" s="6"/>
      <c r="WBA50" s="6"/>
      <c r="WBB50" s="6"/>
      <c r="WBC50" s="6"/>
      <c r="WBD50" s="6"/>
      <c r="WBE50" s="6"/>
      <c r="WBF50" s="6"/>
      <c r="WBG50" s="6"/>
      <c r="WBH50" s="6"/>
      <c r="WBI50" s="6"/>
      <c r="WBJ50" s="6"/>
      <c r="WBK50" s="6"/>
      <c r="WBL50" s="6"/>
      <c r="WBM50" s="6"/>
      <c r="WBN50" s="6"/>
      <c r="WBO50" s="6"/>
      <c r="WBP50" s="6"/>
      <c r="WBQ50" s="6"/>
      <c r="WBR50" s="6"/>
      <c r="WBS50" s="6"/>
      <c r="WBT50" s="6"/>
      <c r="WBU50" s="6"/>
      <c r="WBV50" s="6"/>
      <c r="WBW50" s="6"/>
      <c r="WBX50" s="6"/>
      <c r="WBY50" s="6"/>
      <c r="WBZ50" s="6"/>
      <c r="WCA50" s="6"/>
      <c r="WCB50" s="6"/>
      <c r="WCC50" s="6"/>
      <c r="WCD50" s="6"/>
      <c r="WCE50" s="6"/>
      <c r="WCF50" s="6"/>
      <c r="WCG50" s="6"/>
      <c r="WCH50" s="6"/>
      <c r="WCI50" s="6"/>
      <c r="WCJ50" s="6"/>
      <c r="WCK50" s="6"/>
      <c r="WCL50" s="6"/>
      <c r="WCM50" s="6"/>
      <c r="WCN50" s="6"/>
      <c r="WCO50" s="6"/>
      <c r="WCP50" s="6"/>
      <c r="WCQ50" s="6"/>
      <c r="WCR50" s="6"/>
      <c r="WCS50" s="6"/>
      <c r="WCT50" s="6"/>
      <c r="WCU50" s="6"/>
      <c r="WCV50" s="6"/>
      <c r="WCW50" s="6"/>
      <c r="WCX50" s="6"/>
      <c r="WCY50" s="6"/>
      <c r="WCZ50" s="6"/>
      <c r="WDA50" s="6"/>
      <c r="WDB50" s="6"/>
      <c r="WDC50" s="6"/>
      <c r="WDD50" s="6"/>
      <c r="WDE50" s="6"/>
      <c r="WDF50" s="6"/>
      <c r="WDG50" s="6"/>
      <c r="WDH50" s="6"/>
      <c r="WDI50" s="6"/>
      <c r="WDJ50" s="6"/>
      <c r="WDK50" s="6"/>
      <c r="WDL50" s="6"/>
      <c r="WDM50" s="6"/>
      <c r="WDN50" s="6"/>
      <c r="WDO50" s="6"/>
      <c r="WDP50" s="6"/>
      <c r="WDQ50" s="6"/>
      <c r="WDR50" s="6"/>
      <c r="WDS50" s="6"/>
      <c r="WDT50" s="6"/>
      <c r="WDU50" s="6"/>
      <c r="WDV50" s="6"/>
      <c r="WDW50" s="6"/>
      <c r="WDX50" s="6"/>
      <c r="WDY50" s="6"/>
      <c r="WDZ50" s="6"/>
      <c r="WEA50" s="6"/>
      <c r="WEB50" s="6"/>
      <c r="WEC50" s="6"/>
      <c r="WED50" s="6"/>
      <c r="WEE50" s="6"/>
      <c r="WEF50" s="6"/>
      <c r="WEG50" s="6"/>
      <c r="WEH50" s="6"/>
      <c r="WEI50" s="6"/>
      <c r="WEJ50" s="6"/>
      <c r="WEK50" s="6"/>
      <c r="WEL50" s="6"/>
      <c r="WEM50" s="6"/>
      <c r="WEN50" s="6"/>
      <c r="WEO50" s="6"/>
      <c r="WEP50" s="6"/>
      <c r="WEQ50" s="6"/>
      <c r="WER50" s="6"/>
      <c r="WES50" s="6"/>
      <c r="WET50" s="6"/>
      <c r="WEU50" s="6"/>
      <c r="WEV50" s="6"/>
      <c r="WEW50" s="6"/>
      <c r="WEX50" s="6"/>
      <c r="WEY50" s="6"/>
      <c r="WEZ50" s="6"/>
      <c r="WFA50" s="6"/>
      <c r="WFB50" s="6"/>
      <c r="WFC50" s="6"/>
      <c r="WFD50" s="6"/>
      <c r="WFE50" s="6"/>
      <c r="WFF50" s="6"/>
      <c r="WFG50" s="6"/>
      <c r="WFH50" s="6"/>
      <c r="WFI50" s="6"/>
      <c r="WFJ50" s="6"/>
      <c r="WFK50" s="6"/>
      <c r="WFL50" s="6"/>
      <c r="WFM50" s="6"/>
      <c r="WFN50" s="6"/>
      <c r="WFO50" s="6"/>
      <c r="WFP50" s="6"/>
      <c r="WFQ50" s="6"/>
      <c r="WFR50" s="6"/>
      <c r="WFS50" s="6"/>
      <c r="WFT50" s="6"/>
      <c r="WFU50" s="6"/>
      <c r="WFV50" s="6"/>
      <c r="WFW50" s="6"/>
      <c r="WFX50" s="6"/>
      <c r="WFY50" s="6"/>
      <c r="WFZ50" s="6"/>
      <c r="WGA50" s="6"/>
      <c r="WGB50" s="6"/>
      <c r="WGC50" s="6"/>
      <c r="WGD50" s="6"/>
      <c r="WGE50" s="6"/>
      <c r="WGF50" s="6"/>
      <c r="WGG50" s="6"/>
      <c r="WGH50" s="6"/>
      <c r="WGI50" s="6"/>
      <c r="WGJ50" s="6"/>
      <c r="WGK50" s="6"/>
      <c r="WGL50" s="6"/>
      <c r="WGM50" s="6"/>
      <c r="WGN50" s="6"/>
      <c r="WGO50" s="6"/>
      <c r="WGP50" s="6"/>
      <c r="WGQ50" s="6"/>
      <c r="WGR50" s="6"/>
      <c r="WGS50" s="6"/>
      <c r="WGT50" s="6"/>
      <c r="WGU50" s="6"/>
      <c r="WGV50" s="6"/>
      <c r="WGW50" s="6"/>
      <c r="WGX50" s="6"/>
      <c r="WGY50" s="6"/>
      <c r="WGZ50" s="6"/>
      <c r="WHA50" s="6"/>
      <c r="WHB50" s="6"/>
      <c r="WHC50" s="6"/>
      <c r="WHD50" s="6"/>
      <c r="WHE50" s="6"/>
      <c r="WHF50" s="6"/>
      <c r="WHG50" s="6"/>
      <c r="WHH50" s="6"/>
      <c r="WHI50" s="6"/>
      <c r="WHJ50" s="6"/>
      <c r="WHK50" s="6"/>
      <c r="WHL50" s="6"/>
      <c r="WHM50" s="6"/>
      <c r="WHN50" s="6"/>
      <c r="WHO50" s="6"/>
      <c r="WHP50" s="6"/>
      <c r="WHQ50" s="6"/>
      <c r="WHR50" s="6"/>
      <c r="WHS50" s="6"/>
      <c r="WHT50" s="6"/>
      <c r="WHU50" s="6"/>
      <c r="WHV50" s="6"/>
      <c r="WHW50" s="6"/>
      <c r="WHX50" s="6"/>
      <c r="WHY50" s="6"/>
      <c r="WHZ50" s="6"/>
      <c r="WIA50" s="6"/>
      <c r="WIB50" s="6"/>
      <c r="WIC50" s="6"/>
      <c r="WID50" s="6"/>
      <c r="WIE50" s="6"/>
      <c r="WIF50" s="6"/>
      <c r="WIG50" s="6"/>
      <c r="WIH50" s="6"/>
      <c r="WII50" s="6"/>
      <c r="WIJ50" s="6"/>
      <c r="WIK50" s="6"/>
      <c r="WIL50" s="6"/>
      <c r="WIM50" s="6"/>
      <c r="WIN50" s="6"/>
      <c r="WIO50" s="6"/>
      <c r="WIP50" s="6"/>
      <c r="WIQ50" s="6"/>
      <c r="WIR50" s="6"/>
      <c r="WIS50" s="6"/>
      <c r="WIT50" s="6"/>
      <c r="WIU50" s="6"/>
      <c r="WIV50" s="6"/>
      <c r="WIW50" s="6"/>
      <c r="WIX50" s="6"/>
      <c r="WIY50" s="6"/>
      <c r="WIZ50" s="6"/>
      <c r="WJA50" s="6"/>
      <c r="WJB50" s="6"/>
      <c r="WJC50" s="6"/>
      <c r="WJD50" s="6"/>
      <c r="WJE50" s="6"/>
      <c r="WJF50" s="6"/>
      <c r="WJG50" s="6"/>
      <c r="WJH50" s="6"/>
      <c r="WJI50" s="6"/>
      <c r="WJJ50" s="6"/>
      <c r="WJK50" s="6"/>
      <c r="WJL50" s="6"/>
      <c r="WJM50" s="6"/>
      <c r="WJN50" s="6"/>
      <c r="WJO50" s="6"/>
      <c r="WJP50" s="6"/>
      <c r="WJQ50" s="6"/>
      <c r="WJR50" s="6"/>
      <c r="WJS50" s="6"/>
      <c r="WJT50" s="6"/>
      <c r="WJU50" s="6"/>
      <c r="WJV50" s="6"/>
      <c r="WJW50" s="6"/>
      <c r="WJX50" s="6"/>
      <c r="WJY50" s="6"/>
      <c r="WJZ50" s="6"/>
      <c r="WKA50" s="6"/>
      <c r="WKB50" s="6"/>
      <c r="WKC50" s="6"/>
      <c r="WKD50" s="6"/>
      <c r="WKE50" s="6"/>
      <c r="WKF50" s="6"/>
      <c r="WKG50" s="6"/>
      <c r="WKH50" s="6"/>
      <c r="WKI50" s="6"/>
      <c r="WKJ50" s="6"/>
      <c r="WKK50" s="6"/>
      <c r="WKL50" s="6"/>
      <c r="WKM50" s="6"/>
      <c r="WKN50" s="6"/>
      <c r="WKO50" s="6"/>
      <c r="WKP50" s="6"/>
      <c r="WKQ50" s="6"/>
      <c r="WKR50" s="6"/>
      <c r="WKS50" s="6"/>
      <c r="WKT50" s="6"/>
      <c r="WKU50" s="6"/>
      <c r="WKV50" s="6"/>
      <c r="WKW50" s="6"/>
      <c r="WKX50" s="6"/>
      <c r="WKY50" s="6"/>
      <c r="WKZ50" s="6"/>
      <c r="WLA50" s="6"/>
      <c r="WLB50" s="6"/>
      <c r="WLC50" s="6"/>
      <c r="WLD50" s="6"/>
      <c r="WLE50" s="6"/>
      <c r="WLF50" s="6"/>
      <c r="WLG50" s="6"/>
      <c r="WLH50" s="6"/>
      <c r="WLI50" s="6"/>
      <c r="WLJ50" s="6"/>
      <c r="WLK50" s="6"/>
      <c r="WLL50" s="6"/>
      <c r="WLM50" s="6"/>
      <c r="WLN50" s="6"/>
      <c r="WLO50" s="6"/>
      <c r="WLP50" s="6"/>
      <c r="WLQ50" s="6"/>
      <c r="WLR50" s="6"/>
      <c r="WLS50" s="6"/>
      <c r="WLT50" s="6"/>
      <c r="WLU50" s="6"/>
      <c r="WLV50" s="6"/>
      <c r="WLW50" s="6"/>
      <c r="WLX50" s="6"/>
      <c r="WLY50" s="6"/>
      <c r="WLZ50" s="6"/>
      <c r="WMA50" s="6"/>
      <c r="WMB50" s="6"/>
      <c r="WMC50" s="6"/>
      <c r="WMD50" s="6"/>
      <c r="WME50" s="6"/>
      <c r="WMF50" s="6"/>
      <c r="WMG50" s="6"/>
      <c r="WMH50" s="6"/>
      <c r="WMI50" s="6"/>
      <c r="WMJ50" s="6"/>
      <c r="WMK50" s="6"/>
      <c r="WML50" s="6"/>
      <c r="WMM50" s="6"/>
      <c r="WMN50" s="6"/>
      <c r="WMO50" s="6"/>
      <c r="WMP50" s="6"/>
      <c r="WMQ50" s="6"/>
      <c r="WMR50" s="6"/>
      <c r="WMS50" s="6"/>
      <c r="WMT50" s="6"/>
      <c r="WMU50" s="6"/>
      <c r="WMV50" s="6"/>
      <c r="WMW50" s="6"/>
      <c r="WMX50" s="6"/>
      <c r="WMY50" s="6"/>
      <c r="WMZ50" s="6"/>
      <c r="WNA50" s="6"/>
      <c r="WNB50" s="6"/>
      <c r="WNC50" s="6"/>
      <c r="WND50" s="6"/>
      <c r="WNE50" s="6"/>
      <c r="WNF50" s="6"/>
      <c r="WNG50" s="6"/>
      <c r="WNH50" s="6"/>
      <c r="WNI50" s="6"/>
      <c r="WNJ50" s="6"/>
      <c r="WNK50" s="6"/>
      <c r="WNL50" s="6"/>
      <c r="WNM50" s="6"/>
      <c r="WNN50" s="6"/>
      <c r="WNO50" s="6"/>
      <c r="WNP50" s="6"/>
      <c r="WNQ50" s="6"/>
      <c r="WNR50" s="6"/>
      <c r="WNS50" s="6"/>
      <c r="WNT50" s="6"/>
      <c r="WNU50" s="6"/>
      <c r="WNV50" s="6"/>
      <c r="WNW50" s="6"/>
      <c r="WNX50" s="6"/>
      <c r="WNY50" s="6"/>
      <c r="WNZ50" s="6"/>
      <c r="WOA50" s="6"/>
      <c r="WOB50" s="6"/>
      <c r="WOC50" s="6"/>
      <c r="WOD50" s="6"/>
      <c r="WOE50" s="6"/>
      <c r="WOF50" s="6"/>
      <c r="WOG50" s="6"/>
      <c r="WOH50" s="6"/>
      <c r="WOI50" s="6"/>
      <c r="WOJ50" s="6"/>
      <c r="WOK50" s="6"/>
      <c r="WOL50" s="6"/>
      <c r="WOM50" s="6"/>
      <c r="WON50" s="6"/>
      <c r="WOO50" s="6"/>
      <c r="WOP50" s="6"/>
      <c r="WOQ50" s="6"/>
      <c r="WOR50" s="6"/>
      <c r="WOS50" s="6"/>
      <c r="WOT50" s="6"/>
      <c r="WOU50" s="6"/>
      <c r="WOV50" s="6"/>
      <c r="WOW50" s="6"/>
      <c r="WOX50" s="6"/>
      <c r="WOY50" s="6"/>
      <c r="WOZ50" s="6"/>
      <c r="WPA50" s="6"/>
      <c r="WPB50" s="6"/>
      <c r="WPC50" s="6"/>
      <c r="WPD50" s="6"/>
      <c r="WPE50" s="6"/>
      <c r="WPF50" s="6"/>
      <c r="WPG50" s="6"/>
      <c r="WPH50" s="6"/>
      <c r="WPI50" s="6"/>
      <c r="WPJ50" s="6"/>
      <c r="WPK50" s="6"/>
      <c r="WPL50" s="6"/>
      <c r="WPM50" s="6"/>
      <c r="WPN50" s="6"/>
      <c r="WPO50" s="6"/>
      <c r="WPP50" s="6"/>
      <c r="WPQ50" s="6"/>
      <c r="WPR50" s="6"/>
      <c r="WPS50" s="6"/>
      <c r="WPT50" s="6"/>
      <c r="WPU50" s="6"/>
      <c r="WPV50" s="6"/>
      <c r="WPW50" s="6"/>
      <c r="WPX50" s="6"/>
      <c r="WPY50" s="6"/>
      <c r="WPZ50" s="6"/>
      <c r="WQA50" s="6"/>
      <c r="WQB50" s="6"/>
      <c r="WQC50" s="6"/>
      <c r="WQD50" s="6"/>
      <c r="WQE50" s="6"/>
      <c r="WQF50" s="6"/>
      <c r="WQG50" s="6"/>
      <c r="WQH50" s="6"/>
      <c r="WQI50" s="6"/>
      <c r="WQJ50" s="6"/>
      <c r="WQK50" s="6"/>
      <c r="WQL50" s="6"/>
      <c r="WQM50" s="6"/>
      <c r="WQN50" s="6"/>
      <c r="WQO50" s="6"/>
      <c r="WQP50" s="6"/>
      <c r="WQQ50" s="6"/>
      <c r="WQR50" s="6"/>
      <c r="WQS50" s="6"/>
      <c r="WQT50" s="6"/>
      <c r="WQU50" s="6"/>
      <c r="WQV50" s="6"/>
      <c r="WQW50" s="6"/>
      <c r="WQX50" s="6"/>
      <c r="WQY50" s="6"/>
      <c r="WQZ50" s="6"/>
      <c r="WRA50" s="6"/>
      <c r="WRB50" s="6"/>
      <c r="WRC50" s="6"/>
      <c r="WRD50" s="6"/>
      <c r="WRE50" s="6"/>
      <c r="WRF50" s="6"/>
      <c r="WRG50" s="6"/>
      <c r="WRH50" s="6"/>
      <c r="WRI50" s="6"/>
      <c r="WRJ50" s="6"/>
      <c r="WRK50" s="6"/>
      <c r="WRL50" s="6"/>
      <c r="WRM50" s="6"/>
      <c r="WRN50" s="6"/>
      <c r="WRO50" s="6"/>
      <c r="WRP50" s="6"/>
      <c r="WRQ50" s="6"/>
      <c r="WRR50" s="6"/>
      <c r="WRS50" s="6"/>
      <c r="WRT50" s="6"/>
      <c r="WRU50" s="6"/>
      <c r="WRV50" s="6"/>
      <c r="WRW50" s="6"/>
      <c r="WRX50" s="6"/>
      <c r="WRY50" s="6"/>
      <c r="WRZ50" s="6"/>
      <c r="WSA50" s="6"/>
      <c r="WSB50" s="6"/>
      <c r="WSC50" s="6"/>
      <c r="WSD50" s="6"/>
      <c r="WSE50" s="6"/>
      <c r="WSF50" s="6"/>
    </row>
    <row r="51" spans="1:16048" ht="15.75" customHeight="1" x14ac:dyDescent="0.25">
      <c r="A51" s="112" t="s">
        <v>50</v>
      </c>
      <c r="B51" s="37" t="s">
        <v>51</v>
      </c>
      <c r="C51" s="88">
        <f>VLOOKUP($B51,'Raw Datas'!$54:$101,C$7,FALSE)</f>
        <v>65.220716666666661</v>
      </c>
      <c r="D51" s="88">
        <f>VLOOKUP($B51,'Raw Datas'!$54:$101,D$7,FALSE)</f>
        <v>285.99188333333331</v>
      </c>
      <c r="E51" s="88">
        <f>VLOOKUP($B51,'Raw Datas'!$54:$101,E$7,FALSE)</f>
        <v>208.06284999999997</v>
      </c>
      <c r="F51" s="88">
        <f>VLOOKUP($B51,'Raw Datas'!$54:$101,F$7,FALSE)</f>
        <v>49.990066666666664</v>
      </c>
      <c r="G51" s="88">
        <f>VLOOKUP($B51,'Raw Datas'!$54:$101,G$7,FALSE)</f>
        <v>113.22055</v>
      </c>
      <c r="H51" s="88">
        <f>VLOOKUP($B51,'Raw Datas'!$54:$101,H$7,FALSE)</f>
        <v>371.07</v>
      </c>
      <c r="I51" s="88">
        <f>VLOOKUP($B51,'Raw Datas'!$54:$101,I$7,FALSE)</f>
        <v>75.871933333333331</v>
      </c>
      <c r="J51" s="88">
        <f>VLOOKUP($B51,'Raw Datas'!$54:$101,J$7,FALSE)</f>
        <v>112.06086666666667</v>
      </c>
      <c r="K51" s="88">
        <f>VLOOKUP($B51,'Raw Datas'!$54:$101,K$7,FALSE)</f>
        <v>51.65496666666666</v>
      </c>
      <c r="L51" s="88">
        <f>VLOOKUP($B51,'Raw Datas'!$54:$101,L$7,FALSE)</f>
        <v>189.94801666666669</v>
      </c>
      <c r="M51" s="88">
        <f>VLOOKUP($B51,'Raw Datas'!$54:$101,M$7,FALSE)</f>
        <v>16.555183333333336</v>
      </c>
      <c r="N51" s="88">
        <f>VLOOKUP($B51,'Raw Datas'!$54:$101,N$7,FALSE)</f>
        <v>33.974116666666667</v>
      </c>
      <c r="O51" s="88">
        <f>VLOOKUP($B51,'Raw Datas'!$54:$101,O$7,FALSE)</f>
        <v>42.533816666666667</v>
      </c>
      <c r="P51" s="88">
        <f>VLOOKUP($B51,'Raw Datas'!$54:$101,P$7,FALSE)</f>
        <v>7.69895</v>
      </c>
      <c r="Q51" s="88">
        <f>VLOOKUP($B51,'Raw Datas'!$54:$101,Q$7,FALSE)</f>
        <v>8.4285499999999995</v>
      </c>
      <c r="R51" s="88">
        <f>VLOOKUP($B51,'Raw Datas'!$54:$101,R$7,FALSE)</f>
        <v>96.680583333333317</v>
      </c>
      <c r="S51" s="88">
        <f>VLOOKUP($B51,'Raw Datas'!$54:$101,S$7,FALSE)</f>
        <v>136.63743333333335</v>
      </c>
      <c r="T51" s="88">
        <f>VLOOKUP($B51,'Raw Datas'!$54:$101,T$7,FALSE)</f>
        <v>21.466716666666667</v>
      </c>
      <c r="U51" s="88">
        <f>VLOOKUP($B51,'Raw Datas'!$54:$101,U$7,FALSE)</f>
        <v>13.498316666666669</v>
      </c>
      <c r="V51" s="88">
        <f>VLOOKUP($B51,'Raw Datas'!$54:$101,V$7,FALSE)</f>
        <v>101.82040000000001</v>
      </c>
    </row>
    <row r="52" spans="1:16048" ht="14.45" customHeight="1" x14ac:dyDescent="0.25">
      <c r="A52" s="113"/>
      <c r="B52" s="38" t="s">
        <v>52</v>
      </c>
      <c r="C52" s="89">
        <f>VLOOKUP($B52,'Raw Datas'!$54:$101,C$7,FALSE)</f>
        <v>12.364716666666668</v>
      </c>
      <c r="D52" s="89">
        <f>VLOOKUP($B52,'Raw Datas'!$54:$101,D$7,FALSE)</f>
        <v>238.88676666666666</v>
      </c>
      <c r="E52" s="89">
        <f>VLOOKUP($B52,'Raw Datas'!$54:$101,E$7,FALSE)</f>
        <v>15.891366666666668</v>
      </c>
      <c r="F52" s="89">
        <f>VLOOKUP($B52,'Raw Datas'!$54:$101,F$7,FALSE)</f>
        <v>37.662383333333331</v>
      </c>
      <c r="G52" s="89">
        <f>VLOOKUP($B52,'Raw Datas'!$54:$101,G$7,FALSE)</f>
        <v>12.941483333333334</v>
      </c>
      <c r="H52" s="89">
        <f>VLOOKUP($B52,'Raw Datas'!$54:$101,H$7,FALSE)</f>
        <v>28.762366666666665</v>
      </c>
      <c r="I52" s="89">
        <f>VLOOKUP($B52,'Raw Datas'!$54:$101,I$7,FALSE)</f>
        <v>14.75295</v>
      </c>
      <c r="J52" s="89">
        <f>VLOOKUP($B52,'Raw Datas'!$54:$101,J$7,FALSE)</f>
        <v>12.250416666666666</v>
      </c>
      <c r="K52" s="89">
        <f>VLOOKUP($B52,'Raw Datas'!$54:$101,K$7,FALSE)</f>
        <v>13.042616666666667</v>
      </c>
      <c r="L52" s="89">
        <f>VLOOKUP($B52,'Raw Datas'!$54:$101,L$7,FALSE)</f>
        <v>11.510866666666667</v>
      </c>
      <c r="M52" s="89">
        <f>VLOOKUP($B52,'Raw Datas'!$54:$101,M$7,FALSE)</f>
        <v>23.699866666666665</v>
      </c>
      <c r="N52" s="89">
        <f>VLOOKUP($B52,'Raw Datas'!$54:$101,N$7,FALSE)</f>
        <v>18.679349999999999</v>
      </c>
      <c r="O52" s="89">
        <f>VLOOKUP($B52,'Raw Datas'!$54:$101,O$7,FALSE)</f>
        <v>16.634783333333335</v>
      </c>
      <c r="P52" s="89">
        <f>VLOOKUP($B52,'Raw Datas'!$54:$101,P$7,FALSE)</f>
        <v>11.542499999999999</v>
      </c>
      <c r="Q52" s="89">
        <f>VLOOKUP($B52,'Raw Datas'!$54:$101,Q$7,FALSE)</f>
        <v>13.569133333333333</v>
      </c>
      <c r="R52" s="89">
        <f>VLOOKUP($B52,'Raw Datas'!$54:$101,R$7,FALSE)</f>
        <v>19.135466666666666</v>
      </c>
      <c r="S52" s="89">
        <f>VLOOKUP($B52,'Raw Datas'!$54:$101,S$7,FALSE)</f>
        <v>162.65216666666669</v>
      </c>
      <c r="T52" s="89">
        <f>VLOOKUP($B52,'Raw Datas'!$54:$101,T$7,FALSE)</f>
        <v>3.9316499999999999</v>
      </c>
      <c r="U52" s="89">
        <f>VLOOKUP($B52,'Raw Datas'!$54:$101,U$7,FALSE)</f>
        <v>8.0679166666666671</v>
      </c>
      <c r="V52" s="89">
        <f>VLOOKUP($B52,'Raw Datas'!$54:$101,V$7,FALSE)</f>
        <v>12.634166666666667</v>
      </c>
    </row>
    <row r="53" spans="1:16048" ht="14.45" customHeight="1" x14ac:dyDescent="0.25">
      <c r="A53" s="113"/>
      <c r="B53" s="38" t="s">
        <v>53</v>
      </c>
      <c r="C53" s="89">
        <f>VLOOKUP($B53,'Raw Datas'!$54:$101,C$7,FALSE)</f>
        <v>2.6760499999999996</v>
      </c>
      <c r="D53" s="89">
        <f>VLOOKUP($B53,'Raw Datas'!$54:$101,D$7,FALSE)</f>
        <v>74.694983333333326</v>
      </c>
      <c r="E53" s="89">
        <f>VLOOKUP($B53,'Raw Datas'!$54:$101,E$7,FALSE)</f>
        <v>1.7213499999999999</v>
      </c>
      <c r="F53" s="89">
        <f>VLOOKUP($B53,'Raw Datas'!$54:$101,F$7,FALSE)</f>
        <v>10.255466666666667</v>
      </c>
      <c r="G53" s="89">
        <f>VLOOKUP($B53,'Raw Datas'!$54:$101,G$7,FALSE)</f>
        <v>2.1435333333333331</v>
      </c>
      <c r="H53" s="89">
        <f>VLOOKUP($B53,'Raw Datas'!$54:$101,H$7,FALSE)</f>
        <v>1.3975833333333334</v>
      </c>
      <c r="I53" s="89">
        <f>VLOOKUP($B53,'Raw Datas'!$54:$101,I$7,FALSE)</f>
        <v>4.0192833333333331</v>
      </c>
      <c r="J53" s="89">
        <f>VLOOKUP($B53,'Raw Datas'!$54:$101,J$7,FALSE)</f>
        <v>1.1454500000000001</v>
      </c>
      <c r="K53" s="89">
        <f>VLOOKUP($B53,'Raw Datas'!$54:$101,K$7,FALSE)</f>
        <v>2.8013833333333333</v>
      </c>
      <c r="L53" s="89">
        <f>VLOOKUP($B53,'Raw Datas'!$54:$101,L$7,FALSE)</f>
        <v>0.78043333333333331</v>
      </c>
      <c r="M53" s="89">
        <f>VLOOKUP($B53,'Raw Datas'!$54:$101,M$7,FALSE)</f>
        <v>7.556516666666667</v>
      </c>
      <c r="N53" s="89">
        <f>VLOOKUP($B53,'Raw Datas'!$54:$101,N$7,FALSE)</f>
        <v>5.2946500000000007</v>
      </c>
      <c r="O53" s="89">
        <f>VLOOKUP($B53,'Raw Datas'!$54:$101,O$7,FALSE)</f>
        <v>5.1776166666666663</v>
      </c>
      <c r="P53" s="89">
        <f>VLOOKUP($B53,'Raw Datas'!$54:$101,P$7,FALSE)</f>
        <v>3.8124000000000007</v>
      </c>
      <c r="Q53" s="89">
        <f>VLOOKUP($B53,'Raw Datas'!$54:$101,Q$7,FALSE)</f>
        <v>4.8686333333333334</v>
      </c>
      <c r="R53" s="89">
        <f>VLOOKUP($B53,'Raw Datas'!$54:$101,R$7,FALSE)</f>
        <v>0.88928333333333331</v>
      </c>
      <c r="S53" s="89">
        <f>VLOOKUP($B53,'Raw Datas'!$54:$101,S$7,FALSE)</f>
        <v>51.989400000000003</v>
      </c>
      <c r="T53" s="89">
        <f>VLOOKUP($B53,'Raw Datas'!$54:$101,T$7,FALSE)</f>
        <v>0.76653333333333329</v>
      </c>
      <c r="U53" s="89">
        <f>VLOOKUP($B53,'Raw Datas'!$54:$101,U$7,FALSE)</f>
        <v>1.9029499999999999</v>
      </c>
      <c r="V53" s="89">
        <f>VLOOKUP($B53,'Raw Datas'!$54:$101,V$7,FALSE)</f>
        <v>1.2739499999999999</v>
      </c>
    </row>
    <row r="54" spans="1:16048" ht="14.45" customHeight="1" x14ac:dyDescent="0.25">
      <c r="A54" s="113"/>
      <c r="B54" s="77" t="s">
        <v>54</v>
      </c>
      <c r="C54" s="89" t="str">
        <f>VLOOKUP($B54,'Raw Datas'!$54:$101,C$7,FALSE)</f>
        <v>ND</v>
      </c>
      <c r="D54" s="89" t="str">
        <f>VLOOKUP($B54,'Raw Datas'!$54:$101,D$7,FALSE)</f>
        <v>ND</v>
      </c>
      <c r="E54" s="89" t="str">
        <f>VLOOKUP($B54,'Raw Datas'!$54:$101,E$7,FALSE)</f>
        <v>ND</v>
      </c>
      <c r="F54" s="89" t="str">
        <f>VLOOKUP($B54,'Raw Datas'!$54:$101,F$7,FALSE)</f>
        <v>ND</v>
      </c>
      <c r="G54" s="89" t="str">
        <f>VLOOKUP($B54,'Raw Datas'!$54:$101,G$7,FALSE)</f>
        <v>ND</v>
      </c>
      <c r="H54" s="89" t="str">
        <f>VLOOKUP($B54,'Raw Datas'!$54:$101,H$7,FALSE)</f>
        <v>ND</v>
      </c>
      <c r="I54" s="89" t="str">
        <f>VLOOKUP($B54,'Raw Datas'!$54:$101,I$7,FALSE)</f>
        <v>ND</v>
      </c>
      <c r="J54" s="89" t="str">
        <f>VLOOKUP($B54,'Raw Datas'!$54:$101,J$7,FALSE)</f>
        <v>ND</v>
      </c>
      <c r="K54" s="89" t="str">
        <f>VLOOKUP($B54,'Raw Datas'!$54:$101,K$7,FALSE)</f>
        <v>ND</v>
      </c>
      <c r="L54" s="89" t="str">
        <f>VLOOKUP($B54,'Raw Datas'!$54:$101,L$7,FALSE)</f>
        <v>ND</v>
      </c>
      <c r="M54" s="89" t="str">
        <f>VLOOKUP($B54,'Raw Datas'!$54:$101,M$7,FALSE)</f>
        <v>ND</v>
      </c>
      <c r="N54" s="89" t="str">
        <f>VLOOKUP($B54,'Raw Datas'!$54:$101,N$7,FALSE)</f>
        <v>ND</v>
      </c>
      <c r="O54" s="89" t="str">
        <f>VLOOKUP($B54,'Raw Datas'!$54:$101,O$7,FALSE)</f>
        <v>ND</v>
      </c>
      <c r="P54" s="89" t="str">
        <f>VLOOKUP($B54,'Raw Datas'!$54:$101,P$7,FALSE)</f>
        <v>ND</v>
      </c>
      <c r="Q54" s="89" t="str">
        <f>VLOOKUP($B54,'Raw Datas'!$54:$101,Q$7,FALSE)</f>
        <v>ND</v>
      </c>
      <c r="R54" s="89" t="str">
        <f>VLOOKUP($B54,'Raw Datas'!$54:$101,R$7,FALSE)</f>
        <v>ND</v>
      </c>
      <c r="S54" s="89" t="str">
        <f>VLOOKUP($B54,'Raw Datas'!$54:$101,S$7,FALSE)</f>
        <v>ND</v>
      </c>
      <c r="T54" s="89" t="str">
        <f>VLOOKUP($B54,'Raw Datas'!$54:$101,T$7,FALSE)</f>
        <v>ND</v>
      </c>
      <c r="U54" s="89" t="str">
        <f>VLOOKUP($B54,'Raw Datas'!$54:$101,U$7,FALSE)</f>
        <v>ND</v>
      </c>
      <c r="V54" s="89" t="str">
        <f>VLOOKUP($B54,'Raw Datas'!$54:$101,V$7,FALSE)</f>
        <v>ND</v>
      </c>
    </row>
    <row r="55" spans="1:16048" ht="14.45" customHeight="1" x14ac:dyDescent="0.25">
      <c r="A55" s="113"/>
      <c r="B55" s="38" t="s">
        <v>55</v>
      </c>
      <c r="C55" s="89" t="str">
        <f>VLOOKUP($B55,'Raw Datas'!$54:$101,C$7,FALSE)</f>
        <v>ND</v>
      </c>
      <c r="D55" s="89" t="str">
        <f>VLOOKUP($B55,'Raw Datas'!$54:$101,D$7,FALSE)</f>
        <v>ND</v>
      </c>
      <c r="E55" s="89" t="str">
        <f>VLOOKUP($B55,'Raw Datas'!$54:$101,E$7,FALSE)</f>
        <v>ND</v>
      </c>
      <c r="F55" s="89" t="str">
        <f>VLOOKUP($B55,'Raw Datas'!$54:$101,F$7,FALSE)</f>
        <v>ND</v>
      </c>
      <c r="G55" s="89" t="str">
        <f>VLOOKUP($B55,'Raw Datas'!$54:$101,G$7,FALSE)</f>
        <v>ND</v>
      </c>
      <c r="H55" s="89" t="str">
        <f>VLOOKUP($B55,'Raw Datas'!$54:$101,H$7,FALSE)</f>
        <v>ND</v>
      </c>
      <c r="I55" s="89" t="str">
        <f>VLOOKUP($B55,'Raw Datas'!$54:$101,I$7,FALSE)</f>
        <v>ND</v>
      </c>
      <c r="J55" s="89" t="str">
        <f>VLOOKUP($B55,'Raw Datas'!$54:$101,J$7,FALSE)</f>
        <v>ND</v>
      </c>
      <c r="K55" s="89" t="str">
        <f>VLOOKUP($B55,'Raw Datas'!$54:$101,K$7,FALSE)</f>
        <v>ND</v>
      </c>
      <c r="L55" s="89" t="str">
        <f>VLOOKUP($B55,'Raw Datas'!$54:$101,L$7,FALSE)</f>
        <v>ND</v>
      </c>
      <c r="M55" s="89" t="str">
        <f>VLOOKUP($B55,'Raw Datas'!$54:$101,M$7,FALSE)</f>
        <v>ND</v>
      </c>
      <c r="N55" s="89" t="str">
        <f>VLOOKUP($B55,'Raw Datas'!$54:$101,N$7,FALSE)</f>
        <v>ND</v>
      </c>
      <c r="O55" s="89" t="str">
        <f>VLOOKUP($B55,'Raw Datas'!$54:$101,O$7,FALSE)</f>
        <v>ND</v>
      </c>
      <c r="P55" s="89" t="str">
        <f>VLOOKUP($B55,'Raw Datas'!$54:$101,P$7,FALSE)</f>
        <v>ND</v>
      </c>
      <c r="Q55" s="89" t="str">
        <f>VLOOKUP($B55,'Raw Datas'!$54:$101,Q$7,FALSE)</f>
        <v>ND</v>
      </c>
      <c r="R55" s="89" t="str">
        <f>VLOOKUP($B55,'Raw Datas'!$54:$101,R$7,FALSE)</f>
        <v>ND</v>
      </c>
      <c r="S55" s="89" t="str">
        <f>VLOOKUP($B55,'Raw Datas'!$54:$101,S$7,FALSE)</f>
        <v>ND</v>
      </c>
      <c r="T55" s="89" t="str">
        <f>VLOOKUP($B55,'Raw Datas'!$54:$101,T$7,FALSE)</f>
        <v>ND</v>
      </c>
      <c r="U55" s="89" t="str">
        <f>VLOOKUP($B55,'Raw Datas'!$54:$101,U$7,FALSE)</f>
        <v>ND</v>
      </c>
      <c r="V55" s="89" t="str">
        <f>VLOOKUP($B55,'Raw Datas'!$54:$101,V$7,FALSE)</f>
        <v>ND</v>
      </c>
    </row>
    <row r="56" spans="1:16048" ht="14.45" customHeight="1" x14ac:dyDescent="0.25">
      <c r="A56" s="113"/>
      <c r="B56" s="38" t="s">
        <v>56</v>
      </c>
      <c r="C56" s="84" t="str">
        <f>VLOOKUP($B56,'Raw Datas'!$54:$101,C$7,FALSE)</f>
        <v>ND</v>
      </c>
      <c r="D56" s="84" t="str">
        <f>VLOOKUP($B56,'Raw Datas'!$54:$101,D$7,FALSE)</f>
        <v>ND</v>
      </c>
      <c r="E56" s="84" t="str">
        <f>VLOOKUP($B56,'Raw Datas'!$54:$101,E$7,FALSE)</f>
        <v>ND</v>
      </c>
      <c r="F56" s="84" t="str">
        <f>VLOOKUP($B56,'Raw Datas'!$54:$101,F$7,FALSE)</f>
        <v>ND</v>
      </c>
      <c r="G56" s="84" t="str">
        <f>VLOOKUP($B56,'Raw Datas'!$54:$101,G$7,FALSE)</f>
        <v>ND</v>
      </c>
      <c r="H56" s="84" t="str">
        <f>VLOOKUP($B56,'Raw Datas'!$54:$101,H$7,FALSE)</f>
        <v>ND</v>
      </c>
      <c r="I56" s="84" t="str">
        <f>VLOOKUP($B56,'Raw Datas'!$54:$101,I$7,FALSE)</f>
        <v>ND</v>
      </c>
      <c r="J56" s="84" t="str">
        <f>VLOOKUP($B56,'Raw Datas'!$54:$101,J$7,FALSE)</f>
        <v>ND</v>
      </c>
      <c r="K56" s="84" t="str">
        <f>VLOOKUP($B56,'Raw Datas'!$54:$101,K$7,FALSE)</f>
        <v>ND</v>
      </c>
      <c r="L56" s="84" t="str">
        <f>VLOOKUP($B56,'Raw Datas'!$54:$101,L$7,FALSE)</f>
        <v>ND</v>
      </c>
      <c r="M56" s="84" t="str">
        <f>VLOOKUP($B56,'Raw Datas'!$54:$101,M$7,FALSE)</f>
        <v>ND</v>
      </c>
      <c r="N56" s="84" t="str">
        <f>VLOOKUP($B56,'Raw Datas'!$54:$101,N$7,FALSE)</f>
        <v>ND</v>
      </c>
      <c r="O56" s="84" t="str">
        <f>VLOOKUP($B56,'Raw Datas'!$54:$101,O$7,FALSE)</f>
        <v>ND</v>
      </c>
      <c r="P56" s="84" t="str">
        <f>VLOOKUP($B56,'Raw Datas'!$54:$101,P$7,FALSE)</f>
        <v>ND</v>
      </c>
      <c r="Q56" s="84" t="str">
        <f>VLOOKUP($B56,'Raw Datas'!$54:$101,Q$7,FALSE)</f>
        <v>ND</v>
      </c>
      <c r="R56" s="84" t="str">
        <f>VLOOKUP($B56,'Raw Datas'!$54:$101,R$7,FALSE)</f>
        <v>ND</v>
      </c>
      <c r="S56" s="84" t="str">
        <f>VLOOKUP($B56,'Raw Datas'!$54:$101,S$7,FALSE)</f>
        <v>ND</v>
      </c>
      <c r="T56" s="84" t="str">
        <f>VLOOKUP($B56,'Raw Datas'!$54:$101,T$7,FALSE)</f>
        <v>ND</v>
      </c>
      <c r="U56" s="84" t="str">
        <f>VLOOKUP($B56,'Raw Datas'!$54:$101,U$7,FALSE)</f>
        <v>ND</v>
      </c>
      <c r="V56" s="84" t="str">
        <f>VLOOKUP($B56,'Raw Datas'!$54:$101,V$7,FALSE)</f>
        <v>ND</v>
      </c>
    </row>
    <row r="57" spans="1:16048" ht="14.45" customHeight="1" x14ac:dyDescent="0.25">
      <c r="A57" s="113"/>
      <c r="B57" s="38" t="s">
        <v>57</v>
      </c>
      <c r="C57" s="89" t="str">
        <f>VLOOKUP($B57,'Raw Datas'!$54:$101,C$7,FALSE)</f>
        <v>ND</v>
      </c>
      <c r="D57" s="89" t="str">
        <f>VLOOKUP($B57,'Raw Datas'!$54:$101,D$7,FALSE)</f>
        <v>ND</v>
      </c>
      <c r="E57" s="89" t="str">
        <f>VLOOKUP($B57,'Raw Datas'!$54:$101,E$7,FALSE)</f>
        <v>ND</v>
      </c>
      <c r="F57" s="89" t="str">
        <f>VLOOKUP($B57,'Raw Datas'!$54:$101,F$7,FALSE)</f>
        <v>ND</v>
      </c>
      <c r="G57" s="89" t="str">
        <f>VLOOKUP($B57,'Raw Datas'!$54:$101,G$7,FALSE)</f>
        <v>ND</v>
      </c>
      <c r="H57" s="89" t="str">
        <f>VLOOKUP($B57,'Raw Datas'!$54:$101,H$7,FALSE)</f>
        <v>ND</v>
      </c>
      <c r="I57" s="89" t="str">
        <f>VLOOKUP($B57,'Raw Datas'!$54:$101,I$7,FALSE)</f>
        <v>ND</v>
      </c>
      <c r="J57" s="89" t="str">
        <f>VLOOKUP($B57,'Raw Datas'!$54:$101,J$7,FALSE)</f>
        <v>ND</v>
      </c>
      <c r="K57" s="89" t="str">
        <f>VLOOKUP($B57,'Raw Datas'!$54:$101,K$7,FALSE)</f>
        <v>ND</v>
      </c>
      <c r="L57" s="89" t="str">
        <f>VLOOKUP($B57,'Raw Datas'!$54:$101,L$7,FALSE)</f>
        <v>ND</v>
      </c>
      <c r="M57" s="89" t="str">
        <f>VLOOKUP($B57,'Raw Datas'!$54:$101,M$7,FALSE)</f>
        <v>ND</v>
      </c>
      <c r="N57" s="89" t="str">
        <f>VLOOKUP($B57,'Raw Datas'!$54:$101,N$7,FALSE)</f>
        <v>ND</v>
      </c>
      <c r="O57" s="89" t="str">
        <f>VLOOKUP($B57,'Raw Datas'!$54:$101,O$7,FALSE)</f>
        <v>ND</v>
      </c>
      <c r="P57" s="89" t="str">
        <f>VLOOKUP($B57,'Raw Datas'!$54:$101,P$7,FALSE)</f>
        <v>ND</v>
      </c>
      <c r="Q57" s="89" t="str">
        <f>VLOOKUP($B57,'Raw Datas'!$54:$101,Q$7,FALSE)</f>
        <v>ND</v>
      </c>
      <c r="R57" s="89" t="str">
        <f>VLOOKUP($B57,'Raw Datas'!$54:$101,R$7,FALSE)</f>
        <v>ND</v>
      </c>
      <c r="S57" s="89" t="str">
        <f>VLOOKUP($B57,'Raw Datas'!$54:$101,S$7,FALSE)</f>
        <v>ND</v>
      </c>
      <c r="T57" s="89" t="str">
        <f>VLOOKUP($B57,'Raw Datas'!$54:$101,T$7,FALSE)</f>
        <v>ND</v>
      </c>
      <c r="U57" s="89" t="str">
        <f>VLOOKUP($B57,'Raw Datas'!$54:$101,U$7,FALSE)</f>
        <v>ND</v>
      </c>
      <c r="V57" s="89" t="str">
        <f>VLOOKUP($B57,'Raw Datas'!$54:$101,V$7,FALSE)</f>
        <v>ND</v>
      </c>
    </row>
    <row r="58" spans="1:16048" ht="14.45" customHeight="1" x14ac:dyDescent="0.25">
      <c r="A58" s="113"/>
      <c r="B58" s="38" t="s">
        <v>58</v>
      </c>
      <c r="C58" s="89" t="str">
        <f>VLOOKUP($B58,'Raw Datas'!$54:$101,C$7,FALSE)</f>
        <v>ND</v>
      </c>
      <c r="D58" s="89" t="str">
        <f>VLOOKUP($B58,'Raw Datas'!$54:$101,D$7,FALSE)</f>
        <v>ND</v>
      </c>
      <c r="E58" s="89" t="str">
        <f>VLOOKUP($B58,'Raw Datas'!$54:$101,E$7,FALSE)</f>
        <v>ND</v>
      </c>
      <c r="F58" s="89" t="str">
        <f>VLOOKUP($B58,'Raw Datas'!$54:$101,F$7,FALSE)</f>
        <v>ND</v>
      </c>
      <c r="G58" s="89" t="str">
        <f>VLOOKUP($B58,'Raw Datas'!$54:$101,G$7,FALSE)</f>
        <v>ND</v>
      </c>
      <c r="H58" s="89" t="str">
        <f>VLOOKUP($B58,'Raw Datas'!$54:$101,H$7,FALSE)</f>
        <v>ND</v>
      </c>
      <c r="I58" s="89" t="str">
        <f>VLOOKUP($B58,'Raw Datas'!$54:$101,I$7,FALSE)</f>
        <v>ND</v>
      </c>
      <c r="J58" s="89" t="str">
        <f>VLOOKUP($B58,'Raw Datas'!$54:$101,J$7,FALSE)</f>
        <v>ND</v>
      </c>
      <c r="K58" s="89" t="str">
        <f>VLOOKUP($B58,'Raw Datas'!$54:$101,K$7,FALSE)</f>
        <v>ND</v>
      </c>
      <c r="L58" s="89" t="str">
        <f>VLOOKUP($B58,'Raw Datas'!$54:$101,L$7,FALSE)</f>
        <v>ND</v>
      </c>
      <c r="M58" s="89" t="str">
        <f>VLOOKUP($B58,'Raw Datas'!$54:$101,M$7,FALSE)</f>
        <v>ND</v>
      </c>
      <c r="N58" s="89" t="str">
        <f>VLOOKUP($B58,'Raw Datas'!$54:$101,N$7,FALSE)</f>
        <v>ND</v>
      </c>
      <c r="O58" s="89" t="str">
        <f>VLOOKUP($B58,'Raw Datas'!$54:$101,O$7,FALSE)</f>
        <v>ND</v>
      </c>
      <c r="P58" s="89" t="str">
        <f>VLOOKUP($B58,'Raw Datas'!$54:$101,P$7,FALSE)</f>
        <v>ND</v>
      </c>
      <c r="Q58" s="89" t="str">
        <f>VLOOKUP($B58,'Raw Datas'!$54:$101,Q$7,FALSE)</f>
        <v>ND</v>
      </c>
      <c r="R58" s="89" t="str">
        <f>VLOOKUP($B58,'Raw Datas'!$54:$101,R$7,FALSE)</f>
        <v>ND</v>
      </c>
      <c r="S58" s="89" t="str">
        <f>VLOOKUP($B58,'Raw Datas'!$54:$101,S$7,FALSE)</f>
        <v>ND</v>
      </c>
      <c r="T58" s="89" t="str">
        <f>VLOOKUP($B58,'Raw Datas'!$54:$101,T$7,FALSE)</f>
        <v>ND</v>
      </c>
      <c r="U58" s="89" t="str">
        <f>VLOOKUP($B58,'Raw Datas'!$54:$101,U$7,FALSE)</f>
        <v>ND</v>
      </c>
      <c r="V58" s="89" t="str">
        <f>VLOOKUP($B58,'Raw Datas'!$54:$101,V$7,FALSE)</f>
        <v>ND</v>
      </c>
    </row>
    <row r="59" spans="1:16048" ht="15" customHeight="1" x14ac:dyDescent="0.25">
      <c r="A59" s="113"/>
      <c r="B59" s="38" t="s">
        <v>59</v>
      </c>
      <c r="C59" s="89" t="str">
        <f>VLOOKUP($B59,'Raw Datas'!$54:$101,C$7,FALSE)</f>
        <v>ND</v>
      </c>
      <c r="D59" s="89" t="str">
        <f>VLOOKUP($B59,'Raw Datas'!$54:$101,D$7,FALSE)</f>
        <v>ND</v>
      </c>
      <c r="E59" s="89" t="str">
        <f>VLOOKUP($B59,'Raw Datas'!$54:$101,E$7,FALSE)</f>
        <v>ND</v>
      </c>
      <c r="F59" s="89" t="str">
        <f>VLOOKUP($B59,'Raw Datas'!$54:$101,F$7,FALSE)</f>
        <v>ND</v>
      </c>
      <c r="G59" s="89" t="str">
        <f>VLOOKUP($B59,'Raw Datas'!$54:$101,G$7,FALSE)</f>
        <v>ND</v>
      </c>
      <c r="H59" s="89" t="str">
        <f>VLOOKUP($B59,'Raw Datas'!$54:$101,H$7,FALSE)</f>
        <v>ND</v>
      </c>
      <c r="I59" s="89" t="str">
        <f>VLOOKUP($B59,'Raw Datas'!$54:$101,I$7,FALSE)</f>
        <v>ND</v>
      </c>
      <c r="J59" s="89" t="str">
        <f>VLOOKUP($B59,'Raw Datas'!$54:$101,J$7,FALSE)</f>
        <v>ND</v>
      </c>
      <c r="K59" s="89" t="str">
        <f>VLOOKUP($B59,'Raw Datas'!$54:$101,K$7,FALSE)</f>
        <v>ND</v>
      </c>
      <c r="L59" s="89" t="str">
        <f>VLOOKUP($B59,'Raw Datas'!$54:$101,L$7,FALSE)</f>
        <v>ND</v>
      </c>
      <c r="M59" s="89" t="str">
        <f>VLOOKUP($B59,'Raw Datas'!$54:$101,M$7,FALSE)</f>
        <v>ND</v>
      </c>
      <c r="N59" s="89" t="str">
        <f>VLOOKUP($B59,'Raw Datas'!$54:$101,N$7,FALSE)</f>
        <v>ND</v>
      </c>
      <c r="O59" s="89" t="str">
        <f>VLOOKUP($B59,'Raw Datas'!$54:$101,O$7,FALSE)</f>
        <v>ND</v>
      </c>
      <c r="P59" s="89" t="str">
        <f>VLOOKUP($B59,'Raw Datas'!$54:$101,P$7,FALSE)</f>
        <v>ND</v>
      </c>
      <c r="Q59" s="89" t="str">
        <f>VLOOKUP($B59,'Raw Datas'!$54:$101,Q$7,FALSE)</f>
        <v>ND</v>
      </c>
      <c r="R59" s="89" t="str">
        <f>VLOOKUP($B59,'Raw Datas'!$54:$101,R$7,FALSE)</f>
        <v>ND</v>
      </c>
      <c r="S59" s="89" t="str">
        <f>VLOOKUP($B59,'Raw Datas'!$54:$101,S$7,FALSE)</f>
        <v>ND</v>
      </c>
      <c r="T59" s="89" t="str">
        <f>VLOOKUP($B59,'Raw Datas'!$54:$101,T$7,FALSE)</f>
        <v>ND</v>
      </c>
      <c r="U59" s="89" t="str">
        <f>VLOOKUP($B59,'Raw Datas'!$54:$101,U$7,FALSE)</f>
        <v>ND</v>
      </c>
      <c r="V59" s="89" t="str">
        <f>VLOOKUP($B59,'Raw Datas'!$54:$101,V$7,FALSE)</f>
        <v>ND</v>
      </c>
    </row>
    <row r="60" spans="1:16048" ht="15.75" thickBot="1" x14ac:dyDescent="0.3">
      <c r="A60" s="114"/>
      <c r="B60" s="39" t="s">
        <v>60</v>
      </c>
      <c r="C60" s="90" t="str">
        <f>VLOOKUP($B60,'Raw Datas'!$54:$101,C$7,FALSE)</f>
        <v>ND</v>
      </c>
      <c r="D60" s="90" t="str">
        <f>VLOOKUP($B60,'Raw Datas'!$54:$101,D$7,FALSE)</f>
        <v>ND</v>
      </c>
      <c r="E60" s="90" t="str">
        <f>VLOOKUP($B60,'Raw Datas'!$54:$101,E$7,FALSE)</f>
        <v>ND</v>
      </c>
      <c r="F60" s="90" t="str">
        <f>VLOOKUP($B60,'Raw Datas'!$54:$101,F$7,FALSE)</f>
        <v>ND</v>
      </c>
      <c r="G60" s="90" t="str">
        <f>VLOOKUP($B60,'Raw Datas'!$54:$101,G$7,FALSE)</f>
        <v>ND</v>
      </c>
      <c r="H60" s="90" t="str">
        <f>VLOOKUP($B60,'Raw Datas'!$54:$101,H$7,FALSE)</f>
        <v>ND</v>
      </c>
      <c r="I60" s="90" t="str">
        <f>VLOOKUP($B60,'Raw Datas'!$54:$101,I$7,FALSE)</f>
        <v>ND</v>
      </c>
      <c r="J60" s="90" t="str">
        <f>VLOOKUP($B60,'Raw Datas'!$54:$101,J$7,FALSE)</f>
        <v>ND</v>
      </c>
      <c r="K60" s="90" t="str">
        <f>VLOOKUP($B60,'Raw Datas'!$54:$101,K$7,FALSE)</f>
        <v>ND</v>
      </c>
      <c r="L60" s="90" t="str">
        <f>VLOOKUP($B60,'Raw Datas'!$54:$101,L$7,FALSE)</f>
        <v>ND</v>
      </c>
      <c r="M60" s="90" t="str">
        <f>VLOOKUP($B60,'Raw Datas'!$54:$101,M$7,FALSE)</f>
        <v>ND</v>
      </c>
      <c r="N60" s="90" t="str">
        <f>VLOOKUP($B60,'Raw Datas'!$54:$101,N$7,FALSE)</f>
        <v>ND</v>
      </c>
      <c r="O60" s="90" t="str">
        <f>VLOOKUP($B60,'Raw Datas'!$54:$101,O$7,FALSE)</f>
        <v>ND</v>
      </c>
      <c r="P60" s="90" t="str">
        <f>VLOOKUP($B60,'Raw Datas'!$54:$101,P$7,FALSE)</f>
        <v>ND</v>
      </c>
      <c r="Q60" s="90" t="str">
        <f>VLOOKUP($B60,'Raw Datas'!$54:$101,Q$7,FALSE)</f>
        <v>ND</v>
      </c>
      <c r="R60" s="90" t="str">
        <f>VLOOKUP($B60,'Raw Datas'!$54:$101,R$7,FALSE)</f>
        <v>ND</v>
      </c>
      <c r="S60" s="90" t="str">
        <f>VLOOKUP($B60,'Raw Datas'!$54:$101,S$7,FALSE)</f>
        <v>ND</v>
      </c>
      <c r="T60" s="90" t="str">
        <f>VLOOKUP($B60,'Raw Datas'!$54:$101,T$7,FALSE)</f>
        <v>ND</v>
      </c>
      <c r="U60" s="90" t="str">
        <f>VLOOKUP($B60,'Raw Datas'!$54:$101,U$7,FALSE)</f>
        <v>ND</v>
      </c>
      <c r="V60" s="90" t="str">
        <f>VLOOKUP($B60,'Raw Datas'!$54:$101,V$7,FALSE)</f>
        <v>ND</v>
      </c>
    </row>
    <row r="61" spans="1:16048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16048" ht="15.75" thickBot="1" x14ac:dyDescent="0.3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16048" ht="15.75" thickBot="1" x14ac:dyDescent="0.3">
      <c r="B63" s="106" t="str">
        <f t="shared" ref="B63:C63" si="13">B6</f>
        <v>pg/µL of plasma</v>
      </c>
      <c r="C63" s="62" t="str">
        <f t="shared" si="13"/>
        <v>JV-015-RAN-IC-M2</v>
      </c>
      <c r="D63" s="62" t="str">
        <f t="shared" ref="D63:J63" si="14">D6</f>
        <v>BS-007-RAN-01-M3</v>
      </c>
      <c r="E63" s="62" t="str">
        <f t="shared" si="14"/>
        <v>BS-007-RAN-02-M3</v>
      </c>
      <c r="F63" s="62" t="str">
        <f t="shared" si="14"/>
        <v>KT-004-SOC-16-M1</v>
      </c>
      <c r="G63" s="62" t="str">
        <f t="shared" si="14"/>
        <v>BS-135-RAN-IC-M3</v>
      </c>
      <c r="H63" s="62" t="str">
        <f t="shared" si="14"/>
        <v>JV-070-DAV-07-M3</v>
      </c>
      <c r="I63" s="62" t="str">
        <f t="shared" si="14"/>
        <v>BS-129-RAT-10-M5</v>
      </c>
      <c r="J63" s="62" t="str">
        <f t="shared" si="14"/>
        <v>JV-036-SOC-10-M2</v>
      </c>
      <c r="K63" s="62" t="str">
        <f t="shared" ref="K63:V63" si="15">K6</f>
        <v>BS-126-RAT-05-M2</v>
      </c>
      <c r="L63" s="62" t="str">
        <f t="shared" si="15"/>
        <v>JV-017-RAN-10-M3</v>
      </c>
      <c r="M63" s="62" t="str">
        <f t="shared" si="15"/>
        <v>JV-070-DAV-04-M1</v>
      </c>
      <c r="N63" s="62" t="str">
        <f t="shared" si="15"/>
        <v>BS-356-RAN-03-M4</v>
      </c>
      <c r="O63" s="62" t="str">
        <f t="shared" si="15"/>
        <v>JV-090-MIN-IC-M4</v>
      </c>
      <c r="P63" s="62" t="str">
        <f t="shared" si="15"/>
        <v>BS-391-RAN-06-M2</v>
      </c>
      <c r="Q63" s="62" t="str">
        <f t="shared" si="15"/>
        <v>JV-061-MIN-03-M5</v>
      </c>
      <c r="R63" s="62" t="str">
        <f t="shared" si="15"/>
        <v>JV-070-MIN-01-M1</v>
      </c>
      <c r="S63" s="62" t="str">
        <f t="shared" si="15"/>
        <v>KT-004-SOC-14-M1</v>
      </c>
      <c r="T63" s="62" t="str">
        <f t="shared" si="15"/>
        <v>JV-089-SOC-04-M1</v>
      </c>
      <c r="U63" s="62" t="str">
        <f t="shared" si="15"/>
        <v>BS-472-RAT-01-M1</v>
      </c>
      <c r="V63" s="62" t="str">
        <f t="shared" si="15"/>
        <v>BS-172-RAT-10-M3</v>
      </c>
    </row>
    <row r="64" spans="1:16048" ht="30.75" customHeight="1" thickBot="1" x14ac:dyDescent="0.3">
      <c r="B64" s="105" t="s">
        <v>61</v>
      </c>
      <c r="C64" s="3">
        <f>SUM(C8:C16)</f>
        <v>88.669350000000009</v>
      </c>
      <c r="D64" s="3">
        <f t="shared" ref="D64:J64" si="16">SUM(D8:D16)</f>
        <v>1291.9533666666666</v>
      </c>
      <c r="E64" s="3">
        <f t="shared" si="16"/>
        <v>235.02938333333333</v>
      </c>
      <c r="F64" s="3">
        <f t="shared" si="16"/>
        <v>149.82931666666667</v>
      </c>
      <c r="G64" s="3">
        <f t="shared" si="16"/>
        <v>141.89941666666667</v>
      </c>
      <c r="H64" s="3">
        <f t="shared" si="16"/>
        <v>344.2295499999999</v>
      </c>
      <c r="I64" s="3">
        <f t="shared" si="16"/>
        <v>215.64506666666665</v>
      </c>
      <c r="J64" s="3">
        <f t="shared" si="16"/>
        <v>78.891483333333326</v>
      </c>
      <c r="K64" s="3">
        <f t="shared" ref="K64:V64" si="17">SUM(K8:K16)</f>
        <v>141.31370000000001</v>
      </c>
      <c r="L64" s="3">
        <f t="shared" si="17"/>
        <v>285.69836666666674</v>
      </c>
      <c r="M64" s="3">
        <f t="shared" si="17"/>
        <v>150.52274999999997</v>
      </c>
      <c r="N64" s="3">
        <f t="shared" si="17"/>
        <v>807.0251166666668</v>
      </c>
      <c r="O64" s="3">
        <f t="shared" si="17"/>
        <v>143.65970000000002</v>
      </c>
      <c r="P64" s="3">
        <f t="shared" si="17"/>
        <v>166.95211666666668</v>
      </c>
      <c r="Q64" s="3">
        <f t="shared" si="17"/>
        <v>273.62423333333328</v>
      </c>
      <c r="R64" s="3">
        <f t="shared" si="17"/>
        <v>76.962649999999996</v>
      </c>
      <c r="S64" s="3">
        <f t="shared" si="17"/>
        <v>1049.0443833333334</v>
      </c>
      <c r="T64" s="3">
        <f t="shared" si="17"/>
        <v>41.088416666666667</v>
      </c>
      <c r="U64" s="3">
        <f t="shared" si="17"/>
        <v>79.265849999999986</v>
      </c>
      <c r="V64" s="3">
        <f t="shared" si="17"/>
        <v>174.82576666666665</v>
      </c>
    </row>
    <row r="65" spans="2:22" ht="15.75" customHeight="1" thickBot="1" x14ac:dyDescent="0.3">
      <c r="B65" s="105" t="s">
        <v>62</v>
      </c>
      <c r="C65" s="3">
        <f>SUM(C18)</f>
        <v>0</v>
      </c>
      <c r="D65" s="3">
        <f t="shared" ref="D65:J65" si="18">SUM(D18)</f>
        <v>0</v>
      </c>
      <c r="E65" s="3">
        <f t="shared" si="18"/>
        <v>0</v>
      </c>
      <c r="F65" s="3">
        <f t="shared" si="18"/>
        <v>0</v>
      </c>
      <c r="G65" s="3">
        <f t="shared" si="18"/>
        <v>0</v>
      </c>
      <c r="H65" s="3">
        <f t="shared" si="18"/>
        <v>0</v>
      </c>
      <c r="I65" s="3">
        <f t="shared" si="18"/>
        <v>0</v>
      </c>
      <c r="J65" s="3">
        <f t="shared" si="18"/>
        <v>0</v>
      </c>
      <c r="K65" s="3">
        <f t="shared" ref="K65:V65" si="19">SUM(K18)</f>
        <v>0</v>
      </c>
      <c r="L65" s="3">
        <f t="shared" si="19"/>
        <v>0</v>
      </c>
      <c r="M65" s="3">
        <f t="shared" si="19"/>
        <v>0</v>
      </c>
      <c r="N65" s="3">
        <f t="shared" si="19"/>
        <v>0</v>
      </c>
      <c r="O65" s="3">
        <f t="shared" si="19"/>
        <v>0</v>
      </c>
      <c r="P65" s="3">
        <f t="shared" si="19"/>
        <v>0</v>
      </c>
      <c r="Q65" s="3">
        <f t="shared" si="19"/>
        <v>0</v>
      </c>
      <c r="R65" s="3">
        <f t="shared" si="19"/>
        <v>0</v>
      </c>
      <c r="S65" s="3">
        <f t="shared" si="19"/>
        <v>0</v>
      </c>
      <c r="T65" s="3">
        <f t="shared" si="19"/>
        <v>0</v>
      </c>
      <c r="U65" s="3">
        <f t="shared" si="19"/>
        <v>0</v>
      </c>
      <c r="V65" s="3">
        <f t="shared" si="19"/>
        <v>0</v>
      </c>
    </row>
    <row r="66" spans="2:22" ht="15.75" customHeight="1" thickBot="1" x14ac:dyDescent="0.3">
      <c r="B66" s="105" t="s">
        <v>63</v>
      </c>
      <c r="C66" s="3">
        <f>SUM(C20:C40)</f>
        <v>260.13883333333331</v>
      </c>
      <c r="D66" s="3">
        <f t="shared" ref="D66:J66" si="20">SUM(D20:D40)</f>
        <v>3214.5516333333339</v>
      </c>
      <c r="E66" s="3">
        <f t="shared" si="20"/>
        <v>574.25701666666669</v>
      </c>
      <c r="F66" s="3">
        <f t="shared" si="20"/>
        <v>607.9160833333334</v>
      </c>
      <c r="G66" s="3">
        <f t="shared" si="20"/>
        <v>539.20875000000001</v>
      </c>
      <c r="H66" s="3">
        <f t="shared" si="20"/>
        <v>472.68841666666668</v>
      </c>
      <c r="I66" s="3">
        <f t="shared" si="20"/>
        <v>556.19368333333318</v>
      </c>
      <c r="J66" s="3">
        <f t="shared" si="20"/>
        <v>287.24301666666662</v>
      </c>
      <c r="K66" s="3">
        <f t="shared" ref="K66:V66" si="21">SUM(K20:K40)</f>
        <v>432.1958166666667</v>
      </c>
      <c r="L66" s="3">
        <f t="shared" si="21"/>
        <v>656.9408833333332</v>
      </c>
      <c r="M66" s="3">
        <f t="shared" si="21"/>
        <v>174.36293333333336</v>
      </c>
      <c r="N66" s="3">
        <f t="shared" si="21"/>
        <v>662.7090833333333</v>
      </c>
      <c r="O66" s="3">
        <f t="shared" si="21"/>
        <v>347.21788333333336</v>
      </c>
      <c r="P66" s="3">
        <f t="shared" si="21"/>
        <v>114.86319999999999</v>
      </c>
      <c r="Q66" s="3">
        <f t="shared" si="21"/>
        <v>487.65433333333323</v>
      </c>
      <c r="R66" s="3">
        <f t="shared" si="21"/>
        <v>316.99018333333328</v>
      </c>
      <c r="S66" s="3">
        <f t="shared" si="21"/>
        <v>2098.3548999999998</v>
      </c>
      <c r="T66" s="3">
        <f t="shared" si="21"/>
        <v>175.13186666666667</v>
      </c>
      <c r="U66" s="3">
        <f t="shared" si="21"/>
        <v>306.48576666666668</v>
      </c>
      <c r="V66" s="3">
        <f t="shared" si="21"/>
        <v>703.37518333333321</v>
      </c>
    </row>
    <row r="67" spans="2:22" ht="15.75" customHeight="1" thickBot="1" x14ac:dyDescent="0.3">
      <c r="B67" s="105" t="s">
        <v>64</v>
      </c>
      <c r="C67" s="3">
        <f>SUM(C42:C43)</f>
        <v>0.53488333333333327</v>
      </c>
      <c r="D67" s="3">
        <f t="shared" ref="D67:J67" si="22">SUM(D42:D43)</f>
        <v>9.6626499999999993</v>
      </c>
      <c r="E67" s="3">
        <f t="shared" si="22"/>
        <v>2.2881833333333335</v>
      </c>
      <c r="F67" s="3">
        <f t="shared" si="22"/>
        <v>0.75688333333333335</v>
      </c>
      <c r="G67" s="3">
        <f t="shared" si="22"/>
        <v>1.6777500000000001</v>
      </c>
      <c r="H67" s="3">
        <f t="shared" si="22"/>
        <v>5.7980833333333326</v>
      </c>
      <c r="I67" s="3">
        <f t="shared" si="22"/>
        <v>1.9084166666666667</v>
      </c>
      <c r="J67" s="3">
        <f t="shared" si="22"/>
        <v>0.46706666666666669</v>
      </c>
      <c r="K67" s="3">
        <f t="shared" ref="K67:V67" si="23">SUM(K42:K43)</f>
        <v>0.97768333333333324</v>
      </c>
      <c r="L67" s="3">
        <f t="shared" si="23"/>
        <v>4.359633333333333</v>
      </c>
      <c r="M67" s="3">
        <f t="shared" si="23"/>
        <v>0.38613333333333338</v>
      </c>
      <c r="N67" s="3">
        <f t="shared" si="23"/>
        <v>1.3746499999999999</v>
      </c>
      <c r="O67" s="3">
        <f t="shared" si="23"/>
        <v>2.2861833333333332</v>
      </c>
      <c r="P67" s="3">
        <f t="shared" si="23"/>
        <v>1.3337333333333332</v>
      </c>
      <c r="Q67" s="3">
        <f t="shared" si="23"/>
        <v>2.1536666666666666</v>
      </c>
      <c r="R67" s="3">
        <f t="shared" si="23"/>
        <v>0.74626666666666663</v>
      </c>
      <c r="S67" s="3">
        <f t="shared" si="23"/>
        <v>14.190233333333333</v>
      </c>
      <c r="T67" s="3">
        <f t="shared" si="23"/>
        <v>0</v>
      </c>
      <c r="U67" s="3">
        <f t="shared" si="23"/>
        <v>0</v>
      </c>
      <c r="V67" s="3">
        <f t="shared" si="23"/>
        <v>1.2044833333333334</v>
      </c>
    </row>
    <row r="68" spans="2:22" ht="15.75" customHeight="1" thickBot="1" x14ac:dyDescent="0.3">
      <c r="B68" s="105" t="s">
        <v>65</v>
      </c>
      <c r="C68" s="3">
        <f>SUM(C45:C49)</f>
        <v>1.6096833333333331</v>
      </c>
      <c r="D68" s="3">
        <f t="shared" ref="D68:J68" si="24">SUM(D45:D49)</f>
        <v>45.626566666666669</v>
      </c>
      <c r="E68" s="3">
        <f t="shared" si="24"/>
        <v>1.9541999999999999</v>
      </c>
      <c r="F68" s="3">
        <f t="shared" si="24"/>
        <v>5.4340499999999992</v>
      </c>
      <c r="G68" s="3">
        <f t="shared" si="24"/>
        <v>1.8562333333333332</v>
      </c>
      <c r="H68" s="3">
        <f t="shared" si="24"/>
        <v>2.2590500000000002</v>
      </c>
      <c r="I68" s="3">
        <f t="shared" si="24"/>
        <v>1.4301333333333333</v>
      </c>
      <c r="J68" s="3">
        <f t="shared" si="24"/>
        <v>1.0706</v>
      </c>
      <c r="K68" s="3">
        <f t="shared" ref="K68:V68" si="25">SUM(K45:K49)</f>
        <v>1.4311333333333334</v>
      </c>
      <c r="L68" s="3">
        <f t="shared" si="25"/>
        <v>0.47558333333333336</v>
      </c>
      <c r="M68" s="3">
        <f t="shared" si="25"/>
        <v>1.9243666666666668</v>
      </c>
      <c r="N68" s="3">
        <f t="shared" si="25"/>
        <v>6.1103499999999995</v>
      </c>
      <c r="O68" s="3">
        <f t="shared" si="25"/>
        <v>3.2253333333333338</v>
      </c>
      <c r="P68" s="3">
        <f t="shared" si="25"/>
        <v>1.8813333333333333</v>
      </c>
      <c r="Q68" s="3">
        <f t="shared" si="25"/>
        <v>14.151316666666668</v>
      </c>
      <c r="R68" s="3">
        <f t="shared" si="25"/>
        <v>1.2849999999999999</v>
      </c>
      <c r="S68" s="3">
        <f t="shared" si="25"/>
        <v>41.446433333333339</v>
      </c>
      <c r="T68" s="3">
        <f t="shared" si="25"/>
        <v>0.51321666666666665</v>
      </c>
      <c r="U68" s="3">
        <f t="shared" si="25"/>
        <v>1.2806500000000001</v>
      </c>
      <c r="V68" s="3">
        <f t="shared" si="25"/>
        <v>1.1630833333333332</v>
      </c>
    </row>
    <row r="69" spans="2:22" ht="15.75" customHeight="1" thickBot="1" x14ac:dyDescent="0.3">
      <c r="B69" s="105" t="s">
        <v>66</v>
      </c>
      <c r="C69" s="61">
        <f>SUM(C51:C60)</f>
        <v>80.261483333333331</v>
      </c>
      <c r="D69" s="61">
        <f t="shared" ref="D69:J69" si="26">SUM(D51:D60)</f>
        <v>599.57363333333331</v>
      </c>
      <c r="E69" s="61">
        <f t="shared" si="26"/>
        <v>225.67556666666664</v>
      </c>
      <c r="F69" s="61">
        <f t="shared" si="26"/>
        <v>97.907916666666651</v>
      </c>
      <c r="G69" s="61">
        <f t="shared" si="26"/>
        <v>128.30556666666666</v>
      </c>
      <c r="H69" s="61">
        <f t="shared" si="26"/>
        <v>401.22994999999997</v>
      </c>
      <c r="I69" s="61">
        <f t="shared" si="26"/>
        <v>94.644166666666663</v>
      </c>
      <c r="J69" s="61">
        <f t="shared" si="26"/>
        <v>125.45673333333333</v>
      </c>
      <c r="K69" s="61">
        <f t="shared" ref="K69:V69" si="27">SUM(K51:K60)</f>
        <v>67.498966666666661</v>
      </c>
      <c r="L69" s="61">
        <f t="shared" si="27"/>
        <v>202.23931666666667</v>
      </c>
      <c r="M69" s="61">
        <f t="shared" si="27"/>
        <v>47.811566666666664</v>
      </c>
      <c r="N69" s="61">
        <f t="shared" si="27"/>
        <v>57.948116666666664</v>
      </c>
      <c r="O69" s="61">
        <f t="shared" si="27"/>
        <v>64.346216666666663</v>
      </c>
      <c r="P69" s="61">
        <f t="shared" si="27"/>
        <v>23.053850000000001</v>
      </c>
      <c r="Q69" s="61">
        <f t="shared" si="27"/>
        <v>26.86631666666667</v>
      </c>
      <c r="R69" s="61">
        <f t="shared" si="27"/>
        <v>116.70533333333333</v>
      </c>
      <c r="S69" s="61">
        <f t="shared" si="27"/>
        <v>351.27900000000005</v>
      </c>
      <c r="T69" s="61">
        <f t="shared" si="27"/>
        <v>26.164900000000003</v>
      </c>
      <c r="U69" s="61">
        <f t="shared" si="27"/>
        <v>23.469183333333337</v>
      </c>
      <c r="V69" s="61">
        <f t="shared" si="27"/>
        <v>115.72851666666668</v>
      </c>
    </row>
    <row r="70" spans="2:22" ht="15.75" thickBot="1" x14ac:dyDescent="0.3">
      <c r="B70" s="63" t="s">
        <v>67</v>
      </c>
      <c r="C70" s="4">
        <f t="shared" ref="C70" si="28">SUM(C64:C69)</f>
        <v>431.21423333333331</v>
      </c>
      <c r="D70" s="4">
        <f t="shared" ref="D70:J70" si="29">SUM(D64:D69)</f>
        <v>5161.3678500000015</v>
      </c>
      <c r="E70" s="4">
        <f t="shared" si="29"/>
        <v>1039.20435</v>
      </c>
      <c r="F70" s="4">
        <f t="shared" si="29"/>
        <v>861.84424999999999</v>
      </c>
      <c r="G70" s="4">
        <f t="shared" si="29"/>
        <v>812.94771666666657</v>
      </c>
      <c r="H70" s="4">
        <f t="shared" si="29"/>
        <v>1226.20505</v>
      </c>
      <c r="I70" s="4">
        <f t="shared" si="29"/>
        <v>869.82146666666654</v>
      </c>
      <c r="J70" s="4">
        <f t="shared" si="29"/>
        <v>493.12889999999993</v>
      </c>
      <c r="K70" s="4">
        <f t="shared" ref="K70:V70" si="30">SUM(K64:K69)</f>
        <v>643.41730000000007</v>
      </c>
      <c r="L70" s="4">
        <f t="shared" si="30"/>
        <v>1149.7137833333334</v>
      </c>
      <c r="M70" s="4">
        <f t="shared" si="30"/>
        <v>375.00774999999999</v>
      </c>
      <c r="N70" s="4">
        <f t="shared" si="30"/>
        <v>1535.1673166666667</v>
      </c>
      <c r="O70" s="4">
        <f t="shared" si="30"/>
        <v>560.73531666666668</v>
      </c>
      <c r="P70" s="4">
        <f t="shared" si="30"/>
        <v>308.08423333333332</v>
      </c>
      <c r="Q70" s="4">
        <f t="shared" si="30"/>
        <v>804.44986666666648</v>
      </c>
      <c r="R70" s="4">
        <f t="shared" si="30"/>
        <v>512.68943333333323</v>
      </c>
      <c r="S70" s="4">
        <f t="shared" si="30"/>
        <v>3554.31495</v>
      </c>
      <c r="T70" s="4">
        <f t="shared" si="30"/>
        <v>242.89839999999998</v>
      </c>
      <c r="U70" s="4">
        <f t="shared" si="30"/>
        <v>410.50144999999998</v>
      </c>
      <c r="V70" s="4">
        <f t="shared" si="30"/>
        <v>996.29703333333327</v>
      </c>
    </row>
  </sheetData>
  <mergeCells count="5">
    <mergeCell ref="A51:A60"/>
    <mergeCell ref="A42:A43"/>
    <mergeCell ref="A8:A16"/>
    <mergeCell ref="A45:A49"/>
    <mergeCell ref="A20:A40"/>
  </mergeCells>
  <conditionalFormatting sqref="C8:V60">
    <cfRule type="cellIs" dxfId="0" priority="4" operator="notEqual">
      <formula>"ND"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V102"/>
  <sheetViews>
    <sheetView topLeftCell="A28" zoomScale="85" zoomScaleNormal="85" workbookViewId="0">
      <selection activeCell="B53" sqref="B53"/>
    </sheetView>
  </sheetViews>
  <sheetFormatPr baseColWidth="10" defaultColWidth="14.5703125" defaultRowHeight="12.75" x14ac:dyDescent="0.2"/>
  <cols>
    <col min="1" max="1" width="27.85546875" style="68" bestFit="1" customWidth="1"/>
    <col min="2" max="2" width="9.5703125" style="98" bestFit="1" customWidth="1"/>
    <col min="3" max="3" width="20.5703125" style="67" bestFit="1" customWidth="1"/>
    <col min="4" max="4" width="22.42578125" style="67" bestFit="1" customWidth="1"/>
    <col min="5" max="5" width="21" style="67" bestFit="1" customWidth="1"/>
    <col min="6" max="6" width="22.42578125" style="64" bestFit="1" customWidth="1"/>
    <col min="7" max="7" width="25" style="64" bestFit="1" customWidth="1"/>
    <col min="8" max="8" width="26.7109375" style="64" bestFit="1" customWidth="1"/>
    <col min="9" max="9" width="22.85546875" style="64" bestFit="1" customWidth="1"/>
    <col min="10" max="10" width="24.28515625" style="64" bestFit="1" customWidth="1"/>
    <col min="11" max="16384" width="14.5703125" style="64"/>
  </cols>
  <sheetData>
    <row r="1" spans="1:22" s="73" customFormat="1" ht="26.25" thickBot="1" x14ac:dyDescent="0.3">
      <c r="A1" s="72" t="s">
        <v>68</v>
      </c>
      <c r="B1" s="82" t="s">
        <v>69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375</v>
      </c>
      <c r="O1" t="s">
        <v>376</v>
      </c>
      <c r="P1" t="s">
        <v>377</v>
      </c>
      <c r="Q1" t="s">
        <v>378</v>
      </c>
      <c r="R1" t="s">
        <v>379</v>
      </c>
      <c r="S1" t="s">
        <v>380</v>
      </c>
      <c r="T1" t="s">
        <v>381</v>
      </c>
      <c r="U1" t="s">
        <v>382</v>
      </c>
      <c r="V1" t="s">
        <v>383</v>
      </c>
    </row>
    <row r="2" spans="1:22" ht="15" x14ac:dyDescent="0.25">
      <c r="A2" t="s">
        <v>39</v>
      </c>
      <c r="B2" s="95">
        <v>2.0102000000000002</v>
      </c>
      <c r="C2" s="64"/>
      <c r="D2" s="64"/>
      <c r="E2" s="64"/>
    </row>
    <row r="3" spans="1:22" ht="15" x14ac:dyDescent="0.25">
      <c r="A3" t="s">
        <v>48</v>
      </c>
      <c r="B3" s="95"/>
      <c r="C3" s="64"/>
      <c r="D3" s="64"/>
      <c r="E3" s="64"/>
    </row>
    <row r="4" spans="1:22" ht="15" x14ac:dyDescent="0.25">
      <c r="A4" t="s">
        <v>36</v>
      </c>
      <c r="B4" s="95"/>
      <c r="C4" s="64"/>
      <c r="D4" s="64"/>
      <c r="E4" s="64"/>
    </row>
    <row r="5" spans="1:22" ht="15" x14ac:dyDescent="0.25">
      <c r="A5" t="s">
        <v>47</v>
      </c>
      <c r="B5" s="95"/>
      <c r="C5" s="64"/>
      <c r="D5" s="64"/>
      <c r="E5" s="64"/>
    </row>
    <row r="6" spans="1:22" ht="15" x14ac:dyDescent="0.25">
      <c r="A6" t="s">
        <v>34</v>
      </c>
      <c r="B6" s="95">
        <v>1.8942000000000001</v>
      </c>
      <c r="C6" s="64"/>
      <c r="D6" s="64"/>
      <c r="E6" s="64"/>
    </row>
    <row r="7" spans="1:22" ht="15" x14ac:dyDescent="0.25">
      <c r="A7" t="s">
        <v>40</v>
      </c>
      <c r="B7" s="95">
        <v>1.7001999999999999</v>
      </c>
      <c r="C7" s="64">
        <v>8.7280999999999995</v>
      </c>
      <c r="D7" s="64">
        <v>28.5245</v>
      </c>
      <c r="E7" s="64">
        <v>42.761200000000002</v>
      </c>
      <c r="F7" s="64">
        <v>35.232300000000002</v>
      </c>
      <c r="G7" s="64">
        <v>43.897100000000002</v>
      </c>
      <c r="H7" s="64">
        <v>15.651199999999999</v>
      </c>
      <c r="I7" s="64">
        <v>57.029800000000002</v>
      </c>
      <c r="J7" s="64">
        <v>41.992800000000003</v>
      </c>
      <c r="K7" s="64">
        <v>20.1218</v>
      </c>
      <c r="L7" s="64">
        <v>22.237500000000001</v>
      </c>
      <c r="M7" s="64">
        <v>1.8733</v>
      </c>
      <c r="N7" s="64">
        <v>35.5854</v>
      </c>
      <c r="O7" s="64">
        <v>19.762499999999999</v>
      </c>
      <c r="P7" s="64">
        <v>5.1954000000000002</v>
      </c>
      <c r="Q7" s="64">
        <v>8.8080999999999996</v>
      </c>
      <c r="R7" s="64">
        <v>15.4191</v>
      </c>
      <c r="S7" s="64">
        <v>7.4859999999999998</v>
      </c>
      <c r="T7" s="64">
        <v>33.609299999999998</v>
      </c>
      <c r="U7" s="64">
        <v>12.8239</v>
      </c>
      <c r="V7" s="64">
        <v>157.6755</v>
      </c>
    </row>
    <row r="8" spans="1:22" ht="15" x14ac:dyDescent="0.25">
      <c r="A8" t="s">
        <v>15</v>
      </c>
      <c r="B8" s="95">
        <v>3.31</v>
      </c>
      <c r="C8" s="64">
        <v>0.77729999999999999</v>
      </c>
      <c r="D8" s="64">
        <v>7.5796999999999999</v>
      </c>
      <c r="E8" s="64">
        <v>7.5273000000000003</v>
      </c>
      <c r="F8" s="64">
        <v>0.34949999999999998</v>
      </c>
      <c r="G8" s="64">
        <v>2.7372000000000001</v>
      </c>
      <c r="H8" s="64">
        <v>11.398999999999999</v>
      </c>
      <c r="I8" s="64">
        <v>4.8925000000000001</v>
      </c>
      <c r="J8" s="64">
        <v>1.651</v>
      </c>
      <c r="K8" s="64">
        <v>8.0068999999999999</v>
      </c>
      <c r="L8" s="64">
        <v>1.0813999999999999</v>
      </c>
      <c r="M8" s="64">
        <v>4.9577999999999998</v>
      </c>
      <c r="N8" s="64">
        <v>13.1762</v>
      </c>
      <c r="O8" s="64">
        <v>2.8899999999999999E-2</v>
      </c>
      <c r="P8" s="64">
        <v>2.5396000000000001</v>
      </c>
      <c r="Q8" s="64">
        <v>3.3096000000000001</v>
      </c>
      <c r="R8" s="64">
        <v>2.1997</v>
      </c>
      <c r="S8" s="64">
        <v>16.998200000000001</v>
      </c>
      <c r="T8" s="64">
        <v>0.87419999999999998</v>
      </c>
      <c r="U8" s="64">
        <v>1.2050000000000001</v>
      </c>
      <c r="V8" s="64">
        <v>8.8712999999999997</v>
      </c>
    </row>
    <row r="9" spans="1:22" ht="15" x14ac:dyDescent="0.25">
      <c r="A9" t="s">
        <v>16</v>
      </c>
      <c r="B9" s="95">
        <v>2.3085</v>
      </c>
      <c r="C9" s="64">
        <v>5.4280999999999997</v>
      </c>
      <c r="D9" s="64">
        <v>28.6234</v>
      </c>
      <c r="E9" s="64">
        <v>22.567599999999999</v>
      </c>
      <c r="F9" s="64">
        <v>3.5649000000000002</v>
      </c>
      <c r="G9" s="64">
        <v>9.8385999999999996</v>
      </c>
      <c r="H9" s="64">
        <v>54.164700000000003</v>
      </c>
      <c r="I9" s="64">
        <v>12.0898</v>
      </c>
      <c r="J9" s="64">
        <v>6.7698</v>
      </c>
      <c r="K9" s="64">
        <v>14.775399999999999</v>
      </c>
      <c r="L9" s="64">
        <v>8.1518999999999995</v>
      </c>
      <c r="M9" s="64">
        <v>20.5976</v>
      </c>
      <c r="N9" s="64">
        <v>35.758899999999997</v>
      </c>
      <c r="O9" s="64">
        <v>6.0982000000000003</v>
      </c>
      <c r="P9" s="64">
        <v>12.437799999999999</v>
      </c>
      <c r="Q9" s="64">
        <v>17.2121</v>
      </c>
      <c r="R9" s="64">
        <v>17.968900000000001</v>
      </c>
      <c r="S9" s="64">
        <v>49.9056</v>
      </c>
      <c r="T9" s="64">
        <v>4.5791000000000004</v>
      </c>
      <c r="U9" s="64">
        <v>5.4368999999999996</v>
      </c>
      <c r="V9" s="64">
        <v>26.244199999999999</v>
      </c>
    </row>
    <row r="10" spans="1:22" ht="15" x14ac:dyDescent="0.25">
      <c r="A10" t="s">
        <v>35</v>
      </c>
      <c r="B10" s="95">
        <v>2.2698999999999998</v>
      </c>
      <c r="C10" s="64"/>
      <c r="D10" s="64"/>
      <c r="E10" s="64">
        <v>29.454499999999999</v>
      </c>
      <c r="G10" s="64">
        <v>56.660699999999999</v>
      </c>
      <c r="H10" s="64">
        <v>9.1206999999999994</v>
      </c>
      <c r="I10" s="64">
        <v>25.280100000000001</v>
      </c>
      <c r="L10" s="64">
        <v>11.492000000000001</v>
      </c>
      <c r="R10" s="64">
        <v>34.4467</v>
      </c>
      <c r="T10" s="64">
        <v>15.9961</v>
      </c>
      <c r="V10" s="64">
        <v>91.857299999999995</v>
      </c>
    </row>
    <row r="11" spans="1:22" ht="15" x14ac:dyDescent="0.25">
      <c r="A11" t="s">
        <v>31</v>
      </c>
      <c r="B11" s="95"/>
      <c r="C11" s="64"/>
      <c r="D11" s="64"/>
      <c r="E11" s="64"/>
    </row>
    <row r="12" spans="1:22" ht="15" x14ac:dyDescent="0.25">
      <c r="A12" t="s">
        <v>33</v>
      </c>
      <c r="B12" s="95"/>
      <c r="C12" s="64"/>
      <c r="D12" s="64"/>
      <c r="E12" s="64"/>
    </row>
    <row r="13" spans="1:22" ht="15" x14ac:dyDescent="0.25">
      <c r="A13" t="s">
        <v>59</v>
      </c>
      <c r="B13" s="95"/>
      <c r="C13" s="64"/>
      <c r="D13" s="64"/>
      <c r="E13" s="64"/>
    </row>
    <row r="14" spans="1:22" ht="15" x14ac:dyDescent="0.25">
      <c r="A14" t="s">
        <v>70</v>
      </c>
      <c r="B14" s="95">
        <v>2.4740000000000002</v>
      </c>
      <c r="C14" s="64"/>
      <c r="D14" s="64"/>
      <c r="E14" s="64"/>
    </row>
    <row r="15" spans="1:22" ht="15" x14ac:dyDescent="0.25">
      <c r="A15" t="s">
        <v>71</v>
      </c>
      <c r="B15" s="95">
        <v>3.2368999999999999</v>
      </c>
      <c r="C15" s="64">
        <v>11.870699999999999</v>
      </c>
      <c r="D15" s="64">
        <v>162.53960000000001</v>
      </c>
      <c r="E15" s="64">
        <v>7.2087000000000003</v>
      </c>
      <c r="F15" s="64">
        <v>30.6112</v>
      </c>
      <c r="G15" s="64">
        <v>4.2034000000000002</v>
      </c>
      <c r="H15" s="64">
        <v>1.9231</v>
      </c>
      <c r="I15" s="64">
        <v>12.662800000000001</v>
      </c>
      <c r="J15" s="64">
        <v>3.2524999999999999</v>
      </c>
      <c r="K15" s="64">
        <v>29.954599999999999</v>
      </c>
      <c r="L15" s="64">
        <v>2.8050000000000002</v>
      </c>
      <c r="M15" s="64">
        <v>23.200600000000001</v>
      </c>
      <c r="N15" s="64">
        <v>82.485299999999995</v>
      </c>
      <c r="O15" s="64">
        <v>17.171399999999998</v>
      </c>
      <c r="P15" s="64">
        <v>0.59909999999999997</v>
      </c>
      <c r="Q15" s="64">
        <v>43.624600000000001</v>
      </c>
      <c r="R15" s="64">
        <v>0.1013</v>
      </c>
      <c r="S15" s="64">
        <v>116.1773</v>
      </c>
      <c r="T15" s="64">
        <v>2.9037000000000002</v>
      </c>
      <c r="U15" s="64">
        <v>19.754100000000001</v>
      </c>
      <c r="V15" s="64">
        <v>9.9393999999999991</v>
      </c>
    </row>
    <row r="16" spans="1:22" ht="15" x14ac:dyDescent="0.25">
      <c r="A16" t="s">
        <v>37</v>
      </c>
      <c r="B16" s="95">
        <v>2.0869</v>
      </c>
      <c r="C16" s="64">
        <v>4.7999999999999996E-3</v>
      </c>
      <c r="D16" s="64"/>
      <c r="E16" s="64">
        <v>1.7796000000000001</v>
      </c>
      <c r="F16" s="64">
        <v>0.1857</v>
      </c>
      <c r="G16" s="64">
        <v>1.3157000000000001</v>
      </c>
      <c r="H16" s="64">
        <v>0.57689999999999997</v>
      </c>
      <c r="I16" s="64">
        <v>1.4775</v>
      </c>
      <c r="J16" s="64">
        <v>4.3200000000000002E-2</v>
      </c>
      <c r="K16" s="64">
        <v>-0.60150000000000003</v>
      </c>
      <c r="L16" s="64">
        <v>0.1321</v>
      </c>
      <c r="M16" s="64">
        <v>-0.36940000000000001</v>
      </c>
      <c r="O16" s="64">
        <v>0.40920000000000001</v>
      </c>
      <c r="P16" s="64">
        <v>-0.87509999999999999</v>
      </c>
      <c r="R16" s="64">
        <v>3.4533</v>
      </c>
      <c r="V16" s="64">
        <v>3.3073000000000001</v>
      </c>
    </row>
    <row r="17" spans="1:22" ht="15" x14ac:dyDescent="0.25">
      <c r="A17" t="s">
        <v>58</v>
      </c>
      <c r="B17" s="95"/>
      <c r="C17" s="64"/>
      <c r="D17" s="64"/>
      <c r="E17" s="64"/>
    </row>
    <row r="18" spans="1:22" ht="15" x14ac:dyDescent="0.25">
      <c r="A18" t="s">
        <v>32</v>
      </c>
      <c r="B18" s="95">
        <v>1.4837</v>
      </c>
      <c r="C18" s="64"/>
      <c r="D18" s="64"/>
      <c r="E18" s="64"/>
    </row>
    <row r="19" spans="1:22" ht="15" x14ac:dyDescent="0.25">
      <c r="A19" t="s">
        <v>18</v>
      </c>
      <c r="B19" s="95">
        <v>2.0392000000000001</v>
      </c>
      <c r="C19" s="64"/>
      <c r="D19" s="64"/>
      <c r="E19" s="64"/>
    </row>
    <row r="20" spans="1:22" ht="15" x14ac:dyDescent="0.25">
      <c r="A20" t="s">
        <v>46</v>
      </c>
      <c r="B20" s="95">
        <v>2.4369999999999998</v>
      </c>
      <c r="C20" s="64"/>
      <c r="D20" s="64"/>
      <c r="E20" s="64"/>
    </row>
    <row r="21" spans="1:22" ht="15" x14ac:dyDescent="0.25">
      <c r="A21" s="111" t="s">
        <v>54</v>
      </c>
      <c r="B21" s="96"/>
      <c r="C21" s="64"/>
      <c r="D21" s="64"/>
      <c r="E21" s="64"/>
    </row>
    <row r="22" spans="1:22" ht="15" x14ac:dyDescent="0.25">
      <c r="A22" t="s">
        <v>60</v>
      </c>
      <c r="B22" s="95"/>
      <c r="C22" s="64"/>
      <c r="D22" s="64"/>
      <c r="E22" s="64"/>
    </row>
    <row r="23" spans="1:22" ht="15" x14ac:dyDescent="0.25">
      <c r="A23" t="s">
        <v>29</v>
      </c>
      <c r="B23" s="95">
        <v>2.3275000000000001</v>
      </c>
      <c r="C23" s="64">
        <v>16.776800000000001</v>
      </c>
      <c r="D23" s="64">
        <v>532.5521</v>
      </c>
      <c r="E23" s="64">
        <v>7.6322999999999999</v>
      </c>
      <c r="F23" s="64">
        <v>73.991600000000005</v>
      </c>
      <c r="G23" s="64">
        <v>4.6824000000000003</v>
      </c>
      <c r="H23" s="64">
        <v>3.0135000000000001</v>
      </c>
      <c r="I23" s="64">
        <v>21.793900000000001</v>
      </c>
      <c r="J23" s="64">
        <v>6.2220000000000004</v>
      </c>
      <c r="K23" s="64">
        <v>46.461799999999997</v>
      </c>
      <c r="L23" s="64">
        <v>1.6604000000000001</v>
      </c>
      <c r="M23" s="64">
        <v>13.7081</v>
      </c>
      <c r="N23" s="64">
        <v>90.7654</v>
      </c>
      <c r="O23" s="64">
        <v>31.248200000000001</v>
      </c>
      <c r="P23" s="64">
        <v>11.698399999999999</v>
      </c>
      <c r="Q23" s="64">
        <v>57.3444</v>
      </c>
      <c r="R23" s="64">
        <v>2.4969999999999999</v>
      </c>
      <c r="S23" s="64">
        <v>312.238</v>
      </c>
      <c r="U23" s="64">
        <v>16.307400000000001</v>
      </c>
      <c r="V23" s="64">
        <v>12.2203</v>
      </c>
    </row>
    <row r="24" spans="1:22" ht="15" x14ac:dyDescent="0.25">
      <c r="A24" t="s">
        <v>55</v>
      </c>
      <c r="B24" s="95"/>
      <c r="C24" s="64"/>
      <c r="D24" s="64"/>
      <c r="E24" s="64"/>
    </row>
    <row r="25" spans="1:22" ht="15" x14ac:dyDescent="0.25">
      <c r="A25" t="s">
        <v>11</v>
      </c>
      <c r="B25" s="95">
        <v>2.1503000000000001</v>
      </c>
      <c r="C25" s="64">
        <v>21.792999999999999</v>
      </c>
      <c r="D25" s="64">
        <v>14.096</v>
      </c>
      <c r="E25" s="64">
        <v>38.796599999999998</v>
      </c>
      <c r="F25" s="64">
        <v>15.8697</v>
      </c>
      <c r="G25" s="64">
        <v>62.972200000000001</v>
      </c>
      <c r="H25" s="64">
        <v>51.048699999999997</v>
      </c>
      <c r="I25" s="64">
        <v>27.4375</v>
      </c>
      <c r="J25" s="64">
        <v>19.277100000000001</v>
      </c>
      <c r="K25" s="64">
        <v>19.747800000000002</v>
      </c>
      <c r="L25" s="64">
        <v>26.808599999999998</v>
      </c>
      <c r="M25" s="64">
        <v>10.207800000000001</v>
      </c>
      <c r="N25" s="64">
        <v>3539.1714999999999</v>
      </c>
      <c r="O25" s="64">
        <v>15.4732</v>
      </c>
      <c r="P25" s="64">
        <v>34.694099999999999</v>
      </c>
      <c r="Q25" s="64">
        <v>11.171200000000001</v>
      </c>
      <c r="R25" s="64">
        <v>5.4329000000000001</v>
      </c>
      <c r="S25" s="64">
        <v>114.12439999999999</v>
      </c>
      <c r="T25" s="64">
        <v>6.7382</v>
      </c>
      <c r="U25" s="64">
        <v>5.9303999999999997</v>
      </c>
      <c r="V25" s="64">
        <v>26.684799999999999</v>
      </c>
    </row>
    <row r="26" spans="1:22" ht="15" x14ac:dyDescent="0.25">
      <c r="A26" t="s">
        <v>12</v>
      </c>
      <c r="B26" s="95">
        <v>1.9931000000000001</v>
      </c>
      <c r="C26" s="64">
        <v>19.525500000000001</v>
      </c>
      <c r="D26" s="64">
        <v>13.355499999999999</v>
      </c>
      <c r="E26" s="64">
        <v>22.139399999999998</v>
      </c>
      <c r="F26" s="64">
        <v>9.1295999999999999</v>
      </c>
      <c r="G26" s="64">
        <v>34.195500000000003</v>
      </c>
      <c r="H26" s="64">
        <v>87.669399999999996</v>
      </c>
      <c r="I26" s="64">
        <v>30.213100000000001</v>
      </c>
      <c r="J26" s="64">
        <v>9.2035</v>
      </c>
      <c r="K26" s="64">
        <v>15.5654</v>
      </c>
      <c r="L26" s="64">
        <v>37.912799999999997</v>
      </c>
      <c r="M26" s="64">
        <v>11.9693</v>
      </c>
      <c r="N26" s="64">
        <v>19.602</v>
      </c>
      <c r="O26" s="64">
        <v>15.5968</v>
      </c>
      <c r="P26" s="64">
        <v>44.691800000000001</v>
      </c>
      <c r="Q26" s="64">
        <v>6.1935000000000002</v>
      </c>
      <c r="R26" s="64">
        <v>3.3378999999999999</v>
      </c>
      <c r="S26" s="64">
        <v>74.459100000000007</v>
      </c>
      <c r="T26" s="64">
        <v>3.5512000000000001</v>
      </c>
      <c r="U26" s="64">
        <v>3.0266000000000002</v>
      </c>
      <c r="V26" s="64">
        <v>22.3689</v>
      </c>
    </row>
    <row r="27" spans="1:22" ht="15" x14ac:dyDescent="0.25">
      <c r="A27" t="s">
        <v>45</v>
      </c>
      <c r="B27" s="95">
        <v>2.3509000000000002</v>
      </c>
      <c r="C27" s="64">
        <v>9.6580999999999992</v>
      </c>
      <c r="D27" s="64">
        <v>219.5146</v>
      </c>
      <c r="E27" s="64">
        <v>11.725199999999999</v>
      </c>
      <c r="F27" s="64">
        <v>24.605</v>
      </c>
      <c r="G27" s="64">
        <v>11.1374</v>
      </c>
      <c r="H27" s="64">
        <v>13.5543</v>
      </c>
      <c r="I27" s="64">
        <v>8.5808</v>
      </c>
      <c r="J27" s="64">
        <v>6.4236000000000004</v>
      </c>
      <c r="K27" s="64">
        <v>4.5827</v>
      </c>
      <c r="L27" s="64">
        <v>2.8534999999999999</v>
      </c>
      <c r="M27" s="64">
        <v>11.546200000000001</v>
      </c>
      <c r="N27" s="64">
        <v>22.8782</v>
      </c>
      <c r="O27" s="64">
        <v>14.717700000000001</v>
      </c>
      <c r="P27" s="64">
        <v>11.288</v>
      </c>
      <c r="Q27" s="64">
        <v>75.636499999999998</v>
      </c>
      <c r="R27" s="64">
        <v>7.71</v>
      </c>
      <c r="S27" s="64">
        <v>216.3168</v>
      </c>
      <c r="T27" s="64">
        <v>3.0792999999999999</v>
      </c>
      <c r="U27" s="64">
        <v>7.6839000000000004</v>
      </c>
      <c r="V27" s="64">
        <v>6.9785000000000004</v>
      </c>
    </row>
    <row r="28" spans="1:22" ht="15" x14ac:dyDescent="0.25">
      <c r="A28" t="s">
        <v>42</v>
      </c>
      <c r="B28" s="95">
        <v>2.1055999999999999</v>
      </c>
      <c r="C28" s="64">
        <v>1.8966000000000001</v>
      </c>
      <c r="D28" s="64">
        <v>24.9727</v>
      </c>
      <c r="E28" s="64">
        <v>3.1480000000000001</v>
      </c>
      <c r="F28" s="64">
        <v>2.2450999999999999</v>
      </c>
      <c r="G28" s="64">
        <v>4.4509999999999996</v>
      </c>
      <c r="H28" s="64">
        <v>14.0664</v>
      </c>
      <c r="I28" s="64">
        <v>5.9499000000000004</v>
      </c>
      <c r="J28" s="64">
        <v>0.31359999999999999</v>
      </c>
      <c r="K28" s="64">
        <v>3.3915999999999999</v>
      </c>
      <c r="L28" s="64">
        <v>5.3890000000000002</v>
      </c>
      <c r="M28" s="64">
        <v>2.3168000000000002</v>
      </c>
      <c r="N28" s="64">
        <v>4.8888999999999996</v>
      </c>
      <c r="O28" s="64">
        <v>4.7210999999999999</v>
      </c>
      <c r="P28" s="64">
        <v>5.3148</v>
      </c>
      <c r="Q28" s="64">
        <v>5.2549999999999999</v>
      </c>
      <c r="R28" s="64">
        <v>1.0210999999999999</v>
      </c>
      <c r="S28" s="64">
        <v>34.917499999999997</v>
      </c>
      <c r="T28" s="64">
        <v>0.11310000000000001</v>
      </c>
      <c r="U28" s="64">
        <v>0.83909999999999996</v>
      </c>
      <c r="V28" s="64">
        <v>2.2740999999999998</v>
      </c>
    </row>
    <row r="29" spans="1:22" ht="15" x14ac:dyDescent="0.25">
      <c r="A29" t="s">
        <v>43</v>
      </c>
      <c r="B29" s="95">
        <v>1.9302999999999999</v>
      </c>
      <c r="C29" s="64">
        <v>3.2092999999999998</v>
      </c>
      <c r="D29" s="64">
        <v>33.0032</v>
      </c>
      <c r="E29" s="64">
        <v>10.581099999999999</v>
      </c>
      <c r="F29" s="64">
        <v>2.2961999999999998</v>
      </c>
      <c r="G29" s="64">
        <v>5.6154999999999999</v>
      </c>
      <c r="H29" s="64">
        <v>20.722100000000001</v>
      </c>
      <c r="I29" s="64">
        <v>5.5006000000000004</v>
      </c>
      <c r="J29" s="64">
        <v>2.8024</v>
      </c>
      <c r="K29" s="64">
        <v>2.4744999999999999</v>
      </c>
      <c r="L29" s="64">
        <v>20.768799999999999</v>
      </c>
      <c r="M29" s="64">
        <v>1.8546</v>
      </c>
      <c r="N29" s="64">
        <v>3.359</v>
      </c>
      <c r="O29" s="64">
        <v>8.9960000000000004</v>
      </c>
      <c r="P29" s="64">
        <v>2.6876000000000002</v>
      </c>
      <c r="Q29" s="64">
        <v>7.6669999999999998</v>
      </c>
      <c r="R29" s="64">
        <v>4.4775999999999998</v>
      </c>
      <c r="S29" s="64">
        <v>50.2239</v>
      </c>
      <c r="T29" s="64">
        <v>-0.1239</v>
      </c>
      <c r="U29" s="64">
        <v>0.87239999999999995</v>
      </c>
      <c r="V29" s="64">
        <v>4.9527999999999999</v>
      </c>
    </row>
    <row r="30" spans="1:22" ht="15" x14ac:dyDescent="0.25">
      <c r="A30" t="s">
        <v>49</v>
      </c>
      <c r="B30" s="95">
        <v>2.3391999999999999</v>
      </c>
      <c r="C30" s="64">
        <v>1.2484999999999999</v>
      </c>
      <c r="D30" s="64">
        <v>54.244799999999998</v>
      </c>
      <c r="E30" s="64">
        <v>0.31</v>
      </c>
      <c r="F30" s="64">
        <v>7.9992999999999999</v>
      </c>
      <c r="G30" s="64">
        <v>-0.14549999999999999</v>
      </c>
      <c r="H30" s="64">
        <v>-4.5999999999999999E-3</v>
      </c>
      <c r="I30" s="64">
        <v>1.4648000000000001</v>
      </c>
      <c r="J30" s="64">
        <v>-0.33150000000000002</v>
      </c>
      <c r="K30" s="64">
        <v>4.0041000000000002</v>
      </c>
      <c r="L30" s="64">
        <v>-0.54930000000000001</v>
      </c>
      <c r="M30" s="64">
        <v>1.2228000000000001</v>
      </c>
      <c r="N30" s="64">
        <v>13.783899999999999</v>
      </c>
      <c r="O30" s="64">
        <v>4.6342999999999996</v>
      </c>
      <c r="P30" s="64">
        <v>0.83879999999999999</v>
      </c>
      <c r="Q30" s="64">
        <v>9.2713999999999999</v>
      </c>
      <c r="R30" s="64">
        <v>-5.3100000000000001E-2</v>
      </c>
      <c r="S30" s="64">
        <v>32.361800000000002</v>
      </c>
      <c r="T30" s="64">
        <v>-0.2349</v>
      </c>
      <c r="U30" s="64">
        <v>2.2343000000000002</v>
      </c>
      <c r="V30" s="64">
        <v>0.31080000000000002</v>
      </c>
    </row>
    <row r="31" spans="1:22" ht="15" x14ac:dyDescent="0.25">
      <c r="A31" t="s">
        <v>38</v>
      </c>
      <c r="B31" s="95"/>
      <c r="C31" s="64"/>
      <c r="D31" s="64"/>
      <c r="E31" s="64"/>
    </row>
    <row r="32" spans="1:22" ht="15" x14ac:dyDescent="0.25">
      <c r="A32" t="s">
        <v>9</v>
      </c>
      <c r="B32" s="95">
        <v>2.1774</v>
      </c>
      <c r="C32" s="64">
        <v>2.9554999999999998</v>
      </c>
      <c r="D32" s="64">
        <v>9.0396000000000001</v>
      </c>
      <c r="E32" s="64">
        <v>3.8696000000000002</v>
      </c>
      <c r="F32" s="64">
        <v>2.1755</v>
      </c>
      <c r="G32" s="64">
        <v>8.4594000000000005</v>
      </c>
      <c r="H32" s="64">
        <v>8.1583000000000006</v>
      </c>
      <c r="I32" s="64">
        <v>3.8820999999999999</v>
      </c>
      <c r="J32" s="64">
        <v>3.4207999999999998</v>
      </c>
      <c r="K32" s="64">
        <v>1.2235</v>
      </c>
      <c r="L32" s="64">
        <v>2.7488999999999999</v>
      </c>
      <c r="M32" s="64">
        <v>1.7616000000000001</v>
      </c>
      <c r="N32" s="64">
        <v>2.7521</v>
      </c>
      <c r="O32" s="64">
        <v>2.1027999999999998</v>
      </c>
      <c r="P32" s="64">
        <v>10.418900000000001</v>
      </c>
      <c r="Q32" s="64">
        <v>2.4291999999999998</v>
      </c>
      <c r="R32" s="64">
        <v>3.0028999999999999</v>
      </c>
      <c r="S32" s="64">
        <v>9.4551999999999996</v>
      </c>
      <c r="T32" s="64">
        <v>0.84519999999999995</v>
      </c>
      <c r="U32" s="64">
        <v>1.5755999999999999</v>
      </c>
      <c r="V32" s="64">
        <v>5.9379</v>
      </c>
    </row>
    <row r="33" spans="1:22" ht="15" x14ac:dyDescent="0.25">
      <c r="A33" t="s">
        <v>10</v>
      </c>
      <c r="B33" s="95">
        <v>2.3778999999999999</v>
      </c>
      <c r="C33" s="64">
        <v>296.065</v>
      </c>
      <c r="D33" s="64">
        <v>4760.3946999999998</v>
      </c>
      <c r="E33" s="64">
        <v>813.86320000000001</v>
      </c>
      <c r="F33" s="64">
        <v>441.4479</v>
      </c>
      <c r="G33" s="64">
        <v>454.01339999999999</v>
      </c>
      <c r="H33" s="64">
        <v>1033.1251999999999</v>
      </c>
      <c r="I33" s="64">
        <v>705.99689999999998</v>
      </c>
      <c r="J33" s="64">
        <v>333.89</v>
      </c>
      <c r="K33" s="64">
        <v>436.09249999999997</v>
      </c>
      <c r="L33" s="64">
        <v>1126.8049000000001</v>
      </c>
      <c r="M33" s="64">
        <v>427.29739999999998</v>
      </c>
      <c r="N33" s="64">
        <v>562.95759999999996</v>
      </c>
      <c r="O33" s="64">
        <v>484.93130000000002</v>
      </c>
      <c r="P33" s="64">
        <v>529.56889999999999</v>
      </c>
      <c r="Q33" s="64">
        <v>851.35500000000002</v>
      </c>
      <c r="R33" s="64">
        <v>317.01740000000001</v>
      </c>
      <c r="S33" s="64">
        <v>3377.3009999999999</v>
      </c>
      <c r="T33" s="64">
        <v>128.61859999999999</v>
      </c>
      <c r="U33" s="64">
        <v>228.3192</v>
      </c>
      <c r="V33" s="64">
        <v>568.2192</v>
      </c>
    </row>
    <row r="34" spans="1:22" ht="15" x14ac:dyDescent="0.25">
      <c r="A34" t="s">
        <v>8</v>
      </c>
      <c r="B34" s="95">
        <v>1.9205000000000001</v>
      </c>
      <c r="C34" s="64">
        <v>142.60599999999999</v>
      </c>
      <c r="D34" s="64">
        <v>2825.8492999999999</v>
      </c>
      <c r="E34" s="64">
        <v>312.53680000000003</v>
      </c>
      <c r="F34" s="64">
        <v>337.03359999999998</v>
      </c>
      <c r="G34" s="64">
        <v>241.8058</v>
      </c>
      <c r="H34" s="64">
        <v>568.65769999999998</v>
      </c>
      <c r="I34" s="64">
        <v>400.28300000000002</v>
      </c>
      <c r="J34" s="64">
        <v>76.083500000000001</v>
      </c>
      <c r="K34" s="64">
        <v>249.00360000000001</v>
      </c>
      <c r="L34" s="64">
        <v>372.27859999999998</v>
      </c>
      <c r="M34" s="64">
        <v>334.26830000000001</v>
      </c>
      <c r="N34" s="64">
        <v>412.34930000000003</v>
      </c>
      <c r="O34" s="64">
        <v>271.05770000000001</v>
      </c>
      <c r="P34" s="64">
        <v>301.6386</v>
      </c>
      <c r="Q34" s="64">
        <v>667.44439999999997</v>
      </c>
      <c r="R34" s="64">
        <v>72.514899999999997</v>
      </c>
      <c r="S34" s="64">
        <v>2378.5079000000001</v>
      </c>
      <c r="T34" s="64">
        <v>68.190600000000003</v>
      </c>
      <c r="U34" s="64">
        <v>157.03020000000001</v>
      </c>
      <c r="V34" s="64">
        <v>246.95760000000001</v>
      </c>
    </row>
    <row r="35" spans="1:22" ht="15" x14ac:dyDescent="0.25">
      <c r="A35" t="s">
        <v>27</v>
      </c>
      <c r="B35" s="95">
        <v>1.7748999999999999</v>
      </c>
      <c r="C35" s="64">
        <v>40.242600000000003</v>
      </c>
      <c r="D35" s="64">
        <v>1868.5159000000001</v>
      </c>
      <c r="E35" s="64">
        <v>61.147399999999998</v>
      </c>
      <c r="F35" s="64">
        <v>121.9843</v>
      </c>
      <c r="G35" s="64">
        <v>104.706</v>
      </c>
      <c r="H35" s="64">
        <v>65.8048</v>
      </c>
      <c r="I35" s="64">
        <v>88.019599999999997</v>
      </c>
      <c r="J35" s="64">
        <v>51.289400000000001</v>
      </c>
      <c r="K35" s="64">
        <v>58.514299999999999</v>
      </c>
      <c r="L35" s="64">
        <v>56.176099999999998</v>
      </c>
      <c r="M35" s="64">
        <v>82.434399999999997</v>
      </c>
      <c r="N35" s="64">
        <v>80.8733</v>
      </c>
      <c r="O35" s="64">
        <v>66.263900000000007</v>
      </c>
      <c r="P35" s="64">
        <v>50.3581</v>
      </c>
      <c r="Q35" s="64">
        <v>126.13849999999999</v>
      </c>
      <c r="R35" s="64">
        <v>94.086699999999993</v>
      </c>
      <c r="S35" s="64">
        <v>785.61300000000006</v>
      </c>
      <c r="T35" s="64">
        <v>27.953800000000001</v>
      </c>
      <c r="U35" s="64">
        <v>40.594099999999997</v>
      </c>
      <c r="V35" s="64">
        <v>88.504099999999994</v>
      </c>
    </row>
    <row r="36" spans="1:22" ht="15" x14ac:dyDescent="0.25">
      <c r="A36" t="s">
        <v>14</v>
      </c>
      <c r="B36" s="95">
        <v>2.1185999999999998</v>
      </c>
      <c r="C36" s="64">
        <v>26.2178</v>
      </c>
      <c r="D36" s="64">
        <v>67.890500000000003</v>
      </c>
      <c r="E36" s="64">
        <v>81.733400000000003</v>
      </c>
      <c r="F36" s="64">
        <v>65.105599999999995</v>
      </c>
      <c r="G36" s="64">
        <v>18.310700000000001</v>
      </c>
      <c r="H36" s="64">
        <v>116.8443</v>
      </c>
      <c r="I36" s="64">
        <v>52.180999999999997</v>
      </c>
      <c r="J36" s="64">
        <v>14.9312</v>
      </c>
      <c r="K36" s="64">
        <v>58.933700000000002</v>
      </c>
      <c r="L36" s="64">
        <v>60.978499999999997</v>
      </c>
      <c r="M36" s="64">
        <v>44.7592</v>
      </c>
      <c r="N36" s="64">
        <v>119.9884</v>
      </c>
      <c r="O36" s="64">
        <v>54.422899999999998</v>
      </c>
      <c r="P36" s="64">
        <v>39.663899999999998</v>
      </c>
      <c r="Q36" s="64">
        <v>55.052100000000003</v>
      </c>
      <c r="R36" s="64">
        <v>19.790199999999999</v>
      </c>
      <c r="S36" s="64">
        <v>171.30539999999999</v>
      </c>
      <c r="T36" s="64">
        <v>14.727399999999999</v>
      </c>
      <c r="U36" s="64">
        <v>37.404400000000003</v>
      </c>
      <c r="V36" s="64">
        <v>60.774900000000002</v>
      </c>
    </row>
    <row r="37" spans="1:22" ht="15" x14ac:dyDescent="0.25">
      <c r="A37" t="s">
        <v>52</v>
      </c>
      <c r="B37" s="95">
        <v>2.3065000000000002</v>
      </c>
      <c r="C37" s="64">
        <v>74.188299999999998</v>
      </c>
      <c r="D37" s="64">
        <v>1433.3206</v>
      </c>
      <c r="E37" s="64">
        <v>95.348200000000006</v>
      </c>
      <c r="F37" s="64">
        <v>225.9743</v>
      </c>
      <c r="G37" s="64">
        <v>77.648899999999998</v>
      </c>
      <c r="H37" s="64">
        <v>172.57419999999999</v>
      </c>
      <c r="I37" s="64">
        <v>88.517700000000005</v>
      </c>
      <c r="J37" s="64">
        <v>73.502499999999998</v>
      </c>
      <c r="K37" s="64">
        <v>78.255700000000004</v>
      </c>
      <c r="L37" s="64">
        <v>69.065200000000004</v>
      </c>
      <c r="M37" s="64">
        <v>142.19919999999999</v>
      </c>
      <c r="N37" s="64">
        <v>112.0761</v>
      </c>
      <c r="O37" s="64">
        <v>99.808700000000002</v>
      </c>
      <c r="P37" s="64">
        <v>69.254999999999995</v>
      </c>
      <c r="Q37" s="64">
        <v>81.4148</v>
      </c>
      <c r="R37" s="64">
        <v>114.8128</v>
      </c>
      <c r="S37" s="64">
        <v>975.91300000000001</v>
      </c>
      <c r="T37" s="64">
        <v>23.5899</v>
      </c>
      <c r="U37" s="64">
        <v>48.407499999999999</v>
      </c>
      <c r="V37" s="64">
        <v>75.805000000000007</v>
      </c>
    </row>
    <row r="38" spans="1:22" ht="15" x14ac:dyDescent="0.25">
      <c r="A38" t="s">
        <v>13</v>
      </c>
      <c r="B38" s="95">
        <v>2.0106000000000002</v>
      </c>
      <c r="C38" s="64">
        <v>17.4252</v>
      </c>
      <c r="D38" s="64">
        <v>24.891500000000001</v>
      </c>
      <c r="E38" s="64">
        <v>107.14239999999999</v>
      </c>
      <c r="F38" s="64">
        <v>26.8246</v>
      </c>
      <c r="G38" s="64">
        <v>21.800899999999999</v>
      </c>
      <c r="H38" s="64">
        <v>134.31</v>
      </c>
      <c r="I38" s="64">
        <v>56.894500000000001</v>
      </c>
      <c r="J38" s="64">
        <v>9.7729999999999997</v>
      </c>
      <c r="K38" s="64">
        <v>45.756900000000002</v>
      </c>
      <c r="L38" s="64">
        <v>78.506</v>
      </c>
      <c r="M38" s="64">
        <v>49.079099999999997</v>
      </c>
      <c r="N38" s="64">
        <v>136.3947</v>
      </c>
      <c r="O38" s="64">
        <v>14.3781</v>
      </c>
      <c r="P38" s="64">
        <v>28.598700000000001</v>
      </c>
      <c r="Q38" s="64">
        <v>30.887899999999998</v>
      </c>
      <c r="R38" s="64">
        <v>22.710799999999999</v>
      </c>
      <c r="S38" s="64">
        <v>102.20950000000001</v>
      </c>
      <c r="T38" s="64">
        <v>20.125399999999999</v>
      </c>
      <c r="U38" s="64">
        <v>38.447400000000002</v>
      </c>
      <c r="V38" s="64">
        <v>82.895799999999994</v>
      </c>
    </row>
    <row r="39" spans="1:22" ht="15" x14ac:dyDescent="0.25">
      <c r="A39" t="s">
        <v>25</v>
      </c>
      <c r="B39" s="95">
        <v>2.0709</v>
      </c>
      <c r="C39" s="64">
        <v>25.59</v>
      </c>
      <c r="D39" s="64">
        <v>944.98850000000004</v>
      </c>
      <c r="E39" s="64">
        <v>35.881999999999998</v>
      </c>
      <c r="F39" s="64">
        <v>110.50660000000001</v>
      </c>
      <c r="G39" s="64">
        <v>45.230200000000004</v>
      </c>
      <c r="H39" s="64">
        <v>29.768000000000001</v>
      </c>
      <c r="I39" s="64">
        <v>51.861400000000003</v>
      </c>
      <c r="J39" s="64">
        <v>21.898099999999999</v>
      </c>
      <c r="K39" s="64">
        <v>41.2074</v>
      </c>
      <c r="L39" s="64">
        <v>33.864899999999999</v>
      </c>
      <c r="M39" s="64">
        <v>62.870699999999999</v>
      </c>
      <c r="N39" s="64">
        <v>57.855499999999999</v>
      </c>
      <c r="O39" s="64">
        <v>47.174700000000001</v>
      </c>
      <c r="P39" s="64">
        <v>39.035800000000002</v>
      </c>
      <c r="Q39" s="64">
        <v>91.603499999999997</v>
      </c>
      <c r="R39" s="64">
        <v>23.177</v>
      </c>
      <c r="S39" s="64">
        <v>528.14970000000005</v>
      </c>
      <c r="T39" s="64">
        <v>17.181799999999999</v>
      </c>
      <c r="U39" s="64">
        <v>37.013100000000001</v>
      </c>
      <c r="V39" s="64">
        <v>43.994</v>
      </c>
    </row>
    <row r="40" spans="1:22" ht="15" x14ac:dyDescent="0.25">
      <c r="A40" t="s">
        <v>26</v>
      </c>
      <c r="B40" s="95">
        <v>2.0402</v>
      </c>
      <c r="C40" s="64">
        <v>541.36389999999994</v>
      </c>
      <c r="D40" s="64">
        <v>4962.6643000000004</v>
      </c>
      <c r="E40" s="64">
        <v>2650.8218999999999</v>
      </c>
      <c r="F40" s="64">
        <v>763.93949999999995</v>
      </c>
      <c r="G40" s="64">
        <v>2391.5520000000001</v>
      </c>
      <c r="H40" s="64">
        <v>2608.4135999999999</v>
      </c>
      <c r="I40" s="64">
        <v>1609.2681</v>
      </c>
      <c r="J40" s="64">
        <v>1198.3869</v>
      </c>
      <c r="K40" s="64">
        <v>904.30380000000002</v>
      </c>
      <c r="L40" s="64">
        <v>3444.9232999999999</v>
      </c>
      <c r="M40" s="64">
        <v>121.8904</v>
      </c>
      <c r="N40" s="64">
        <v>833.101</v>
      </c>
      <c r="O40" s="64">
        <v>557.25120000000004</v>
      </c>
      <c r="P40" s="64">
        <v>141.21960000000001</v>
      </c>
      <c r="Q40" s="64">
        <v>268.61500000000001</v>
      </c>
      <c r="R40" s="64">
        <v>1622.3597</v>
      </c>
      <c r="S40" s="64">
        <v>1283.6351</v>
      </c>
      <c r="T40" s="64">
        <v>716.8143</v>
      </c>
      <c r="U40" s="64">
        <v>500.57369999999997</v>
      </c>
      <c r="V40" s="64">
        <v>3248.8040999999998</v>
      </c>
    </row>
    <row r="41" spans="1:22" ht="15" x14ac:dyDescent="0.25">
      <c r="A41" t="s">
        <v>51</v>
      </c>
      <c r="B41" s="95">
        <v>2.3269000000000002</v>
      </c>
      <c r="C41" s="64">
        <v>391.32429999999999</v>
      </c>
      <c r="D41" s="64">
        <v>1715.9512999999999</v>
      </c>
      <c r="E41" s="64">
        <v>1248.3770999999999</v>
      </c>
      <c r="F41" s="64">
        <v>299.94040000000001</v>
      </c>
      <c r="G41" s="64">
        <v>679.32330000000002</v>
      </c>
      <c r="H41" s="64">
        <v>2226.42</v>
      </c>
      <c r="I41" s="64">
        <v>455.23160000000001</v>
      </c>
      <c r="J41" s="64">
        <v>672.36519999999996</v>
      </c>
      <c r="K41" s="64">
        <v>309.9298</v>
      </c>
      <c r="L41" s="64">
        <v>1139.6881000000001</v>
      </c>
      <c r="M41" s="64">
        <v>99.331100000000006</v>
      </c>
      <c r="N41" s="64">
        <v>203.84469999999999</v>
      </c>
      <c r="O41" s="64">
        <v>255.2029</v>
      </c>
      <c r="P41" s="64">
        <v>46.1937</v>
      </c>
      <c r="Q41" s="64">
        <v>50.571300000000001</v>
      </c>
      <c r="R41" s="64">
        <v>580.08349999999996</v>
      </c>
      <c r="S41" s="64">
        <v>819.82460000000003</v>
      </c>
      <c r="T41" s="64">
        <v>128.80029999999999</v>
      </c>
      <c r="U41" s="64">
        <v>80.989900000000006</v>
      </c>
      <c r="V41" s="64">
        <v>610.92240000000004</v>
      </c>
    </row>
    <row r="42" spans="1:22" ht="15" x14ac:dyDescent="0.25">
      <c r="A42" t="s">
        <v>24</v>
      </c>
      <c r="B42" s="95">
        <v>2.1920999999999999</v>
      </c>
      <c r="C42" s="64">
        <v>916.26089999999999</v>
      </c>
      <c r="D42" s="64">
        <v>10787.5249</v>
      </c>
      <c r="E42" s="64">
        <v>610.63409999999999</v>
      </c>
      <c r="F42" s="64">
        <v>2511.2310000000002</v>
      </c>
      <c r="G42" s="64">
        <v>584.32069999999999</v>
      </c>
      <c r="H42" s="64">
        <v>104.3587</v>
      </c>
      <c r="I42" s="64">
        <v>1471.2464</v>
      </c>
      <c r="J42" s="64">
        <v>400.41640000000001</v>
      </c>
      <c r="K42" s="64">
        <v>1492.6112000000001</v>
      </c>
      <c r="L42" s="64">
        <v>372.95150000000001</v>
      </c>
      <c r="M42" s="64">
        <v>740.20010000000002</v>
      </c>
      <c r="N42" s="64">
        <v>2795.5886</v>
      </c>
      <c r="O42" s="64">
        <v>1344.4354000000001</v>
      </c>
      <c r="P42" s="64">
        <v>441.67189999999999</v>
      </c>
      <c r="Q42" s="64">
        <v>2329.7919000000002</v>
      </c>
      <c r="R42" s="64">
        <v>106.5016</v>
      </c>
      <c r="S42" s="64">
        <v>9556.8302999999996</v>
      </c>
      <c r="T42" s="64">
        <v>239.23589999999999</v>
      </c>
      <c r="U42" s="64">
        <v>1211.8483000000001</v>
      </c>
      <c r="V42" s="64">
        <v>563.94910000000004</v>
      </c>
    </row>
    <row r="43" spans="1:22" ht="15" x14ac:dyDescent="0.25">
      <c r="A43" t="s">
        <v>23</v>
      </c>
      <c r="B43" s="95"/>
      <c r="C43" s="64"/>
      <c r="D43" s="64"/>
      <c r="E43" s="64"/>
    </row>
    <row r="44" spans="1:22" ht="15" x14ac:dyDescent="0.25">
      <c r="A44" t="s">
        <v>28</v>
      </c>
      <c r="B44" s="95"/>
      <c r="C44" s="64"/>
      <c r="D44" s="64"/>
      <c r="E44" s="64"/>
    </row>
    <row r="45" spans="1:22" ht="15" x14ac:dyDescent="0.25">
      <c r="A45" t="s">
        <v>20</v>
      </c>
      <c r="B45" s="95"/>
      <c r="C45" s="64"/>
      <c r="D45" s="64"/>
      <c r="E45" s="64"/>
    </row>
    <row r="46" spans="1:22" ht="15" x14ac:dyDescent="0.25">
      <c r="A46" t="s">
        <v>22</v>
      </c>
      <c r="B46" s="95"/>
      <c r="C46" s="64"/>
      <c r="D46" s="64"/>
      <c r="E46" s="64"/>
    </row>
    <row r="47" spans="1:22" ht="15" x14ac:dyDescent="0.25">
      <c r="A47" t="s">
        <v>21</v>
      </c>
      <c r="B47" s="95"/>
      <c r="C47" s="64"/>
      <c r="D47" s="64"/>
      <c r="E47" s="64"/>
    </row>
    <row r="48" spans="1:22" ht="15" x14ac:dyDescent="0.25">
      <c r="A48" t="s">
        <v>56</v>
      </c>
      <c r="B48" s="95"/>
      <c r="D48" s="64"/>
      <c r="E48" s="64"/>
      <c r="F48" s="67"/>
      <c r="H48" s="67"/>
    </row>
    <row r="49" spans="1:22" ht="15.75" thickBot="1" x14ac:dyDescent="0.3">
      <c r="A49" t="s">
        <v>53</v>
      </c>
      <c r="B49" s="97">
        <v>2.2109000000000001</v>
      </c>
      <c r="C49" s="64">
        <v>16.0563</v>
      </c>
      <c r="D49" s="64">
        <v>448.16989999999998</v>
      </c>
      <c r="E49" s="64">
        <v>10.328099999999999</v>
      </c>
      <c r="F49" s="64">
        <v>61.532800000000002</v>
      </c>
      <c r="G49" s="64">
        <v>12.8612</v>
      </c>
      <c r="H49" s="64">
        <v>8.3855000000000004</v>
      </c>
      <c r="I49" s="64">
        <v>24.1157</v>
      </c>
      <c r="J49" s="64">
        <v>6.8727</v>
      </c>
      <c r="K49" s="64">
        <v>16.808299999999999</v>
      </c>
      <c r="L49" s="64">
        <v>4.6825999999999999</v>
      </c>
      <c r="M49" s="64">
        <v>45.339100000000002</v>
      </c>
      <c r="N49" s="64">
        <v>31.767900000000001</v>
      </c>
      <c r="O49" s="64">
        <v>31.0657</v>
      </c>
      <c r="P49" s="64">
        <v>22.874400000000001</v>
      </c>
      <c r="Q49" s="64">
        <v>29.2118</v>
      </c>
      <c r="R49" s="64">
        <v>5.3357000000000001</v>
      </c>
      <c r="S49" s="64">
        <v>311.93639999999999</v>
      </c>
      <c r="T49" s="64">
        <v>4.5991999999999997</v>
      </c>
      <c r="U49" s="64">
        <v>11.4177</v>
      </c>
      <c r="V49" s="64">
        <v>7.6436999999999999</v>
      </c>
    </row>
    <row r="50" spans="1:22" ht="13.5" thickBot="1" x14ac:dyDescent="0.25">
      <c r="C50" s="65"/>
      <c r="D50" s="65"/>
      <c r="E50" s="65"/>
    </row>
    <row r="51" spans="1:22" ht="15" customHeight="1" x14ac:dyDescent="0.2">
      <c r="A51" s="101" t="s">
        <v>72</v>
      </c>
      <c r="B51" s="101" t="s">
        <v>73</v>
      </c>
      <c r="C51" s="74">
        <v>20</v>
      </c>
      <c r="D51" s="74">
        <v>20</v>
      </c>
      <c r="E51" s="74">
        <v>20</v>
      </c>
      <c r="F51" s="74">
        <v>20</v>
      </c>
      <c r="G51" s="74">
        <v>20</v>
      </c>
      <c r="H51" s="74">
        <v>20</v>
      </c>
      <c r="I51" s="74">
        <v>20</v>
      </c>
      <c r="J51" s="74">
        <v>20</v>
      </c>
      <c r="K51" s="74">
        <v>20</v>
      </c>
      <c r="L51" s="74">
        <v>20</v>
      </c>
      <c r="M51" s="74">
        <v>20</v>
      </c>
      <c r="N51" s="74">
        <v>20</v>
      </c>
      <c r="O51" s="74">
        <v>20</v>
      </c>
      <c r="P51" s="74">
        <v>20</v>
      </c>
      <c r="Q51" s="74">
        <v>20</v>
      </c>
      <c r="R51" s="74">
        <v>20</v>
      </c>
      <c r="S51" s="74">
        <v>20</v>
      </c>
      <c r="T51" s="74">
        <v>20</v>
      </c>
      <c r="U51" s="74">
        <v>20</v>
      </c>
      <c r="V51" s="74">
        <v>20</v>
      </c>
    </row>
    <row r="52" spans="1:22" ht="18" customHeight="1" thickBot="1" x14ac:dyDescent="0.25">
      <c r="A52" s="102" t="s">
        <v>74</v>
      </c>
      <c r="B52" s="104" t="s">
        <v>73</v>
      </c>
      <c r="C52" s="75">
        <v>120</v>
      </c>
      <c r="D52" s="75">
        <v>120</v>
      </c>
      <c r="E52" s="75">
        <v>120</v>
      </c>
      <c r="F52" s="75">
        <v>120</v>
      </c>
      <c r="G52" s="75">
        <v>120</v>
      </c>
      <c r="H52" s="75">
        <v>120</v>
      </c>
      <c r="I52" s="75">
        <v>120</v>
      </c>
      <c r="J52" s="75">
        <v>120</v>
      </c>
      <c r="K52" s="75">
        <v>120</v>
      </c>
      <c r="L52" s="75">
        <v>120</v>
      </c>
      <c r="M52" s="75">
        <v>120</v>
      </c>
      <c r="N52" s="75">
        <v>120</v>
      </c>
      <c r="O52" s="75">
        <v>120</v>
      </c>
      <c r="P52" s="75">
        <v>120</v>
      </c>
      <c r="Q52" s="75">
        <v>120</v>
      </c>
      <c r="R52" s="75">
        <v>120</v>
      </c>
      <c r="S52" s="75">
        <v>120</v>
      </c>
      <c r="T52" s="75">
        <v>120</v>
      </c>
      <c r="U52" s="75">
        <v>120</v>
      </c>
      <c r="V52" s="75">
        <v>120</v>
      </c>
    </row>
    <row r="53" spans="1:22" x14ac:dyDescent="0.2">
      <c r="A53" s="71"/>
      <c r="B53" s="99"/>
    </row>
    <row r="54" spans="1:22" x14ac:dyDescent="0.2">
      <c r="A54" s="69" t="str">
        <f t="shared" ref="A54:A85" si="0">A2</f>
        <v>6kPGF1a</v>
      </c>
      <c r="B54" s="66"/>
      <c r="C54" s="66" t="str">
        <f t="shared" ref="C54:C63" si="1">IF(C2=0,"ND",IF(C2&lt;$B2,"&lt;LLOQ",(C2*C$51)/C$52))</f>
        <v>ND</v>
      </c>
      <c r="D54" s="66" t="str">
        <f t="shared" ref="D54:V54" si="2">IF(D2=0,"ND",IF(D2&lt;$B2,"&lt;LLOQ",(D2*D$51)/D$52))</f>
        <v>ND</v>
      </c>
      <c r="E54" s="66" t="str">
        <f t="shared" si="2"/>
        <v>ND</v>
      </c>
      <c r="F54" s="66" t="str">
        <f t="shared" si="2"/>
        <v>ND</v>
      </c>
      <c r="G54" s="66" t="str">
        <f t="shared" si="2"/>
        <v>ND</v>
      </c>
      <c r="H54" s="66" t="str">
        <f t="shared" si="2"/>
        <v>ND</v>
      </c>
      <c r="I54" s="66" t="str">
        <f t="shared" si="2"/>
        <v>ND</v>
      </c>
      <c r="J54" s="66" t="str">
        <f t="shared" si="2"/>
        <v>ND</v>
      </c>
      <c r="K54" s="66" t="str">
        <f t="shared" si="2"/>
        <v>ND</v>
      </c>
      <c r="L54" s="66" t="str">
        <f t="shared" si="2"/>
        <v>ND</v>
      </c>
      <c r="M54" s="66" t="str">
        <f t="shared" si="2"/>
        <v>ND</v>
      </c>
      <c r="N54" s="66" t="str">
        <f t="shared" si="2"/>
        <v>ND</v>
      </c>
      <c r="O54" s="66" t="str">
        <f t="shared" si="2"/>
        <v>ND</v>
      </c>
      <c r="P54" s="66" t="str">
        <f t="shared" si="2"/>
        <v>ND</v>
      </c>
      <c r="Q54" s="66" t="str">
        <f t="shared" si="2"/>
        <v>ND</v>
      </c>
      <c r="R54" s="66" t="str">
        <f t="shared" si="2"/>
        <v>ND</v>
      </c>
      <c r="S54" s="66" t="str">
        <f t="shared" si="2"/>
        <v>ND</v>
      </c>
      <c r="T54" s="66" t="str">
        <f t="shared" si="2"/>
        <v>ND</v>
      </c>
      <c r="U54" s="66" t="str">
        <f t="shared" si="2"/>
        <v>ND</v>
      </c>
      <c r="V54" s="66" t="str">
        <f t="shared" si="2"/>
        <v>ND</v>
      </c>
    </row>
    <row r="55" spans="1:22" x14ac:dyDescent="0.2">
      <c r="A55" s="69" t="str">
        <f t="shared" si="0"/>
        <v>RvE1</v>
      </c>
      <c r="B55" s="66"/>
      <c r="C55" s="66" t="str">
        <f t="shared" si="1"/>
        <v>ND</v>
      </c>
      <c r="D55" s="66" t="str">
        <f t="shared" ref="D55:V55" si="3">IF(D3=0,"ND",IF(D3&lt;$B3,"&lt;LLOQ",(D3*D$51)/D$52))</f>
        <v>ND</v>
      </c>
      <c r="E55" s="66" t="str">
        <f t="shared" si="3"/>
        <v>ND</v>
      </c>
      <c r="F55" s="66" t="str">
        <f t="shared" si="3"/>
        <v>ND</v>
      </c>
      <c r="G55" s="66" t="str">
        <f t="shared" si="3"/>
        <v>ND</v>
      </c>
      <c r="H55" s="66" t="str">
        <f t="shared" si="3"/>
        <v>ND</v>
      </c>
      <c r="I55" s="66" t="str">
        <f t="shared" si="3"/>
        <v>ND</v>
      </c>
      <c r="J55" s="66" t="str">
        <f t="shared" si="3"/>
        <v>ND</v>
      </c>
      <c r="K55" s="66" t="str">
        <f t="shared" si="3"/>
        <v>ND</v>
      </c>
      <c r="L55" s="66" t="str">
        <f t="shared" si="3"/>
        <v>ND</v>
      </c>
      <c r="M55" s="66" t="str">
        <f t="shared" si="3"/>
        <v>ND</v>
      </c>
      <c r="N55" s="66" t="str">
        <f t="shared" si="3"/>
        <v>ND</v>
      </c>
      <c r="O55" s="66" t="str">
        <f t="shared" si="3"/>
        <v>ND</v>
      </c>
      <c r="P55" s="66" t="str">
        <f t="shared" si="3"/>
        <v>ND</v>
      </c>
      <c r="Q55" s="66" t="str">
        <f t="shared" si="3"/>
        <v>ND</v>
      </c>
      <c r="R55" s="66" t="str">
        <f t="shared" si="3"/>
        <v>ND</v>
      </c>
      <c r="S55" s="66" t="str">
        <f t="shared" si="3"/>
        <v>ND</v>
      </c>
      <c r="T55" s="66" t="str">
        <f t="shared" si="3"/>
        <v>ND</v>
      </c>
      <c r="U55" s="66" t="str">
        <f t="shared" si="3"/>
        <v>ND</v>
      </c>
      <c r="V55" s="66" t="str">
        <f t="shared" si="3"/>
        <v>ND</v>
      </c>
    </row>
    <row r="56" spans="1:22" x14ac:dyDescent="0.2">
      <c r="A56" s="69" t="str">
        <f t="shared" si="0"/>
        <v>11B-PGF2a</v>
      </c>
      <c r="B56" s="66"/>
      <c r="C56" s="66" t="str">
        <f t="shared" si="1"/>
        <v>ND</v>
      </c>
      <c r="D56" s="66" t="str">
        <f t="shared" ref="D56:V56" si="4">IF(D4=0,"ND",IF(D4&lt;$B4,"&lt;LLOQ",(D4*D$51)/D$52))</f>
        <v>ND</v>
      </c>
      <c r="E56" s="66" t="str">
        <f t="shared" si="4"/>
        <v>ND</v>
      </c>
      <c r="F56" s="66" t="str">
        <f t="shared" si="4"/>
        <v>ND</v>
      </c>
      <c r="G56" s="66" t="str">
        <f t="shared" si="4"/>
        <v>ND</v>
      </c>
      <c r="H56" s="66" t="str">
        <f t="shared" si="4"/>
        <v>ND</v>
      </c>
      <c r="I56" s="66" t="str">
        <f t="shared" si="4"/>
        <v>ND</v>
      </c>
      <c r="J56" s="66" t="str">
        <f t="shared" si="4"/>
        <v>ND</v>
      </c>
      <c r="K56" s="66" t="str">
        <f t="shared" si="4"/>
        <v>ND</v>
      </c>
      <c r="L56" s="66" t="str">
        <f t="shared" si="4"/>
        <v>ND</v>
      </c>
      <c r="M56" s="66" t="str">
        <f t="shared" si="4"/>
        <v>ND</v>
      </c>
      <c r="N56" s="66" t="str">
        <f t="shared" si="4"/>
        <v>ND</v>
      </c>
      <c r="O56" s="66" t="str">
        <f t="shared" si="4"/>
        <v>ND</v>
      </c>
      <c r="P56" s="66" t="str">
        <f t="shared" si="4"/>
        <v>ND</v>
      </c>
      <c r="Q56" s="66" t="str">
        <f t="shared" si="4"/>
        <v>ND</v>
      </c>
      <c r="R56" s="66" t="str">
        <f t="shared" si="4"/>
        <v>ND</v>
      </c>
      <c r="S56" s="66" t="str">
        <f t="shared" si="4"/>
        <v>ND</v>
      </c>
      <c r="T56" s="66" t="str">
        <f t="shared" si="4"/>
        <v>ND</v>
      </c>
      <c r="U56" s="66" t="str">
        <f t="shared" si="4"/>
        <v>ND</v>
      </c>
      <c r="V56" s="66" t="str">
        <f t="shared" si="4"/>
        <v>ND</v>
      </c>
    </row>
    <row r="57" spans="1:22" x14ac:dyDescent="0.2">
      <c r="A57" s="69" t="str">
        <f t="shared" si="0"/>
        <v>PGE3</v>
      </c>
      <c r="B57" s="66"/>
      <c r="C57" s="66" t="str">
        <f t="shared" si="1"/>
        <v>ND</v>
      </c>
      <c r="D57" s="66" t="str">
        <f t="shared" ref="D57:V57" si="5">IF(D5=0,"ND",IF(D5&lt;$B5,"&lt;LLOQ",(D5*D$51)/D$52))</f>
        <v>ND</v>
      </c>
      <c r="E57" s="66" t="str">
        <f t="shared" si="5"/>
        <v>ND</v>
      </c>
      <c r="F57" s="66" t="str">
        <f t="shared" si="5"/>
        <v>ND</v>
      </c>
      <c r="G57" s="66" t="str">
        <f t="shared" si="5"/>
        <v>ND</v>
      </c>
      <c r="H57" s="66" t="str">
        <f t="shared" si="5"/>
        <v>ND</v>
      </c>
      <c r="I57" s="66" t="str">
        <f t="shared" si="5"/>
        <v>ND</v>
      </c>
      <c r="J57" s="66" t="str">
        <f t="shared" si="5"/>
        <v>ND</v>
      </c>
      <c r="K57" s="66" t="str">
        <f t="shared" si="5"/>
        <v>ND</v>
      </c>
      <c r="L57" s="66" t="str">
        <f t="shared" si="5"/>
        <v>ND</v>
      </c>
      <c r="M57" s="66" t="str">
        <f t="shared" si="5"/>
        <v>ND</v>
      </c>
      <c r="N57" s="66" t="str">
        <f t="shared" si="5"/>
        <v>ND</v>
      </c>
      <c r="O57" s="66" t="str">
        <f t="shared" si="5"/>
        <v>ND</v>
      </c>
      <c r="P57" s="66" t="str">
        <f t="shared" si="5"/>
        <v>ND</v>
      </c>
      <c r="Q57" s="66" t="str">
        <f t="shared" si="5"/>
        <v>ND</v>
      </c>
      <c r="R57" s="66" t="str">
        <f t="shared" si="5"/>
        <v>ND</v>
      </c>
      <c r="S57" s="66" t="str">
        <f t="shared" si="5"/>
        <v>ND</v>
      </c>
      <c r="T57" s="66" t="str">
        <f t="shared" si="5"/>
        <v>ND</v>
      </c>
      <c r="U57" s="66" t="str">
        <f t="shared" si="5"/>
        <v>ND</v>
      </c>
      <c r="V57" s="66" t="str">
        <f t="shared" si="5"/>
        <v>ND</v>
      </c>
    </row>
    <row r="58" spans="1:22" x14ac:dyDescent="0.2">
      <c r="A58" s="69" t="str">
        <f t="shared" si="0"/>
        <v>PGE2</v>
      </c>
      <c r="B58" s="66"/>
      <c r="C58" s="66" t="str">
        <f t="shared" si="1"/>
        <v>ND</v>
      </c>
      <c r="D58" s="66" t="str">
        <f t="shared" ref="D58:V58" si="6">IF(D6=0,"ND",IF(D6&lt;$B6,"&lt;LLOQ",(D6*D$51)/D$52))</f>
        <v>ND</v>
      </c>
      <c r="E58" s="66" t="str">
        <f t="shared" si="6"/>
        <v>ND</v>
      </c>
      <c r="F58" s="66" t="str">
        <f t="shared" si="6"/>
        <v>ND</v>
      </c>
      <c r="G58" s="66" t="str">
        <f t="shared" si="6"/>
        <v>ND</v>
      </c>
      <c r="H58" s="66" t="str">
        <f t="shared" si="6"/>
        <v>ND</v>
      </c>
      <c r="I58" s="66" t="str">
        <f t="shared" si="6"/>
        <v>ND</v>
      </c>
      <c r="J58" s="66" t="str">
        <f t="shared" si="6"/>
        <v>ND</v>
      </c>
      <c r="K58" s="66" t="str">
        <f t="shared" si="6"/>
        <v>ND</v>
      </c>
      <c r="L58" s="66" t="str">
        <f t="shared" si="6"/>
        <v>ND</v>
      </c>
      <c r="M58" s="66" t="str">
        <f t="shared" si="6"/>
        <v>ND</v>
      </c>
      <c r="N58" s="66" t="str">
        <f t="shared" si="6"/>
        <v>ND</v>
      </c>
      <c r="O58" s="66" t="str">
        <f t="shared" si="6"/>
        <v>ND</v>
      </c>
      <c r="P58" s="66" t="str">
        <f t="shared" si="6"/>
        <v>ND</v>
      </c>
      <c r="Q58" s="66" t="str">
        <f t="shared" si="6"/>
        <v>ND</v>
      </c>
      <c r="R58" s="66" t="str">
        <f t="shared" si="6"/>
        <v>ND</v>
      </c>
      <c r="S58" s="66" t="str">
        <f t="shared" si="6"/>
        <v>ND</v>
      </c>
      <c r="T58" s="66" t="str">
        <f t="shared" si="6"/>
        <v>ND</v>
      </c>
      <c r="U58" s="66" t="str">
        <f t="shared" si="6"/>
        <v>ND</v>
      </c>
      <c r="V58" s="66" t="str">
        <f t="shared" si="6"/>
        <v>ND</v>
      </c>
    </row>
    <row r="59" spans="1:22" x14ac:dyDescent="0.2">
      <c r="A59" s="69" t="str">
        <f t="shared" si="0"/>
        <v>TXB2</v>
      </c>
      <c r="B59" s="66"/>
      <c r="C59" s="66">
        <f t="shared" si="1"/>
        <v>1.4546833333333331</v>
      </c>
      <c r="D59" s="66">
        <f t="shared" ref="D59:V59" si="7">IF(D7=0,"ND",IF(D7&lt;$B7,"&lt;LLOQ",(D7*D$51)/D$52))</f>
        <v>4.754083333333333</v>
      </c>
      <c r="E59" s="66">
        <f t="shared" si="7"/>
        <v>7.1268666666666673</v>
      </c>
      <c r="F59" s="66">
        <f t="shared" si="7"/>
        <v>5.8720500000000007</v>
      </c>
      <c r="G59" s="66">
        <f t="shared" si="7"/>
        <v>7.316183333333333</v>
      </c>
      <c r="H59" s="66">
        <f t="shared" si="7"/>
        <v>2.6085333333333334</v>
      </c>
      <c r="I59" s="66">
        <f t="shared" si="7"/>
        <v>9.5049666666666663</v>
      </c>
      <c r="J59" s="66">
        <f t="shared" si="7"/>
        <v>6.9988000000000001</v>
      </c>
      <c r="K59" s="66">
        <f t="shared" si="7"/>
        <v>3.3536333333333337</v>
      </c>
      <c r="L59" s="66">
        <f t="shared" si="7"/>
        <v>3.7062499999999998</v>
      </c>
      <c r="M59" s="66">
        <f t="shared" si="7"/>
        <v>0.3122166666666667</v>
      </c>
      <c r="N59" s="66">
        <f t="shared" si="7"/>
        <v>5.9308999999999994</v>
      </c>
      <c r="O59" s="66">
        <f t="shared" si="7"/>
        <v>3.2937500000000002</v>
      </c>
      <c r="P59" s="66">
        <f t="shared" si="7"/>
        <v>0.8659</v>
      </c>
      <c r="Q59" s="66">
        <f t="shared" si="7"/>
        <v>1.4680166666666665</v>
      </c>
      <c r="R59" s="66">
        <f t="shared" si="7"/>
        <v>2.5698500000000002</v>
      </c>
      <c r="S59" s="66">
        <f t="shared" si="7"/>
        <v>1.2476666666666667</v>
      </c>
      <c r="T59" s="66">
        <f t="shared" si="7"/>
        <v>5.6015499999999996</v>
      </c>
      <c r="U59" s="66">
        <f t="shared" si="7"/>
        <v>2.1373166666666665</v>
      </c>
      <c r="V59" s="66">
        <f t="shared" si="7"/>
        <v>26.279250000000001</v>
      </c>
    </row>
    <row r="60" spans="1:22" x14ac:dyDescent="0.2">
      <c r="A60" s="69" t="str">
        <f t="shared" si="0"/>
        <v>10-TriHOME</v>
      </c>
      <c r="B60" s="66"/>
      <c r="C60" s="66" t="str">
        <f t="shared" si="1"/>
        <v>&lt;LLOQ</v>
      </c>
      <c r="D60" s="66">
        <f t="shared" ref="D60:V60" si="8">IF(D8=0,"ND",IF(D8&lt;$B8,"&lt;LLOQ",(D8*D$51)/D$52))</f>
        <v>1.2632833333333333</v>
      </c>
      <c r="E60" s="66">
        <f t="shared" si="8"/>
        <v>1.2545499999999998</v>
      </c>
      <c r="F60" s="66" t="str">
        <f t="shared" si="8"/>
        <v>&lt;LLOQ</v>
      </c>
      <c r="G60" s="66" t="str">
        <f t="shared" si="8"/>
        <v>&lt;LLOQ</v>
      </c>
      <c r="H60" s="66">
        <f t="shared" si="8"/>
        <v>1.8998333333333333</v>
      </c>
      <c r="I60" s="66">
        <f t="shared" si="8"/>
        <v>0.81541666666666657</v>
      </c>
      <c r="J60" s="66" t="str">
        <f t="shared" si="8"/>
        <v>&lt;LLOQ</v>
      </c>
      <c r="K60" s="66">
        <f t="shared" si="8"/>
        <v>1.3344833333333335</v>
      </c>
      <c r="L60" s="66" t="str">
        <f t="shared" si="8"/>
        <v>&lt;LLOQ</v>
      </c>
      <c r="M60" s="66">
        <f t="shared" si="8"/>
        <v>0.82629999999999992</v>
      </c>
      <c r="N60" s="66">
        <f t="shared" si="8"/>
        <v>2.1960333333333333</v>
      </c>
      <c r="O60" s="66" t="str">
        <f t="shared" si="8"/>
        <v>&lt;LLOQ</v>
      </c>
      <c r="P60" s="66" t="str">
        <f t="shared" si="8"/>
        <v>&lt;LLOQ</v>
      </c>
      <c r="Q60" s="66" t="str">
        <f t="shared" si="8"/>
        <v>&lt;LLOQ</v>
      </c>
      <c r="R60" s="66" t="str">
        <f t="shared" si="8"/>
        <v>&lt;LLOQ</v>
      </c>
      <c r="S60" s="66">
        <f t="shared" si="8"/>
        <v>2.8330333333333333</v>
      </c>
      <c r="T60" s="66" t="str">
        <f t="shared" si="8"/>
        <v>&lt;LLOQ</v>
      </c>
      <c r="U60" s="66" t="str">
        <f t="shared" si="8"/>
        <v>&lt;LLOQ</v>
      </c>
      <c r="V60" s="66">
        <f t="shared" si="8"/>
        <v>1.4785499999999998</v>
      </c>
    </row>
    <row r="61" spans="1:22" x14ac:dyDescent="0.2">
      <c r="A61" s="69" t="str">
        <f t="shared" si="0"/>
        <v>12-TriHOME</v>
      </c>
      <c r="B61" s="66"/>
      <c r="C61" s="66">
        <f t="shared" si="1"/>
        <v>0.90468333333333328</v>
      </c>
      <c r="D61" s="66">
        <f t="shared" ref="D61:V61" si="9">IF(D9=0,"ND",IF(D9&lt;$B9,"&lt;LLOQ",(D9*D$51)/D$52))</f>
        <v>4.7705666666666664</v>
      </c>
      <c r="E61" s="66">
        <f t="shared" si="9"/>
        <v>3.7612666666666663</v>
      </c>
      <c r="F61" s="66">
        <f t="shared" si="9"/>
        <v>0.59415000000000007</v>
      </c>
      <c r="G61" s="66">
        <f t="shared" si="9"/>
        <v>1.6397666666666666</v>
      </c>
      <c r="H61" s="66">
        <f t="shared" si="9"/>
        <v>9.02745</v>
      </c>
      <c r="I61" s="66">
        <f t="shared" si="9"/>
        <v>2.0149666666666666</v>
      </c>
      <c r="J61" s="66">
        <f t="shared" si="9"/>
        <v>1.1283000000000001</v>
      </c>
      <c r="K61" s="66">
        <f t="shared" si="9"/>
        <v>2.4625666666666666</v>
      </c>
      <c r="L61" s="66">
        <f t="shared" si="9"/>
        <v>1.3586499999999999</v>
      </c>
      <c r="M61" s="66">
        <f t="shared" si="9"/>
        <v>3.4329333333333332</v>
      </c>
      <c r="N61" s="66">
        <f t="shared" si="9"/>
        <v>5.9598166666666659</v>
      </c>
      <c r="O61" s="66">
        <f t="shared" si="9"/>
        <v>1.0163666666666666</v>
      </c>
      <c r="P61" s="66">
        <f t="shared" si="9"/>
        <v>2.0729666666666664</v>
      </c>
      <c r="Q61" s="66">
        <f t="shared" si="9"/>
        <v>2.8686833333333328</v>
      </c>
      <c r="R61" s="66">
        <f t="shared" si="9"/>
        <v>2.9948166666666669</v>
      </c>
      <c r="S61" s="66">
        <f t="shared" si="9"/>
        <v>8.3176000000000005</v>
      </c>
      <c r="T61" s="66">
        <f t="shared" si="9"/>
        <v>0.76318333333333344</v>
      </c>
      <c r="U61" s="66">
        <f t="shared" si="9"/>
        <v>0.90615000000000001</v>
      </c>
      <c r="V61" s="66">
        <f t="shared" si="9"/>
        <v>4.3740333333333332</v>
      </c>
    </row>
    <row r="62" spans="1:22" x14ac:dyDescent="0.2">
      <c r="A62" s="69" t="str">
        <f t="shared" si="0"/>
        <v>PGF2a</v>
      </c>
      <c r="B62" s="66"/>
      <c r="C62" s="66" t="str">
        <f t="shared" si="1"/>
        <v>ND</v>
      </c>
      <c r="D62" s="66" t="str">
        <f t="shared" ref="D62:V62" si="10">IF(D10=0,"ND",IF(D10&lt;$B10,"&lt;LLOQ",(D10*D$51)/D$52))</f>
        <v>ND</v>
      </c>
      <c r="E62" s="66">
        <f t="shared" si="10"/>
        <v>4.9090833333333332</v>
      </c>
      <c r="F62" s="66" t="str">
        <f t="shared" si="10"/>
        <v>ND</v>
      </c>
      <c r="G62" s="66">
        <f t="shared" si="10"/>
        <v>9.4434500000000003</v>
      </c>
      <c r="H62" s="66">
        <f t="shared" si="10"/>
        <v>1.5201166666666666</v>
      </c>
      <c r="I62" s="66">
        <f t="shared" si="10"/>
        <v>4.2133500000000002</v>
      </c>
      <c r="J62" s="66" t="str">
        <f t="shared" si="10"/>
        <v>ND</v>
      </c>
      <c r="K62" s="66" t="str">
        <f t="shared" si="10"/>
        <v>ND</v>
      </c>
      <c r="L62" s="66">
        <f t="shared" si="10"/>
        <v>1.9153333333333336</v>
      </c>
      <c r="M62" s="66" t="str">
        <f t="shared" si="10"/>
        <v>ND</v>
      </c>
      <c r="N62" s="66" t="str">
        <f t="shared" si="10"/>
        <v>ND</v>
      </c>
      <c r="O62" s="66" t="str">
        <f t="shared" si="10"/>
        <v>ND</v>
      </c>
      <c r="P62" s="66" t="str">
        <f t="shared" si="10"/>
        <v>ND</v>
      </c>
      <c r="Q62" s="66" t="str">
        <f t="shared" si="10"/>
        <v>ND</v>
      </c>
      <c r="R62" s="66">
        <f t="shared" si="10"/>
        <v>5.7411166666666666</v>
      </c>
      <c r="S62" s="66" t="str">
        <f t="shared" si="10"/>
        <v>ND</v>
      </c>
      <c r="T62" s="66">
        <f t="shared" si="10"/>
        <v>2.6660166666666667</v>
      </c>
      <c r="U62" s="66" t="str">
        <f t="shared" si="10"/>
        <v>ND</v>
      </c>
      <c r="V62" s="66">
        <f t="shared" si="10"/>
        <v>15.30955</v>
      </c>
    </row>
    <row r="63" spans="1:22" x14ac:dyDescent="0.2">
      <c r="A63" s="69" t="str">
        <f t="shared" si="0"/>
        <v>LXB4</v>
      </c>
      <c r="B63" s="66"/>
      <c r="C63" s="66" t="str">
        <f t="shared" si="1"/>
        <v>ND</v>
      </c>
      <c r="D63" s="66" t="str">
        <f t="shared" ref="D63:V63" si="11">IF(D11=0,"ND",IF(D11&lt;$B11,"&lt;LLOQ",(D11*D$51)/D$52))</f>
        <v>ND</v>
      </c>
      <c r="E63" s="66" t="str">
        <f t="shared" si="11"/>
        <v>ND</v>
      </c>
      <c r="F63" s="66" t="str">
        <f t="shared" si="11"/>
        <v>ND</v>
      </c>
      <c r="G63" s="66" t="str">
        <f t="shared" si="11"/>
        <v>ND</v>
      </c>
      <c r="H63" s="66" t="str">
        <f t="shared" si="11"/>
        <v>ND</v>
      </c>
      <c r="I63" s="66" t="str">
        <f t="shared" si="11"/>
        <v>ND</v>
      </c>
      <c r="J63" s="66" t="str">
        <f t="shared" si="11"/>
        <v>ND</v>
      </c>
      <c r="K63" s="66" t="str">
        <f t="shared" si="11"/>
        <v>ND</v>
      </c>
      <c r="L63" s="66" t="str">
        <f t="shared" si="11"/>
        <v>ND</v>
      </c>
      <c r="M63" s="66" t="str">
        <f t="shared" si="11"/>
        <v>ND</v>
      </c>
      <c r="N63" s="66" t="str">
        <f t="shared" si="11"/>
        <v>ND</v>
      </c>
      <c r="O63" s="66" t="str">
        <f t="shared" si="11"/>
        <v>ND</v>
      </c>
      <c r="P63" s="66" t="str">
        <f t="shared" si="11"/>
        <v>ND</v>
      </c>
      <c r="Q63" s="66" t="str">
        <f t="shared" si="11"/>
        <v>ND</v>
      </c>
      <c r="R63" s="66" t="str">
        <f t="shared" si="11"/>
        <v>ND</v>
      </c>
      <c r="S63" s="66" t="str">
        <f t="shared" si="11"/>
        <v>ND</v>
      </c>
      <c r="T63" s="66" t="str">
        <f t="shared" si="11"/>
        <v>ND</v>
      </c>
      <c r="U63" s="66" t="str">
        <f t="shared" si="11"/>
        <v>ND</v>
      </c>
      <c r="V63" s="66" t="str">
        <f t="shared" si="11"/>
        <v>ND</v>
      </c>
    </row>
    <row r="64" spans="1:22" x14ac:dyDescent="0.2">
      <c r="A64" s="69" t="str">
        <f t="shared" si="0"/>
        <v>PGD2</v>
      </c>
      <c r="B64" s="66"/>
      <c r="C64" s="66" t="str">
        <f t="shared" ref="C64:C73" si="12">IF(C12=0,"ND",IF(C12&lt;$B12,"&lt;LLOQ",(C12*C$51)/C$52))</f>
        <v>ND</v>
      </c>
      <c r="D64" s="66" t="str">
        <f t="shared" ref="D64:V64" si="13">IF(D12=0,"ND",IF(D12&lt;$B12,"&lt;LLOQ",(D12*D$51)/D$52))</f>
        <v>ND</v>
      </c>
      <c r="E64" s="66" t="str">
        <f t="shared" si="13"/>
        <v>ND</v>
      </c>
      <c r="F64" s="66" t="str">
        <f t="shared" si="13"/>
        <v>ND</v>
      </c>
      <c r="G64" s="66" t="str">
        <f t="shared" si="13"/>
        <v>ND</v>
      </c>
      <c r="H64" s="66" t="str">
        <f t="shared" si="13"/>
        <v>ND</v>
      </c>
      <c r="I64" s="66" t="str">
        <f t="shared" si="13"/>
        <v>ND</v>
      </c>
      <c r="J64" s="66" t="str">
        <f t="shared" si="13"/>
        <v>ND</v>
      </c>
      <c r="K64" s="66" t="str">
        <f t="shared" si="13"/>
        <v>ND</v>
      </c>
      <c r="L64" s="66" t="str">
        <f t="shared" si="13"/>
        <v>ND</v>
      </c>
      <c r="M64" s="66" t="str">
        <f t="shared" si="13"/>
        <v>ND</v>
      </c>
      <c r="N64" s="66" t="str">
        <f t="shared" si="13"/>
        <v>ND</v>
      </c>
      <c r="O64" s="66" t="str">
        <f t="shared" si="13"/>
        <v>ND</v>
      </c>
      <c r="P64" s="66" t="str">
        <f t="shared" si="13"/>
        <v>ND</v>
      </c>
      <c r="Q64" s="66" t="str">
        <f t="shared" si="13"/>
        <v>ND</v>
      </c>
      <c r="R64" s="66" t="str">
        <f t="shared" si="13"/>
        <v>ND</v>
      </c>
      <c r="S64" s="66" t="str">
        <f t="shared" si="13"/>
        <v>ND</v>
      </c>
      <c r="T64" s="66" t="str">
        <f t="shared" si="13"/>
        <v>ND</v>
      </c>
      <c r="U64" s="66" t="str">
        <f t="shared" si="13"/>
        <v>ND</v>
      </c>
      <c r="V64" s="66" t="str">
        <f t="shared" si="13"/>
        <v>ND</v>
      </c>
    </row>
    <row r="65" spans="1:22" x14ac:dyDescent="0.2">
      <c r="A65" s="69" t="str">
        <f t="shared" si="0"/>
        <v>RvD3</v>
      </c>
      <c r="B65" s="66"/>
      <c r="C65" s="66" t="str">
        <f t="shared" si="12"/>
        <v>ND</v>
      </c>
      <c r="D65" s="66" t="str">
        <f t="shared" ref="D65:V65" si="14">IF(D13=0,"ND",IF(D13&lt;$B13,"&lt;LLOQ",(D13*D$51)/D$52))</f>
        <v>ND</v>
      </c>
      <c r="E65" s="66" t="str">
        <f t="shared" si="14"/>
        <v>ND</v>
      </c>
      <c r="F65" s="66" t="str">
        <f t="shared" si="14"/>
        <v>ND</v>
      </c>
      <c r="G65" s="66" t="str">
        <f t="shared" si="14"/>
        <v>ND</v>
      </c>
      <c r="H65" s="66" t="str">
        <f t="shared" si="14"/>
        <v>ND</v>
      </c>
      <c r="I65" s="66" t="str">
        <f t="shared" si="14"/>
        <v>ND</v>
      </c>
      <c r="J65" s="66" t="str">
        <f t="shared" si="14"/>
        <v>ND</v>
      </c>
      <c r="K65" s="66" t="str">
        <f t="shared" si="14"/>
        <v>ND</v>
      </c>
      <c r="L65" s="66" t="str">
        <f t="shared" si="14"/>
        <v>ND</v>
      </c>
      <c r="M65" s="66" t="str">
        <f t="shared" si="14"/>
        <v>ND</v>
      </c>
      <c r="N65" s="66" t="str">
        <f t="shared" si="14"/>
        <v>ND</v>
      </c>
      <c r="O65" s="66" t="str">
        <f t="shared" si="14"/>
        <v>ND</v>
      </c>
      <c r="P65" s="66" t="str">
        <f t="shared" si="14"/>
        <v>ND</v>
      </c>
      <c r="Q65" s="66" t="str">
        <f t="shared" si="14"/>
        <v>ND</v>
      </c>
      <c r="R65" s="66" t="str">
        <f t="shared" si="14"/>
        <v>ND</v>
      </c>
      <c r="S65" s="66" t="str">
        <f t="shared" si="14"/>
        <v>ND</v>
      </c>
      <c r="T65" s="66" t="str">
        <f t="shared" si="14"/>
        <v>ND</v>
      </c>
      <c r="U65" s="66" t="str">
        <f t="shared" si="14"/>
        <v>ND</v>
      </c>
      <c r="V65" s="66" t="str">
        <f t="shared" si="14"/>
        <v>ND</v>
      </c>
    </row>
    <row r="66" spans="1:22" x14ac:dyDescent="0.2">
      <c r="A66" s="69" t="str">
        <f t="shared" si="0"/>
        <v>RvD1</v>
      </c>
      <c r="B66" s="66"/>
      <c r="C66" s="66" t="str">
        <f t="shared" si="12"/>
        <v>ND</v>
      </c>
      <c r="D66" s="66" t="str">
        <f t="shared" ref="D66:V66" si="15">IF(D14=0,"ND",IF(D14&lt;$B14,"&lt;LLOQ",(D14*D$51)/D$52))</f>
        <v>ND</v>
      </c>
      <c r="E66" s="66" t="str">
        <f t="shared" si="15"/>
        <v>ND</v>
      </c>
      <c r="F66" s="66" t="str">
        <f t="shared" si="15"/>
        <v>ND</v>
      </c>
      <c r="G66" s="66" t="str">
        <f t="shared" si="15"/>
        <v>ND</v>
      </c>
      <c r="H66" s="66" t="str">
        <f t="shared" si="15"/>
        <v>ND</v>
      </c>
      <c r="I66" s="66" t="str">
        <f t="shared" si="15"/>
        <v>ND</v>
      </c>
      <c r="J66" s="66" t="str">
        <f t="shared" si="15"/>
        <v>ND</v>
      </c>
      <c r="K66" s="66" t="str">
        <f t="shared" si="15"/>
        <v>ND</v>
      </c>
      <c r="L66" s="66" t="str">
        <f t="shared" si="15"/>
        <v>ND</v>
      </c>
      <c r="M66" s="66" t="str">
        <f t="shared" si="15"/>
        <v>ND</v>
      </c>
      <c r="N66" s="66" t="str">
        <f t="shared" si="15"/>
        <v>ND</v>
      </c>
      <c r="O66" s="66" t="str">
        <f t="shared" si="15"/>
        <v>ND</v>
      </c>
      <c r="P66" s="66" t="str">
        <f t="shared" si="15"/>
        <v>ND</v>
      </c>
      <c r="Q66" s="66" t="str">
        <f t="shared" si="15"/>
        <v>ND</v>
      </c>
      <c r="R66" s="66" t="str">
        <f t="shared" si="15"/>
        <v>ND</v>
      </c>
      <c r="S66" s="66" t="str">
        <f t="shared" si="15"/>
        <v>ND</v>
      </c>
      <c r="T66" s="66" t="str">
        <f t="shared" si="15"/>
        <v>ND</v>
      </c>
      <c r="U66" s="66" t="str">
        <f t="shared" si="15"/>
        <v>ND</v>
      </c>
      <c r="V66" s="66" t="str">
        <f t="shared" si="15"/>
        <v>ND</v>
      </c>
    </row>
    <row r="67" spans="1:22" x14ac:dyDescent="0.2">
      <c r="A67" s="69" t="str">
        <f t="shared" si="0"/>
        <v>LXA4</v>
      </c>
      <c r="B67" s="66"/>
      <c r="C67" s="66">
        <f t="shared" si="12"/>
        <v>1.9784499999999998</v>
      </c>
      <c r="D67" s="66">
        <f t="shared" ref="D67:V67" si="16">IF(D15=0,"ND",IF(D15&lt;$B15,"&lt;LLOQ",(D15*D$51)/D$52))</f>
        <v>27.089933333333338</v>
      </c>
      <c r="E67" s="66">
        <f t="shared" si="16"/>
        <v>1.2014500000000001</v>
      </c>
      <c r="F67" s="66">
        <f t="shared" si="16"/>
        <v>5.101866666666667</v>
      </c>
      <c r="G67" s="66">
        <f t="shared" si="16"/>
        <v>0.70056666666666678</v>
      </c>
      <c r="H67" s="66" t="str">
        <f t="shared" si="16"/>
        <v>&lt;LLOQ</v>
      </c>
      <c r="I67" s="66">
        <f t="shared" si="16"/>
        <v>2.1104666666666669</v>
      </c>
      <c r="J67" s="66">
        <f t="shared" si="16"/>
        <v>0.54208333333333336</v>
      </c>
      <c r="K67" s="66">
        <f t="shared" si="16"/>
        <v>4.9924333333333335</v>
      </c>
      <c r="L67" s="66" t="str">
        <f t="shared" si="16"/>
        <v>&lt;LLOQ</v>
      </c>
      <c r="M67" s="66">
        <f t="shared" si="16"/>
        <v>3.8667666666666674</v>
      </c>
      <c r="N67" s="66">
        <f t="shared" si="16"/>
        <v>13.747549999999999</v>
      </c>
      <c r="O67" s="66">
        <f t="shared" si="16"/>
        <v>2.8618999999999999</v>
      </c>
      <c r="P67" s="66" t="str">
        <f t="shared" si="16"/>
        <v>&lt;LLOQ</v>
      </c>
      <c r="Q67" s="66">
        <f t="shared" si="16"/>
        <v>7.2707666666666659</v>
      </c>
      <c r="R67" s="66" t="str">
        <f t="shared" si="16"/>
        <v>&lt;LLOQ</v>
      </c>
      <c r="S67" s="66">
        <f t="shared" si="16"/>
        <v>19.362883333333336</v>
      </c>
      <c r="T67" s="66" t="str">
        <f t="shared" si="16"/>
        <v>&lt;LLOQ</v>
      </c>
      <c r="U67" s="66">
        <f t="shared" si="16"/>
        <v>3.2923499999999999</v>
      </c>
      <c r="V67" s="66">
        <f t="shared" si="16"/>
        <v>1.6565666666666665</v>
      </c>
    </row>
    <row r="68" spans="1:22" x14ac:dyDescent="0.2">
      <c r="A68" s="69" t="str">
        <f t="shared" si="0"/>
        <v>PGFM</v>
      </c>
      <c r="B68" s="66"/>
      <c r="C68" s="66" t="str">
        <f t="shared" si="12"/>
        <v>&lt;LLOQ</v>
      </c>
      <c r="D68" s="66" t="str">
        <f t="shared" ref="D68:V68" si="17">IF(D16=0,"ND",IF(D16&lt;$B16,"&lt;LLOQ",(D16*D$51)/D$52))</f>
        <v>ND</v>
      </c>
      <c r="E68" s="66" t="str">
        <f t="shared" si="17"/>
        <v>&lt;LLOQ</v>
      </c>
      <c r="F68" s="66" t="str">
        <f t="shared" si="17"/>
        <v>&lt;LLOQ</v>
      </c>
      <c r="G68" s="66" t="str">
        <f t="shared" si="17"/>
        <v>&lt;LLOQ</v>
      </c>
      <c r="H68" s="66" t="str">
        <f t="shared" si="17"/>
        <v>&lt;LLOQ</v>
      </c>
      <c r="I68" s="66" t="str">
        <f t="shared" si="17"/>
        <v>&lt;LLOQ</v>
      </c>
      <c r="J68" s="66" t="str">
        <f t="shared" si="17"/>
        <v>&lt;LLOQ</v>
      </c>
      <c r="K68" s="66" t="str">
        <f t="shared" si="17"/>
        <v>&lt;LLOQ</v>
      </c>
      <c r="L68" s="66" t="str">
        <f t="shared" si="17"/>
        <v>&lt;LLOQ</v>
      </c>
      <c r="M68" s="66" t="str">
        <f t="shared" si="17"/>
        <v>&lt;LLOQ</v>
      </c>
      <c r="N68" s="66" t="str">
        <f t="shared" si="17"/>
        <v>ND</v>
      </c>
      <c r="O68" s="66" t="str">
        <f t="shared" si="17"/>
        <v>&lt;LLOQ</v>
      </c>
      <c r="P68" s="66" t="str">
        <f t="shared" si="17"/>
        <v>&lt;LLOQ</v>
      </c>
      <c r="Q68" s="66" t="str">
        <f t="shared" si="17"/>
        <v>ND</v>
      </c>
      <c r="R68" s="66">
        <f t="shared" si="17"/>
        <v>0.57555000000000001</v>
      </c>
      <c r="S68" s="66" t="str">
        <f t="shared" si="17"/>
        <v>ND</v>
      </c>
      <c r="T68" s="66" t="str">
        <f t="shared" si="17"/>
        <v>ND</v>
      </c>
      <c r="U68" s="66" t="str">
        <f t="shared" si="17"/>
        <v>ND</v>
      </c>
      <c r="V68" s="66">
        <f t="shared" si="17"/>
        <v>0.55121666666666669</v>
      </c>
    </row>
    <row r="69" spans="1:22" x14ac:dyDescent="0.2">
      <c r="A69" s="69" t="str">
        <f t="shared" si="0"/>
        <v>RvD2</v>
      </c>
      <c r="B69" s="66"/>
      <c r="C69" s="66" t="str">
        <f t="shared" si="12"/>
        <v>ND</v>
      </c>
      <c r="D69" s="66" t="str">
        <f t="shared" ref="D69:V69" si="18">IF(D17=0,"ND",IF(D17&lt;$B17,"&lt;LLOQ",(D17*D$51)/D$52))</f>
        <v>ND</v>
      </c>
      <c r="E69" s="66" t="str">
        <f t="shared" si="18"/>
        <v>ND</v>
      </c>
      <c r="F69" s="66" t="str">
        <f t="shared" si="18"/>
        <v>ND</v>
      </c>
      <c r="G69" s="66" t="str">
        <f t="shared" si="18"/>
        <v>ND</v>
      </c>
      <c r="H69" s="66" t="str">
        <f t="shared" si="18"/>
        <v>ND</v>
      </c>
      <c r="I69" s="66" t="str">
        <f t="shared" si="18"/>
        <v>ND</v>
      </c>
      <c r="J69" s="66" t="str">
        <f t="shared" si="18"/>
        <v>ND</v>
      </c>
      <c r="K69" s="66" t="str">
        <f t="shared" si="18"/>
        <v>ND</v>
      </c>
      <c r="L69" s="66" t="str">
        <f t="shared" si="18"/>
        <v>ND</v>
      </c>
      <c r="M69" s="66" t="str">
        <f t="shared" si="18"/>
        <v>ND</v>
      </c>
      <c r="N69" s="66" t="str">
        <f t="shared" si="18"/>
        <v>ND</v>
      </c>
      <c r="O69" s="66" t="str">
        <f t="shared" si="18"/>
        <v>ND</v>
      </c>
      <c r="P69" s="66" t="str">
        <f t="shared" si="18"/>
        <v>ND</v>
      </c>
      <c r="Q69" s="66" t="str">
        <f t="shared" si="18"/>
        <v>ND</v>
      </c>
      <c r="R69" s="66" t="str">
        <f t="shared" si="18"/>
        <v>ND</v>
      </c>
      <c r="S69" s="66" t="str">
        <f t="shared" si="18"/>
        <v>ND</v>
      </c>
      <c r="T69" s="66" t="str">
        <f t="shared" si="18"/>
        <v>ND</v>
      </c>
      <c r="U69" s="66" t="str">
        <f t="shared" si="18"/>
        <v>ND</v>
      </c>
      <c r="V69" s="66" t="str">
        <f t="shared" si="18"/>
        <v>ND</v>
      </c>
    </row>
    <row r="70" spans="1:22" x14ac:dyDescent="0.2">
      <c r="A70" s="69" t="str">
        <f t="shared" si="0"/>
        <v>8isoPGA2</v>
      </c>
      <c r="B70" s="66"/>
      <c r="C70" s="66" t="str">
        <f t="shared" si="12"/>
        <v>ND</v>
      </c>
      <c r="D70" s="66" t="str">
        <f t="shared" ref="D70:V70" si="19">IF(D18=0,"ND",IF(D18&lt;$B18,"&lt;LLOQ",(D18*D$51)/D$52))</f>
        <v>ND</v>
      </c>
      <c r="E70" s="66" t="str">
        <f t="shared" si="19"/>
        <v>ND</v>
      </c>
      <c r="F70" s="66" t="str">
        <f t="shared" si="19"/>
        <v>ND</v>
      </c>
      <c r="G70" s="66" t="str">
        <f t="shared" si="19"/>
        <v>ND</v>
      </c>
      <c r="H70" s="66" t="str">
        <f t="shared" si="19"/>
        <v>ND</v>
      </c>
      <c r="I70" s="66" t="str">
        <f t="shared" si="19"/>
        <v>ND</v>
      </c>
      <c r="J70" s="66" t="str">
        <f t="shared" si="19"/>
        <v>ND</v>
      </c>
      <c r="K70" s="66" t="str">
        <f t="shared" si="19"/>
        <v>ND</v>
      </c>
      <c r="L70" s="66" t="str">
        <f t="shared" si="19"/>
        <v>ND</v>
      </c>
      <c r="M70" s="66" t="str">
        <f t="shared" si="19"/>
        <v>ND</v>
      </c>
      <c r="N70" s="66" t="str">
        <f t="shared" si="19"/>
        <v>ND</v>
      </c>
      <c r="O70" s="66" t="str">
        <f t="shared" si="19"/>
        <v>ND</v>
      </c>
      <c r="P70" s="66" t="str">
        <f t="shared" si="19"/>
        <v>ND</v>
      </c>
      <c r="Q70" s="66" t="str">
        <f t="shared" si="19"/>
        <v>ND</v>
      </c>
      <c r="R70" s="66" t="str">
        <f t="shared" si="19"/>
        <v>ND</v>
      </c>
      <c r="S70" s="66" t="str">
        <f t="shared" si="19"/>
        <v>ND</v>
      </c>
      <c r="T70" s="66" t="str">
        <f t="shared" si="19"/>
        <v>ND</v>
      </c>
      <c r="U70" s="66" t="str">
        <f t="shared" si="19"/>
        <v>ND</v>
      </c>
      <c r="V70" s="66" t="str">
        <f t="shared" si="19"/>
        <v>ND</v>
      </c>
    </row>
    <row r="71" spans="1:22" x14ac:dyDescent="0.2">
      <c r="A71" s="69" t="str">
        <f t="shared" si="0"/>
        <v>PGA1</v>
      </c>
      <c r="B71" s="66"/>
      <c r="C71" s="66" t="str">
        <f t="shared" si="12"/>
        <v>ND</v>
      </c>
      <c r="D71" s="66" t="str">
        <f t="shared" ref="D71:V71" si="20">IF(D19=0,"ND",IF(D19&lt;$B19,"&lt;LLOQ",(D19*D$51)/D$52))</f>
        <v>ND</v>
      </c>
      <c r="E71" s="66" t="str">
        <f t="shared" si="20"/>
        <v>ND</v>
      </c>
      <c r="F71" s="66" t="str">
        <f t="shared" si="20"/>
        <v>ND</v>
      </c>
      <c r="G71" s="66" t="str">
        <f t="shared" si="20"/>
        <v>ND</v>
      </c>
      <c r="H71" s="66" t="str">
        <f t="shared" si="20"/>
        <v>ND</v>
      </c>
      <c r="I71" s="66" t="str">
        <f t="shared" si="20"/>
        <v>ND</v>
      </c>
      <c r="J71" s="66" t="str">
        <f t="shared" si="20"/>
        <v>ND</v>
      </c>
      <c r="K71" s="66" t="str">
        <f t="shared" si="20"/>
        <v>ND</v>
      </c>
      <c r="L71" s="66" t="str">
        <f t="shared" si="20"/>
        <v>ND</v>
      </c>
      <c r="M71" s="66" t="str">
        <f t="shared" si="20"/>
        <v>ND</v>
      </c>
      <c r="N71" s="66" t="str">
        <f t="shared" si="20"/>
        <v>ND</v>
      </c>
      <c r="O71" s="66" t="str">
        <f t="shared" si="20"/>
        <v>ND</v>
      </c>
      <c r="P71" s="66" t="str">
        <f t="shared" si="20"/>
        <v>ND</v>
      </c>
      <c r="Q71" s="66" t="str">
        <f t="shared" si="20"/>
        <v>ND</v>
      </c>
      <c r="R71" s="66" t="str">
        <f t="shared" si="20"/>
        <v>ND</v>
      </c>
      <c r="S71" s="66" t="str">
        <f t="shared" si="20"/>
        <v>ND</v>
      </c>
      <c r="T71" s="66" t="str">
        <f t="shared" si="20"/>
        <v>ND</v>
      </c>
      <c r="U71" s="66" t="str">
        <f t="shared" si="20"/>
        <v>ND</v>
      </c>
      <c r="V71" s="66" t="str">
        <f t="shared" si="20"/>
        <v>ND</v>
      </c>
    </row>
    <row r="72" spans="1:22" x14ac:dyDescent="0.2">
      <c r="A72" s="69" t="str">
        <f t="shared" si="0"/>
        <v>LTB5</v>
      </c>
      <c r="B72" s="66"/>
      <c r="C72" s="66" t="str">
        <f t="shared" si="12"/>
        <v>ND</v>
      </c>
      <c r="D72" s="66" t="str">
        <f t="shared" ref="D72:V72" si="21">IF(D20=0,"ND",IF(D20&lt;$B20,"&lt;LLOQ",(D20*D$51)/D$52))</f>
        <v>ND</v>
      </c>
      <c r="E72" s="66" t="str">
        <f t="shared" si="21"/>
        <v>ND</v>
      </c>
      <c r="F72" s="66" t="str">
        <f t="shared" si="21"/>
        <v>ND</v>
      </c>
      <c r="G72" s="66" t="str">
        <f t="shared" si="21"/>
        <v>ND</v>
      </c>
      <c r="H72" s="66" t="str">
        <f t="shared" si="21"/>
        <v>ND</v>
      </c>
      <c r="I72" s="66" t="str">
        <f t="shared" si="21"/>
        <v>ND</v>
      </c>
      <c r="J72" s="66" t="str">
        <f t="shared" si="21"/>
        <v>ND</v>
      </c>
      <c r="K72" s="66" t="str">
        <f t="shared" si="21"/>
        <v>ND</v>
      </c>
      <c r="L72" s="66" t="str">
        <f t="shared" si="21"/>
        <v>ND</v>
      </c>
      <c r="M72" s="66" t="str">
        <f t="shared" si="21"/>
        <v>ND</v>
      </c>
      <c r="N72" s="66" t="str">
        <f t="shared" si="21"/>
        <v>ND</v>
      </c>
      <c r="O72" s="66" t="str">
        <f t="shared" si="21"/>
        <v>ND</v>
      </c>
      <c r="P72" s="66" t="str">
        <f t="shared" si="21"/>
        <v>ND</v>
      </c>
      <c r="Q72" s="66" t="str">
        <f t="shared" si="21"/>
        <v>ND</v>
      </c>
      <c r="R72" s="66" t="str">
        <f t="shared" si="21"/>
        <v>ND</v>
      </c>
      <c r="S72" s="66" t="str">
        <f t="shared" si="21"/>
        <v>ND</v>
      </c>
      <c r="T72" s="66" t="str">
        <f t="shared" si="21"/>
        <v>ND</v>
      </c>
      <c r="U72" s="66" t="str">
        <f t="shared" si="21"/>
        <v>ND</v>
      </c>
      <c r="V72" s="66" t="str">
        <f t="shared" si="21"/>
        <v>ND</v>
      </c>
    </row>
    <row r="73" spans="1:22" x14ac:dyDescent="0.2">
      <c r="A73" s="76" t="str">
        <f t="shared" si="0"/>
        <v>7MaR1</v>
      </c>
      <c r="B73" s="66"/>
      <c r="C73" s="66" t="str">
        <f t="shared" si="12"/>
        <v>ND</v>
      </c>
      <c r="D73" s="66" t="str">
        <f t="shared" ref="D73:V73" si="22">IF(D21=0,"ND",IF(D21&lt;$B21,"&lt;LLOQ",(D21*D$51)/D$52))</f>
        <v>ND</v>
      </c>
      <c r="E73" s="66" t="str">
        <f t="shared" si="22"/>
        <v>ND</v>
      </c>
      <c r="F73" s="66" t="str">
        <f t="shared" si="22"/>
        <v>ND</v>
      </c>
      <c r="G73" s="66" t="str">
        <f t="shared" si="22"/>
        <v>ND</v>
      </c>
      <c r="H73" s="66" t="str">
        <f t="shared" si="22"/>
        <v>ND</v>
      </c>
      <c r="I73" s="66" t="str">
        <f t="shared" si="22"/>
        <v>ND</v>
      </c>
      <c r="J73" s="66" t="str">
        <f t="shared" si="22"/>
        <v>ND</v>
      </c>
      <c r="K73" s="66" t="str">
        <f t="shared" si="22"/>
        <v>ND</v>
      </c>
      <c r="L73" s="66" t="str">
        <f t="shared" si="22"/>
        <v>ND</v>
      </c>
      <c r="M73" s="66" t="str">
        <f t="shared" si="22"/>
        <v>ND</v>
      </c>
      <c r="N73" s="66" t="str">
        <f t="shared" si="22"/>
        <v>ND</v>
      </c>
      <c r="O73" s="66" t="str">
        <f t="shared" si="22"/>
        <v>ND</v>
      </c>
      <c r="P73" s="66" t="str">
        <f t="shared" si="22"/>
        <v>ND</v>
      </c>
      <c r="Q73" s="66" t="str">
        <f t="shared" si="22"/>
        <v>ND</v>
      </c>
      <c r="R73" s="66" t="str">
        <f t="shared" si="22"/>
        <v>ND</v>
      </c>
      <c r="S73" s="66" t="str">
        <f t="shared" si="22"/>
        <v>ND</v>
      </c>
      <c r="T73" s="66" t="str">
        <f t="shared" si="22"/>
        <v>ND</v>
      </c>
      <c r="U73" s="66" t="str">
        <f t="shared" si="22"/>
        <v>ND</v>
      </c>
      <c r="V73" s="66" t="str">
        <f t="shared" si="22"/>
        <v>ND</v>
      </c>
    </row>
    <row r="74" spans="1:22" x14ac:dyDescent="0.2">
      <c r="A74" s="69" t="str">
        <f t="shared" si="0"/>
        <v>RvD5</v>
      </c>
      <c r="B74" s="66"/>
      <c r="C74" s="66" t="str">
        <f t="shared" ref="C74:C83" si="23">IF(C22=0,"ND",IF(C22&lt;$B22,"&lt;LLOQ",(C22*C$51)/C$52))</f>
        <v>ND</v>
      </c>
      <c r="D74" s="66" t="str">
        <f t="shared" ref="D74:V74" si="24">IF(D22=0,"ND",IF(D22&lt;$B22,"&lt;LLOQ",(D22*D$51)/D$52))</f>
        <v>ND</v>
      </c>
      <c r="E74" s="66" t="str">
        <f t="shared" si="24"/>
        <v>ND</v>
      </c>
      <c r="F74" s="66" t="str">
        <f t="shared" si="24"/>
        <v>ND</v>
      </c>
      <c r="G74" s="66" t="str">
        <f t="shared" si="24"/>
        <v>ND</v>
      </c>
      <c r="H74" s="66" t="str">
        <f t="shared" si="24"/>
        <v>ND</v>
      </c>
      <c r="I74" s="66" t="str">
        <f t="shared" si="24"/>
        <v>ND</v>
      </c>
      <c r="J74" s="66" t="str">
        <f t="shared" si="24"/>
        <v>ND</v>
      </c>
      <c r="K74" s="66" t="str">
        <f t="shared" si="24"/>
        <v>ND</v>
      </c>
      <c r="L74" s="66" t="str">
        <f t="shared" si="24"/>
        <v>ND</v>
      </c>
      <c r="M74" s="66" t="str">
        <f t="shared" si="24"/>
        <v>ND</v>
      </c>
      <c r="N74" s="66" t="str">
        <f t="shared" si="24"/>
        <v>ND</v>
      </c>
      <c r="O74" s="66" t="str">
        <f t="shared" si="24"/>
        <v>ND</v>
      </c>
      <c r="P74" s="66" t="str">
        <f t="shared" si="24"/>
        <v>ND</v>
      </c>
      <c r="Q74" s="66" t="str">
        <f t="shared" si="24"/>
        <v>ND</v>
      </c>
      <c r="R74" s="66" t="str">
        <f t="shared" si="24"/>
        <v>ND</v>
      </c>
      <c r="S74" s="66" t="str">
        <f t="shared" si="24"/>
        <v>ND</v>
      </c>
      <c r="T74" s="66" t="str">
        <f t="shared" si="24"/>
        <v>ND</v>
      </c>
      <c r="U74" s="66" t="str">
        <f t="shared" si="24"/>
        <v>ND</v>
      </c>
      <c r="V74" s="66" t="str">
        <f t="shared" si="24"/>
        <v>ND</v>
      </c>
    </row>
    <row r="75" spans="1:22" x14ac:dyDescent="0.2">
      <c r="A75" s="69" t="str">
        <f t="shared" si="0"/>
        <v>LTB4</v>
      </c>
      <c r="B75" s="66"/>
      <c r="C75" s="66">
        <f t="shared" si="23"/>
        <v>2.796133333333334</v>
      </c>
      <c r="D75" s="66">
        <f t="shared" ref="D75:V75" si="25">IF(D23=0,"ND",IF(D23&lt;$B23,"&lt;LLOQ",(D23*D$51)/D$52))</f>
        <v>88.758683333333323</v>
      </c>
      <c r="E75" s="66">
        <f t="shared" si="25"/>
        <v>1.2720499999999999</v>
      </c>
      <c r="F75" s="66">
        <f t="shared" si="25"/>
        <v>12.331933333333334</v>
      </c>
      <c r="G75" s="66">
        <f t="shared" si="25"/>
        <v>0.78040000000000009</v>
      </c>
      <c r="H75" s="66">
        <f t="shared" si="25"/>
        <v>0.50224999999999997</v>
      </c>
      <c r="I75" s="66">
        <f t="shared" si="25"/>
        <v>3.6323166666666671</v>
      </c>
      <c r="J75" s="66">
        <f t="shared" si="25"/>
        <v>1.0370000000000001</v>
      </c>
      <c r="K75" s="66">
        <f t="shared" si="25"/>
        <v>7.7436333333333325</v>
      </c>
      <c r="L75" s="66" t="str">
        <f t="shared" si="25"/>
        <v>&lt;LLOQ</v>
      </c>
      <c r="M75" s="66">
        <f t="shared" si="25"/>
        <v>2.2846833333333332</v>
      </c>
      <c r="N75" s="66">
        <f t="shared" si="25"/>
        <v>15.127566666666667</v>
      </c>
      <c r="O75" s="66">
        <f t="shared" si="25"/>
        <v>5.2080333333333337</v>
      </c>
      <c r="P75" s="66">
        <f t="shared" si="25"/>
        <v>1.9497333333333333</v>
      </c>
      <c r="Q75" s="66">
        <f t="shared" si="25"/>
        <v>9.5573999999999995</v>
      </c>
      <c r="R75" s="66">
        <f t="shared" si="25"/>
        <v>0.41616666666666663</v>
      </c>
      <c r="S75" s="66">
        <f t="shared" si="25"/>
        <v>52.039666666666669</v>
      </c>
      <c r="T75" s="66" t="str">
        <f t="shared" si="25"/>
        <v>ND</v>
      </c>
      <c r="U75" s="66">
        <f t="shared" si="25"/>
        <v>2.7179000000000002</v>
      </c>
      <c r="V75" s="66">
        <f t="shared" si="25"/>
        <v>2.0367166666666665</v>
      </c>
    </row>
    <row r="76" spans="1:22" x14ac:dyDescent="0.2">
      <c r="A76" s="69" t="str">
        <f t="shared" si="0"/>
        <v>PDx</v>
      </c>
      <c r="B76" s="66"/>
      <c r="C76" s="66" t="str">
        <f t="shared" si="23"/>
        <v>ND</v>
      </c>
      <c r="D76" s="66" t="str">
        <f t="shared" ref="D76:V76" si="26">IF(D24=0,"ND",IF(D24&lt;$B24,"&lt;LLOQ",(D24*D$51)/D$52))</f>
        <v>ND</v>
      </c>
      <c r="E76" s="66" t="str">
        <f t="shared" si="26"/>
        <v>ND</v>
      </c>
      <c r="F76" s="66" t="str">
        <f t="shared" si="26"/>
        <v>ND</v>
      </c>
      <c r="G76" s="66" t="str">
        <f t="shared" si="26"/>
        <v>ND</v>
      </c>
      <c r="H76" s="66" t="str">
        <f t="shared" si="26"/>
        <v>ND</v>
      </c>
      <c r="I76" s="66" t="str">
        <f t="shared" si="26"/>
        <v>ND</v>
      </c>
      <c r="J76" s="66" t="str">
        <f t="shared" si="26"/>
        <v>ND</v>
      </c>
      <c r="K76" s="66" t="str">
        <f t="shared" si="26"/>
        <v>ND</v>
      </c>
      <c r="L76" s="66" t="str">
        <f t="shared" si="26"/>
        <v>ND</v>
      </c>
      <c r="M76" s="66" t="str">
        <f t="shared" si="26"/>
        <v>ND</v>
      </c>
      <c r="N76" s="66" t="str">
        <f t="shared" si="26"/>
        <v>ND</v>
      </c>
      <c r="O76" s="66" t="str">
        <f t="shared" si="26"/>
        <v>ND</v>
      </c>
      <c r="P76" s="66" t="str">
        <f t="shared" si="26"/>
        <v>ND</v>
      </c>
      <c r="Q76" s="66" t="str">
        <f t="shared" si="26"/>
        <v>ND</v>
      </c>
      <c r="R76" s="66" t="str">
        <f t="shared" si="26"/>
        <v>ND</v>
      </c>
      <c r="S76" s="66" t="str">
        <f t="shared" si="26"/>
        <v>ND</v>
      </c>
      <c r="T76" s="66" t="str">
        <f t="shared" si="26"/>
        <v>ND</v>
      </c>
      <c r="U76" s="66" t="str">
        <f t="shared" si="26"/>
        <v>ND</v>
      </c>
      <c r="V76" s="66" t="str">
        <f t="shared" si="26"/>
        <v>ND</v>
      </c>
    </row>
    <row r="77" spans="1:22" x14ac:dyDescent="0.2">
      <c r="A77" s="69" t="str">
        <f t="shared" si="0"/>
        <v>9,10-DiHOME</v>
      </c>
      <c r="B77" s="66"/>
      <c r="C77" s="66">
        <f t="shared" si="23"/>
        <v>3.632166666666667</v>
      </c>
      <c r="D77" s="66">
        <f t="shared" ref="D77:V77" si="27">IF(D25=0,"ND",IF(D25&lt;$B25,"&lt;LLOQ",(D25*D$51)/D$52))</f>
        <v>2.3493333333333335</v>
      </c>
      <c r="E77" s="66">
        <f t="shared" si="27"/>
        <v>6.4661</v>
      </c>
      <c r="F77" s="66">
        <f t="shared" si="27"/>
        <v>2.6449500000000001</v>
      </c>
      <c r="G77" s="66">
        <f t="shared" si="27"/>
        <v>10.495366666666666</v>
      </c>
      <c r="H77" s="66">
        <f t="shared" si="27"/>
        <v>8.5081166666666661</v>
      </c>
      <c r="I77" s="66">
        <f t="shared" si="27"/>
        <v>4.572916666666667</v>
      </c>
      <c r="J77" s="66">
        <f t="shared" si="27"/>
        <v>3.2128500000000004</v>
      </c>
      <c r="K77" s="66">
        <f t="shared" si="27"/>
        <v>3.2913000000000001</v>
      </c>
      <c r="L77" s="66">
        <f t="shared" si="27"/>
        <v>4.4681000000000006</v>
      </c>
      <c r="M77" s="66">
        <f t="shared" si="27"/>
        <v>1.7013</v>
      </c>
      <c r="N77" s="66">
        <f t="shared" si="27"/>
        <v>589.86191666666662</v>
      </c>
      <c r="O77" s="66">
        <f t="shared" si="27"/>
        <v>2.5788666666666669</v>
      </c>
      <c r="P77" s="66">
        <f t="shared" si="27"/>
        <v>5.7823499999999992</v>
      </c>
      <c r="Q77" s="66">
        <f t="shared" si="27"/>
        <v>1.8618666666666668</v>
      </c>
      <c r="R77" s="66">
        <f t="shared" si="27"/>
        <v>0.90548333333333331</v>
      </c>
      <c r="S77" s="66">
        <f t="shared" si="27"/>
        <v>19.020733333333332</v>
      </c>
      <c r="T77" s="66">
        <f t="shared" si="27"/>
        <v>1.1230333333333333</v>
      </c>
      <c r="U77" s="66">
        <f t="shared" si="27"/>
        <v>0.98839999999999995</v>
      </c>
      <c r="V77" s="66">
        <f t="shared" si="27"/>
        <v>4.4474666666666671</v>
      </c>
    </row>
    <row r="78" spans="1:22" x14ac:dyDescent="0.2">
      <c r="A78" s="69" t="str">
        <f t="shared" si="0"/>
        <v>12,13-DiHOME</v>
      </c>
      <c r="B78" s="66"/>
      <c r="C78" s="66">
        <f t="shared" si="23"/>
        <v>3.2542499999999999</v>
      </c>
      <c r="D78" s="66">
        <f t="shared" ref="D78:V78" si="28">IF(D26=0,"ND",IF(D26&lt;$B26,"&lt;LLOQ",(D26*D$51)/D$52))</f>
        <v>2.225916666666667</v>
      </c>
      <c r="E78" s="66">
        <f t="shared" si="28"/>
        <v>3.6898999999999997</v>
      </c>
      <c r="F78" s="66">
        <f t="shared" si="28"/>
        <v>1.5215999999999998</v>
      </c>
      <c r="G78" s="66">
        <f t="shared" si="28"/>
        <v>5.699250000000001</v>
      </c>
      <c r="H78" s="66">
        <f t="shared" si="28"/>
        <v>14.611566666666667</v>
      </c>
      <c r="I78" s="66">
        <f t="shared" si="28"/>
        <v>5.0355166666666671</v>
      </c>
      <c r="J78" s="66">
        <f t="shared" si="28"/>
        <v>1.5339166666666666</v>
      </c>
      <c r="K78" s="66">
        <f t="shared" si="28"/>
        <v>2.5942333333333334</v>
      </c>
      <c r="L78" s="66">
        <f t="shared" si="28"/>
        <v>6.3187999999999995</v>
      </c>
      <c r="M78" s="66">
        <f t="shared" si="28"/>
        <v>1.9948833333333336</v>
      </c>
      <c r="N78" s="66">
        <f t="shared" si="28"/>
        <v>3.2670000000000003</v>
      </c>
      <c r="O78" s="66">
        <f t="shared" si="28"/>
        <v>2.5994666666666664</v>
      </c>
      <c r="P78" s="66">
        <f t="shared" si="28"/>
        <v>7.4486333333333334</v>
      </c>
      <c r="Q78" s="66">
        <f t="shared" si="28"/>
        <v>1.0322500000000001</v>
      </c>
      <c r="R78" s="66">
        <f t="shared" si="28"/>
        <v>0.55631666666666668</v>
      </c>
      <c r="S78" s="66">
        <f t="shared" si="28"/>
        <v>12.409850000000002</v>
      </c>
      <c r="T78" s="66">
        <f t="shared" si="28"/>
        <v>0.59186666666666665</v>
      </c>
      <c r="U78" s="66">
        <f t="shared" si="28"/>
        <v>0.5044333333333334</v>
      </c>
      <c r="V78" s="66">
        <f t="shared" si="28"/>
        <v>3.7281499999999999</v>
      </c>
    </row>
    <row r="79" spans="1:22" x14ac:dyDescent="0.2">
      <c r="A79" s="69" t="str">
        <f t="shared" si="0"/>
        <v>18-HEPE</v>
      </c>
      <c r="B79" s="66"/>
      <c r="C79" s="66">
        <f t="shared" si="23"/>
        <v>1.6096833333333331</v>
      </c>
      <c r="D79" s="66">
        <f t="shared" ref="D79:V79" si="29">IF(D27=0,"ND",IF(D27&lt;$B27,"&lt;LLOQ",(D27*D$51)/D$52))</f>
        <v>36.585766666666672</v>
      </c>
      <c r="E79" s="66">
        <f t="shared" si="29"/>
        <v>1.9541999999999999</v>
      </c>
      <c r="F79" s="66">
        <f t="shared" si="29"/>
        <v>4.1008333333333331</v>
      </c>
      <c r="G79" s="66">
        <f t="shared" si="29"/>
        <v>1.8562333333333332</v>
      </c>
      <c r="H79" s="66">
        <f t="shared" si="29"/>
        <v>2.2590500000000002</v>
      </c>
      <c r="I79" s="66">
        <f t="shared" si="29"/>
        <v>1.4301333333333333</v>
      </c>
      <c r="J79" s="66">
        <f t="shared" si="29"/>
        <v>1.0706</v>
      </c>
      <c r="K79" s="66">
        <f t="shared" si="29"/>
        <v>0.76378333333333326</v>
      </c>
      <c r="L79" s="66">
        <f t="shared" si="29"/>
        <v>0.47558333333333336</v>
      </c>
      <c r="M79" s="66">
        <f t="shared" si="29"/>
        <v>1.9243666666666668</v>
      </c>
      <c r="N79" s="66">
        <f t="shared" si="29"/>
        <v>3.8130333333333328</v>
      </c>
      <c r="O79" s="66">
        <f t="shared" si="29"/>
        <v>2.4529500000000004</v>
      </c>
      <c r="P79" s="66">
        <f t="shared" si="29"/>
        <v>1.8813333333333333</v>
      </c>
      <c r="Q79" s="66">
        <f t="shared" si="29"/>
        <v>12.606083333333334</v>
      </c>
      <c r="R79" s="66">
        <f t="shared" si="29"/>
        <v>1.2849999999999999</v>
      </c>
      <c r="S79" s="66">
        <f t="shared" si="29"/>
        <v>36.052800000000005</v>
      </c>
      <c r="T79" s="66">
        <f t="shared" si="29"/>
        <v>0.51321666666666665</v>
      </c>
      <c r="U79" s="66">
        <f t="shared" si="29"/>
        <v>1.2806500000000001</v>
      </c>
      <c r="V79" s="66">
        <f t="shared" si="29"/>
        <v>1.1630833333333332</v>
      </c>
    </row>
    <row r="80" spans="1:22" x14ac:dyDescent="0.2">
      <c r="A80" s="69" t="str">
        <f t="shared" si="0"/>
        <v>9-HOTrE</v>
      </c>
      <c r="B80" s="66"/>
      <c r="C80" s="66" t="str">
        <f t="shared" si="23"/>
        <v>&lt;LLOQ</v>
      </c>
      <c r="D80" s="66">
        <f t="shared" ref="D80:V80" si="30">IF(D28=0,"ND",IF(D28&lt;$B28,"&lt;LLOQ",(D28*D$51)/D$52))</f>
        <v>4.1621166666666669</v>
      </c>
      <c r="E80" s="66">
        <f t="shared" si="30"/>
        <v>0.52466666666666673</v>
      </c>
      <c r="F80" s="66">
        <f t="shared" si="30"/>
        <v>0.37418333333333337</v>
      </c>
      <c r="G80" s="66">
        <f t="shared" si="30"/>
        <v>0.74183333333333334</v>
      </c>
      <c r="H80" s="66">
        <f t="shared" si="30"/>
        <v>2.3443999999999998</v>
      </c>
      <c r="I80" s="66">
        <f t="shared" si="30"/>
        <v>0.99165000000000003</v>
      </c>
      <c r="J80" s="66" t="str">
        <f t="shared" si="30"/>
        <v>&lt;LLOQ</v>
      </c>
      <c r="K80" s="66">
        <f t="shared" si="30"/>
        <v>0.56526666666666658</v>
      </c>
      <c r="L80" s="66">
        <f t="shared" si="30"/>
        <v>0.89816666666666667</v>
      </c>
      <c r="M80" s="66">
        <f t="shared" si="30"/>
        <v>0.38613333333333338</v>
      </c>
      <c r="N80" s="66">
        <f t="shared" si="30"/>
        <v>0.81481666666666663</v>
      </c>
      <c r="O80" s="66">
        <f t="shared" si="30"/>
        <v>0.78684999999999994</v>
      </c>
      <c r="P80" s="66">
        <f t="shared" si="30"/>
        <v>0.88579999999999992</v>
      </c>
      <c r="Q80" s="66">
        <f t="shared" si="30"/>
        <v>0.87583333333333324</v>
      </c>
      <c r="R80" s="66" t="str">
        <f t="shared" si="30"/>
        <v>&lt;LLOQ</v>
      </c>
      <c r="S80" s="66">
        <f t="shared" si="30"/>
        <v>5.8195833333333322</v>
      </c>
      <c r="T80" s="66" t="str">
        <f t="shared" si="30"/>
        <v>&lt;LLOQ</v>
      </c>
      <c r="U80" s="66" t="str">
        <f t="shared" si="30"/>
        <v>&lt;LLOQ</v>
      </c>
      <c r="V80" s="66">
        <f t="shared" si="30"/>
        <v>0.37901666666666667</v>
      </c>
    </row>
    <row r="81" spans="1:22" x14ac:dyDescent="0.2">
      <c r="A81" s="69" t="str">
        <f t="shared" si="0"/>
        <v>13-HOTrE</v>
      </c>
      <c r="B81" s="66"/>
      <c r="C81" s="66">
        <f t="shared" si="23"/>
        <v>0.53488333333333327</v>
      </c>
      <c r="D81" s="66">
        <f t="shared" ref="D81:V81" si="31">IF(D29=0,"ND",IF(D29&lt;$B29,"&lt;LLOQ",(D29*D$51)/D$52))</f>
        <v>5.5005333333333333</v>
      </c>
      <c r="E81" s="66">
        <f t="shared" si="31"/>
        <v>1.7635166666666666</v>
      </c>
      <c r="F81" s="66">
        <f t="shared" si="31"/>
        <v>0.38269999999999993</v>
      </c>
      <c r="G81" s="66">
        <f t="shared" si="31"/>
        <v>0.93591666666666673</v>
      </c>
      <c r="H81" s="66">
        <f t="shared" si="31"/>
        <v>3.4536833333333332</v>
      </c>
      <c r="I81" s="66">
        <f t="shared" si="31"/>
        <v>0.91676666666666662</v>
      </c>
      <c r="J81" s="66">
        <f t="shared" si="31"/>
        <v>0.46706666666666669</v>
      </c>
      <c r="K81" s="66">
        <f t="shared" si="31"/>
        <v>0.4124166666666666</v>
      </c>
      <c r="L81" s="66">
        <f t="shared" si="31"/>
        <v>3.4614666666666665</v>
      </c>
      <c r="M81" s="66" t="str">
        <f t="shared" si="31"/>
        <v>&lt;LLOQ</v>
      </c>
      <c r="N81" s="66">
        <f t="shared" si="31"/>
        <v>0.5598333333333334</v>
      </c>
      <c r="O81" s="66">
        <f t="shared" si="31"/>
        <v>1.4993333333333334</v>
      </c>
      <c r="P81" s="66">
        <f t="shared" si="31"/>
        <v>0.44793333333333335</v>
      </c>
      <c r="Q81" s="66">
        <f t="shared" si="31"/>
        <v>1.2778333333333334</v>
      </c>
      <c r="R81" s="66">
        <f t="shared" si="31"/>
        <v>0.74626666666666663</v>
      </c>
      <c r="S81" s="66">
        <f t="shared" si="31"/>
        <v>8.3706500000000013</v>
      </c>
      <c r="T81" s="66" t="str">
        <f t="shared" si="31"/>
        <v>&lt;LLOQ</v>
      </c>
      <c r="U81" s="66" t="str">
        <f t="shared" si="31"/>
        <v>&lt;LLOQ</v>
      </c>
      <c r="V81" s="66">
        <f t="shared" si="31"/>
        <v>0.82546666666666668</v>
      </c>
    </row>
    <row r="82" spans="1:22" x14ac:dyDescent="0.2">
      <c r="A82" s="69" t="str">
        <f t="shared" si="0"/>
        <v>5,6-DiHETE</v>
      </c>
      <c r="B82" s="66"/>
      <c r="C82" s="66" t="str">
        <f t="shared" si="23"/>
        <v>&lt;LLOQ</v>
      </c>
      <c r="D82" s="66">
        <f t="shared" ref="D82:V82" si="32">IF(D30=0,"ND",IF(D30&lt;$B30,"&lt;LLOQ",(D30*D$51)/D$52))</f>
        <v>9.0407999999999991</v>
      </c>
      <c r="E82" s="66" t="str">
        <f t="shared" si="32"/>
        <v>&lt;LLOQ</v>
      </c>
      <c r="F82" s="66">
        <f t="shared" si="32"/>
        <v>1.3332166666666665</v>
      </c>
      <c r="G82" s="66" t="str">
        <f t="shared" si="32"/>
        <v>&lt;LLOQ</v>
      </c>
      <c r="H82" s="66" t="str">
        <f t="shared" si="32"/>
        <v>&lt;LLOQ</v>
      </c>
      <c r="I82" s="66" t="str">
        <f t="shared" si="32"/>
        <v>&lt;LLOQ</v>
      </c>
      <c r="J82" s="66" t="str">
        <f t="shared" si="32"/>
        <v>&lt;LLOQ</v>
      </c>
      <c r="K82" s="66">
        <f t="shared" si="32"/>
        <v>0.66735000000000011</v>
      </c>
      <c r="L82" s="66" t="str">
        <f t="shared" si="32"/>
        <v>&lt;LLOQ</v>
      </c>
      <c r="M82" s="66" t="str">
        <f t="shared" si="32"/>
        <v>&lt;LLOQ</v>
      </c>
      <c r="N82" s="66">
        <f t="shared" si="32"/>
        <v>2.2973166666666667</v>
      </c>
      <c r="O82" s="66">
        <f t="shared" si="32"/>
        <v>0.77238333333333331</v>
      </c>
      <c r="P82" s="66" t="str">
        <f t="shared" si="32"/>
        <v>&lt;LLOQ</v>
      </c>
      <c r="Q82" s="66">
        <f t="shared" si="32"/>
        <v>1.5452333333333332</v>
      </c>
      <c r="R82" s="66" t="str">
        <f t="shared" si="32"/>
        <v>&lt;LLOQ</v>
      </c>
      <c r="S82" s="66">
        <f t="shared" si="32"/>
        <v>5.3936333333333346</v>
      </c>
      <c r="T82" s="66" t="str">
        <f t="shared" si="32"/>
        <v>&lt;LLOQ</v>
      </c>
      <c r="U82" s="66" t="str">
        <f t="shared" si="32"/>
        <v>&lt;LLOQ</v>
      </c>
      <c r="V82" s="66" t="str">
        <f t="shared" si="32"/>
        <v>&lt;LLOQ</v>
      </c>
    </row>
    <row r="83" spans="1:22" x14ac:dyDescent="0.2">
      <c r="A83" s="69" t="str">
        <f t="shared" si="0"/>
        <v>15dPGJ2</v>
      </c>
      <c r="B83" s="66"/>
      <c r="C83" s="66" t="str">
        <f t="shared" si="23"/>
        <v>ND</v>
      </c>
      <c r="D83" s="66" t="str">
        <f t="shared" ref="D83:V83" si="33">IF(D31=0,"ND",IF(D31&lt;$B31,"&lt;LLOQ",(D31*D$51)/D$52))</f>
        <v>ND</v>
      </c>
      <c r="E83" s="66" t="str">
        <f t="shared" si="33"/>
        <v>ND</v>
      </c>
      <c r="F83" s="66" t="str">
        <f t="shared" si="33"/>
        <v>ND</v>
      </c>
      <c r="G83" s="66" t="str">
        <f t="shared" si="33"/>
        <v>ND</v>
      </c>
      <c r="H83" s="66" t="str">
        <f t="shared" si="33"/>
        <v>ND</v>
      </c>
      <c r="I83" s="66" t="str">
        <f t="shared" si="33"/>
        <v>ND</v>
      </c>
      <c r="J83" s="66" t="str">
        <f t="shared" si="33"/>
        <v>ND</v>
      </c>
      <c r="K83" s="66" t="str">
        <f t="shared" si="33"/>
        <v>ND</v>
      </c>
      <c r="L83" s="66" t="str">
        <f t="shared" si="33"/>
        <v>ND</v>
      </c>
      <c r="M83" s="66" t="str">
        <f t="shared" si="33"/>
        <v>ND</v>
      </c>
      <c r="N83" s="66" t="str">
        <f t="shared" si="33"/>
        <v>ND</v>
      </c>
      <c r="O83" s="66" t="str">
        <f t="shared" si="33"/>
        <v>ND</v>
      </c>
      <c r="P83" s="66" t="str">
        <f t="shared" si="33"/>
        <v>ND</v>
      </c>
      <c r="Q83" s="66" t="str">
        <f t="shared" si="33"/>
        <v>ND</v>
      </c>
      <c r="R83" s="66" t="str">
        <f t="shared" si="33"/>
        <v>ND</v>
      </c>
      <c r="S83" s="66" t="str">
        <f t="shared" si="33"/>
        <v>ND</v>
      </c>
      <c r="T83" s="66" t="str">
        <f t="shared" si="33"/>
        <v>ND</v>
      </c>
      <c r="U83" s="66" t="str">
        <f t="shared" si="33"/>
        <v>ND</v>
      </c>
      <c r="V83" s="66" t="str">
        <f t="shared" si="33"/>
        <v>ND</v>
      </c>
    </row>
    <row r="84" spans="1:22" x14ac:dyDescent="0.2">
      <c r="A84" s="69" t="str">
        <f t="shared" si="0"/>
        <v>10-HODE</v>
      </c>
      <c r="B84" s="66"/>
      <c r="C84" s="66">
        <f t="shared" ref="C84:C93" si="34">IF(C32=0,"ND",IF(C32&lt;$B32,"&lt;LLOQ",(C32*C$51)/C$52))</f>
        <v>0.49258333333333332</v>
      </c>
      <c r="D84" s="66">
        <f t="shared" ref="D84:V84" si="35">IF(D32=0,"ND",IF(D32&lt;$B32,"&lt;LLOQ",(D32*D$51)/D$52))</f>
        <v>1.5065999999999999</v>
      </c>
      <c r="E84" s="66">
        <f t="shared" si="35"/>
        <v>0.64493333333333325</v>
      </c>
      <c r="F84" s="66" t="str">
        <f t="shared" si="35"/>
        <v>&lt;LLOQ</v>
      </c>
      <c r="G84" s="66">
        <f t="shared" si="35"/>
        <v>1.4099000000000002</v>
      </c>
      <c r="H84" s="66">
        <f t="shared" si="35"/>
        <v>1.3597166666666667</v>
      </c>
      <c r="I84" s="66">
        <f t="shared" si="35"/>
        <v>0.64701666666666668</v>
      </c>
      <c r="J84" s="66">
        <f t="shared" si="35"/>
        <v>0.57013333333333327</v>
      </c>
      <c r="K84" s="66" t="str">
        <f t="shared" si="35"/>
        <v>&lt;LLOQ</v>
      </c>
      <c r="L84" s="66">
        <f t="shared" si="35"/>
        <v>0.45814999999999995</v>
      </c>
      <c r="M84" s="66" t="str">
        <f t="shared" si="35"/>
        <v>&lt;LLOQ</v>
      </c>
      <c r="N84" s="66">
        <f t="shared" si="35"/>
        <v>0.45868333333333333</v>
      </c>
      <c r="O84" s="66" t="str">
        <f t="shared" si="35"/>
        <v>&lt;LLOQ</v>
      </c>
      <c r="P84" s="66">
        <f t="shared" si="35"/>
        <v>1.7364833333333334</v>
      </c>
      <c r="Q84" s="66">
        <f t="shared" si="35"/>
        <v>0.40486666666666665</v>
      </c>
      <c r="R84" s="66">
        <f t="shared" si="35"/>
        <v>0.50048333333333328</v>
      </c>
      <c r="S84" s="66">
        <f t="shared" si="35"/>
        <v>1.5758666666666665</v>
      </c>
      <c r="T84" s="66" t="str">
        <f t="shared" si="35"/>
        <v>&lt;LLOQ</v>
      </c>
      <c r="U84" s="66" t="str">
        <f t="shared" si="35"/>
        <v>&lt;LLOQ</v>
      </c>
      <c r="V84" s="66">
        <f t="shared" si="35"/>
        <v>0.98964999999999992</v>
      </c>
    </row>
    <row r="85" spans="1:22" x14ac:dyDescent="0.2">
      <c r="A85" s="69" t="str">
        <f t="shared" si="0"/>
        <v>13-HODE</v>
      </c>
      <c r="B85" s="66"/>
      <c r="C85" s="66">
        <f t="shared" si="34"/>
        <v>49.344166666666666</v>
      </c>
      <c r="D85" s="66">
        <f t="shared" ref="D85:V85" si="36">IF(D33=0,"ND",IF(D33&lt;$B33,"&lt;LLOQ",(D33*D$51)/D$52))</f>
        <v>793.39911666666671</v>
      </c>
      <c r="E85" s="66">
        <f t="shared" si="36"/>
        <v>135.64386666666667</v>
      </c>
      <c r="F85" s="66">
        <f t="shared" si="36"/>
        <v>73.574650000000005</v>
      </c>
      <c r="G85" s="66">
        <f t="shared" si="36"/>
        <v>75.668899999999994</v>
      </c>
      <c r="H85" s="66">
        <f t="shared" si="36"/>
        <v>172.18753333333333</v>
      </c>
      <c r="I85" s="66">
        <f t="shared" si="36"/>
        <v>117.66615</v>
      </c>
      <c r="J85" s="66">
        <f t="shared" si="36"/>
        <v>55.648333333333326</v>
      </c>
      <c r="K85" s="66">
        <f t="shared" si="36"/>
        <v>72.682083333333324</v>
      </c>
      <c r="L85" s="66">
        <f t="shared" si="36"/>
        <v>187.80081666666669</v>
      </c>
      <c r="M85" s="66">
        <f t="shared" si="36"/>
        <v>71.216233333333335</v>
      </c>
      <c r="N85" s="66">
        <f t="shared" si="36"/>
        <v>93.826266666666655</v>
      </c>
      <c r="O85" s="66">
        <f t="shared" si="36"/>
        <v>80.821883333333332</v>
      </c>
      <c r="P85" s="66">
        <f t="shared" si="36"/>
        <v>88.261483333333345</v>
      </c>
      <c r="Q85" s="66">
        <f t="shared" si="36"/>
        <v>141.89249999999998</v>
      </c>
      <c r="R85" s="66">
        <f t="shared" si="36"/>
        <v>52.836233333333332</v>
      </c>
      <c r="S85" s="66">
        <f t="shared" si="36"/>
        <v>562.88350000000003</v>
      </c>
      <c r="T85" s="66">
        <f t="shared" si="36"/>
        <v>21.436433333333333</v>
      </c>
      <c r="U85" s="66">
        <f t="shared" si="36"/>
        <v>38.053199999999997</v>
      </c>
      <c r="V85" s="66">
        <f t="shared" si="36"/>
        <v>94.703199999999995</v>
      </c>
    </row>
    <row r="86" spans="1:22" x14ac:dyDescent="0.2">
      <c r="A86" s="69" t="str">
        <f t="shared" ref="A86:A100" si="37">A34</f>
        <v>9-HODE</v>
      </c>
      <c r="B86" s="66"/>
      <c r="C86" s="66">
        <f t="shared" si="34"/>
        <v>23.767666666666667</v>
      </c>
      <c r="D86" s="66">
        <f t="shared" ref="D86:V86" si="38">IF(D34=0,"ND",IF(D34&lt;$B34,"&lt;LLOQ",(D34*D$51)/D$52))</f>
        <v>470.97488333333331</v>
      </c>
      <c r="E86" s="66">
        <f t="shared" si="38"/>
        <v>52.089466666666674</v>
      </c>
      <c r="F86" s="66">
        <f t="shared" si="38"/>
        <v>56.172266666666665</v>
      </c>
      <c r="G86" s="66">
        <f t="shared" si="38"/>
        <v>40.300966666666667</v>
      </c>
      <c r="H86" s="66">
        <f t="shared" si="38"/>
        <v>94.776283333333325</v>
      </c>
      <c r="I86" s="66">
        <f t="shared" si="38"/>
        <v>66.713833333333326</v>
      </c>
      <c r="J86" s="66">
        <f t="shared" si="38"/>
        <v>12.680583333333335</v>
      </c>
      <c r="K86" s="66">
        <f t="shared" si="38"/>
        <v>41.500599999999999</v>
      </c>
      <c r="L86" s="66">
        <f t="shared" si="38"/>
        <v>62.046433333333333</v>
      </c>
      <c r="M86" s="66">
        <f t="shared" si="38"/>
        <v>55.71138333333333</v>
      </c>
      <c r="N86" s="66">
        <f t="shared" si="38"/>
        <v>68.724883333333338</v>
      </c>
      <c r="O86" s="66">
        <f t="shared" si="38"/>
        <v>45.176283333333338</v>
      </c>
      <c r="P86" s="66">
        <f t="shared" si="38"/>
        <v>50.273099999999999</v>
      </c>
      <c r="Q86" s="66">
        <f t="shared" si="38"/>
        <v>111.24073333333332</v>
      </c>
      <c r="R86" s="66">
        <f t="shared" si="38"/>
        <v>12.085816666666666</v>
      </c>
      <c r="S86" s="66">
        <f t="shared" si="38"/>
        <v>396.41798333333338</v>
      </c>
      <c r="T86" s="66">
        <f t="shared" si="38"/>
        <v>11.365100000000002</v>
      </c>
      <c r="U86" s="66">
        <f t="shared" si="38"/>
        <v>26.171700000000001</v>
      </c>
      <c r="V86" s="66">
        <f t="shared" si="38"/>
        <v>41.159599999999998</v>
      </c>
    </row>
    <row r="87" spans="1:22" x14ac:dyDescent="0.2">
      <c r="A87" s="69" t="str">
        <f t="shared" si="37"/>
        <v>15-HETE</v>
      </c>
      <c r="B87" s="66"/>
      <c r="C87" s="66">
        <f t="shared" si="34"/>
        <v>6.7071000000000005</v>
      </c>
      <c r="D87" s="66">
        <f t="shared" ref="D87:V87" si="39">IF(D35=0,"ND",IF(D35&lt;$B35,"&lt;LLOQ",(D35*D$51)/D$52))</f>
        <v>311.41931666666665</v>
      </c>
      <c r="E87" s="66">
        <f t="shared" si="39"/>
        <v>10.191233333333333</v>
      </c>
      <c r="F87" s="66">
        <f t="shared" si="39"/>
        <v>20.330716666666667</v>
      </c>
      <c r="G87" s="66">
        <f t="shared" si="39"/>
        <v>17.451000000000001</v>
      </c>
      <c r="H87" s="66">
        <f t="shared" si="39"/>
        <v>10.967466666666667</v>
      </c>
      <c r="I87" s="66">
        <f t="shared" si="39"/>
        <v>14.669933333333331</v>
      </c>
      <c r="J87" s="66">
        <f t="shared" si="39"/>
        <v>8.548233333333334</v>
      </c>
      <c r="K87" s="66">
        <f t="shared" si="39"/>
        <v>9.7523833333333343</v>
      </c>
      <c r="L87" s="66">
        <f t="shared" si="39"/>
        <v>9.362683333333333</v>
      </c>
      <c r="M87" s="66">
        <f t="shared" si="39"/>
        <v>13.739066666666666</v>
      </c>
      <c r="N87" s="66">
        <f t="shared" si="39"/>
        <v>13.478883333333332</v>
      </c>
      <c r="O87" s="66">
        <f t="shared" si="39"/>
        <v>11.043983333333335</v>
      </c>
      <c r="P87" s="66">
        <f t="shared" si="39"/>
        <v>8.3930166666666661</v>
      </c>
      <c r="Q87" s="66">
        <f t="shared" si="39"/>
        <v>21.023083333333332</v>
      </c>
      <c r="R87" s="66">
        <f t="shared" si="39"/>
        <v>15.681116666666666</v>
      </c>
      <c r="S87" s="66">
        <f t="shared" si="39"/>
        <v>130.93550000000002</v>
      </c>
      <c r="T87" s="66">
        <f t="shared" si="39"/>
        <v>4.6589666666666671</v>
      </c>
      <c r="U87" s="66">
        <f t="shared" si="39"/>
        <v>6.7656833333333326</v>
      </c>
      <c r="V87" s="66">
        <f t="shared" si="39"/>
        <v>14.750683333333333</v>
      </c>
    </row>
    <row r="88" spans="1:22" x14ac:dyDescent="0.2">
      <c r="A88" s="69" t="str">
        <f t="shared" si="37"/>
        <v>13-oxoODE</v>
      </c>
      <c r="B88" s="66"/>
      <c r="C88" s="66">
        <f t="shared" si="34"/>
        <v>4.3696333333333337</v>
      </c>
      <c r="D88" s="66">
        <f t="shared" ref="D88:V88" si="40">IF(D36=0,"ND",IF(D36&lt;$B36,"&lt;LLOQ",(D36*D$51)/D$52))</f>
        <v>11.315083333333332</v>
      </c>
      <c r="E88" s="66">
        <f t="shared" si="40"/>
        <v>13.622233333333334</v>
      </c>
      <c r="F88" s="66">
        <f t="shared" si="40"/>
        <v>10.850933333333332</v>
      </c>
      <c r="G88" s="66">
        <f t="shared" si="40"/>
        <v>3.0517833333333333</v>
      </c>
      <c r="H88" s="66">
        <f t="shared" si="40"/>
        <v>19.474049999999998</v>
      </c>
      <c r="I88" s="66">
        <f t="shared" si="40"/>
        <v>8.6968333333333323</v>
      </c>
      <c r="J88" s="66">
        <f t="shared" si="40"/>
        <v>2.4885333333333337</v>
      </c>
      <c r="K88" s="66">
        <f t="shared" si="40"/>
        <v>9.822283333333333</v>
      </c>
      <c r="L88" s="66">
        <f t="shared" si="40"/>
        <v>10.163083333333333</v>
      </c>
      <c r="M88" s="66">
        <f t="shared" si="40"/>
        <v>7.4598666666666666</v>
      </c>
      <c r="N88" s="66">
        <f t="shared" si="40"/>
        <v>19.998066666666666</v>
      </c>
      <c r="O88" s="66">
        <f t="shared" si="40"/>
        <v>9.0704833333333337</v>
      </c>
      <c r="P88" s="66">
        <f t="shared" si="40"/>
        <v>6.6106500000000006</v>
      </c>
      <c r="Q88" s="66">
        <f t="shared" si="40"/>
        <v>9.1753500000000017</v>
      </c>
      <c r="R88" s="66">
        <f t="shared" si="40"/>
        <v>3.2983666666666664</v>
      </c>
      <c r="S88" s="66">
        <f t="shared" si="40"/>
        <v>28.550899999999999</v>
      </c>
      <c r="T88" s="66">
        <f t="shared" si="40"/>
        <v>2.4545666666666666</v>
      </c>
      <c r="U88" s="66">
        <f t="shared" si="40"/>
        <v>6.2340666666666671</v>
      </c>
      <c r="V88" s="66">
        <f t="shared" si="40"/>
        <v>10.129150000000001</v>
      </c>
    </row>
    <row r="89" spans="1:22" x14ac:dyDescent="0.2">
      <c r="A89" s="69" t="str">
        <f t="shared" si="37"/>
        <v>17-HDHA</v>
      </c>
      <c r="B89" s="66"/>
      <c r="C89" s="66">
        <f t="shared" si="34"/>
        <v>12.364716666666668</v>
      </c>
      <c r="D89" s="66">
        <f t="shared" ref="D89:V89" si="41">IF(D37=0,"ND",IF(D37&lt;$B37,"&lt;LLOQ",(D37*D$51)/D$52))</f>
        <v>238.88676666666666</v>
      </c>
      <c r="E89" s="66">
        <f t="shared" si="41"/>
        <v>15.891366666666668</v>
      </c>
      <c r="F89" s="66">
        <f t="shared" si="41"/>
        <v>37.662383333333331</v>
      </c>
      <c r="G89" s="66">
        <f t="shared" si="41"/>
        <v>12.941483333333334</v>
      </c>
      <c r="H89" s="66">
        <f t="shared" si="41"/>
        <v>28.762366666666665</v>
      </c>
      <c r="I89" s="66">
        <f t="shared" si="41"/>
        <v>14.75295</v>
      </c>
      <c r="J89" s="66">
        <f t="shared" si="41"/>
        <v>12.250416666666666</v>
      </c>
      <c r="K89" s="66">
        <f t="shared" si="41"/>
        <v>13.042616666666667</v>
      </c>
      <c r="L89" s="66">
        <f t="shared" si="41"/>
        <v>11.510866666666667</v>
      </c>
      <c r="M89" s="66">
        <f t="shared" si="41"/>
        <v>23.699866666666665</v>
      </c>
      <c r="N89" s="66">
        <f t="shared" si="41"/>
        <v>18.679349999999999</v>
      </c>
      <c r="O89" s="66">
        <f t="shared" si="41"/>
        <v>16.634783333333335</v>
      </c>
      <c r="P89" s="66">
        <f t="shared" si="41"/>
        <v>11.542499999999999</v>
      </c>
      <c r="Q89" s="66">
        <f t="shared" si="41"/>
        <v>13.569133333333333</v>
      </c>
      <c r="R89" s="66">
        <f t="shared" si="41"/>
        <v>19.135466666666666</v>
      </c>
      <c r="S89" s="66">
        <f t="shared" si="41"/>
        <v>162.65216666666669</v>
      </c>
      <c r="T89" s="66">
        <f t="shared" si="41"/>
        <v>3.9316499999999999</v>
      </c>
      <c r="U89" s="66">
        <f t="shared" si="41"/>
        <v>8.0679166666666671</v>
      </c>
      <c r="V89" s="66">
        <f t="shared" si="41"/>
        <v>12.634166666666667</v>
      </c>
    </row>
    <row r="90" spans="1:22" x14ac:dyDescent="0.2">
      <c r="A90" s="69" t="str">
        <f t="shared" si="37"/>
        <v>9-oxoODE</v>
      </c>
      <c r="B90" s="66"/>
      <c r="C90" s="66">
        <f t="shared" si="34"/>
        <v>2.9042000000000003</v>
      </c>
      <c r="D90" s="66">
        <f t="shared" ref="D90:V90" si="42">IF(D38=0,"ND",IF(D38&lt;$B38,"&lt;LLOQ",(D38*D$51)/D$52))</f>
        <v>4.1485833333333337</v>
      </c>
      <c r="E90" s="66">
        <f t="shared" si="42"/>
        <v>17.857066666666665</v>
      </c>
      <c r="F90" s="66">
        <f t="shared" si="42"/>
        <v>4.4707666666666661</v>
      </c>
      <c r="G90" s="66">
        <f t="shared" si="42"/>
        <v>3.633483333333333</v>
      </c>
      <c r="H90" s="66">
        <f t="shared" si="42"/>
        <v>22.384999999999998</v>
      </c>
      <c r="I90" s="66">
        <f t="shared" si="42"/>
        <v>9.4824166666666674</v>
      </c>
      <c r="J90" s="66">
        <f t="shared" si="42"/>
        <v>1.6288333333333331</v>
      </c>
      <c r="K90" s="66">
        <f t="shared" si="42"/>
        <v>7.62615</v>
      </c>
      <c r="L90" s="66">
        <f t="shared" si="42"/>
        <v>13.084333333333332</v>
      </c>
      <c r="M90" s="66">
        <f t="shared" si="42"/>
        <v>8.1798499999999983</v>
      </c>
      <c r="N90" s="66">
        <f t="shared" si="42"/>
        <v>22.732450000000004</v>
      </c>
      <c r="O90" s="66">
        <f t="shared" si="42"/>
        <v>2.39635</v>
      </c>
      <c r="P90" s="66">
        <f t="shared" si="42"/>
        <v>4.7664500000000007</v>
      </c>
      <c r="Q90" s="66">
        <f t="shared" si="42"/>
        <v>5.1479833333333325</v>
      </c>
      <c r="R90" s="66">
        <f t="shared" si="42"/>
        <v>3.7851333333333335</v>
      </c>
      <c r="S90" s="66">
        <f t="shared" si="42"/>
        <v>17.034916666666668</v>
      </c>
      <c r="T90" s="66">
        <f t="shared" si="42"/>
        <v>3.3542333333333332</v>
      </c>
      <c r="U90" s="66">
        <f t="shared" si="42"/>
        <v>6.4079000000000006</v>
      </c>
      <c r="V90" s="66">
        <f t="shared" si="42"/>
        <v>13.815966666666666</v>
      </c>
    </row>
    <row r="91" spans="1:22" x14ac:dyDescent="0.2">
      <c r="A91" s="69" t="str">
        <f t="shared" si="37"/>
        <v>8-HETE</v>
      </c>
      <c r="B91" s="66"/>
      <c r="C91" s="66">
        <f t="shared" si="34"/>
        <v>4.2649999999999997</v>
      </c>
      <c r="D91" s="66">
        <f t="shared" ref="D91:V91" si="43">IF(D39=0,"ND",IF(D39&lt;$B39,"&lt;LLOQ",(D39*D$51)/D$52))</f>
        <v>157.49808333333334</v>
      </c>
      <c r="E91" s="66">
        <f t="shared" si="43"/>
        <v>5.9803333333333333</v>
      </c>
      <c r="F91" s="66">
        <f t="shared" si="43"/>
        <v>18.417766666666669</v>
      </c>
      <c r="G91" s="66">
        <f t="shared" si="43"/>
        <v>7.5383666666666667</v>
      </c>
      <c r="H91" s="66">
        <f t="shared" si="43"/>
        <v>4.9613333333333332</v>
      </c>
      <c r="I91" s="66">
        <f t="shared" si="43"/>
        <v>8.6435666666666666</v>
      </c>
      <c r="J91" s="66">
        <f t="shared" si="43"/>
        <v>3.6496833333333334</v>
      </c>
      <c r="K91" s="66">
        <f t="shared" si="43"/>
        <v>6.8679000000000006</v>
      </c>
      <c r="L91" s="66">
        <f t="shared" si="43"/>
        <v>5.6441499999999998</v>
      </c>
      <c r="M91" s="66">
        <f t="shared" si="43"/>
        <v>10.47845</v>
      </c>
      <c r="N91" s="66">
        <f t="shared" si="43"/>
        <v>9.6425833333333326</v>
      </c>
      <c r="O91" s="66">
        <f t="shared" si="43"/>
        <v>7.8624499999999999</v>
      </c>
      <c r="P91" s="66">
        <f t="shared" si="43"/>
        <v>6.5059666666666667</v>
      </c>
      <c r="Q91" s="66">
        <f t="shared" si="43"/>
        <v>15.267249999999999</v>
      </c>
      <c r="R91" s="66">
        <f t="shared" si="43"/>
        <v>3.8628333333333331</v>
      </c>
      <c r="S91" s="66">
        <f t="shared" si="43"/>
        <v>88.024950000000004</v>
      </c>
      <c r="T91" s="66">
        <f t="shared" si="43"/>
        <v>2.863633333333333</v>
      </c>
      <c r="U91" s="66">
        <f t="shared" si="43"/>
        <v>6.1688500000000008</v>
      </c>
      <c r="V91" s="66">
        <f t="shared" si="43"/>
        <v>7.3323333333333336</v>
      </c>
    </row>
    <row r="92" spans="1:22" x14ac:dyDescent="0.2">
      <c r="A92" s="69" t="str">
        <f t="shared" si="37"/>
        <v>12-HETE</v>
      </c>
      <c r="B92" s="66"/>
      <c r="C92" s="66">
        <f t="shared" si="34"/>
        <v>90.227316666666653</v>
      </c>
      <c r="D92" s="66">
        <f t="shared" ref="D92:V92" si="44">IF(D40=0,"ND",IF(D40&lt;$B40,"&lt;LLOQ",(D40*D$51)/D$52))</f>
        <v>827.11071666666669</v>
      </c>
      <c r="E92" s="66">
        <f t="shared" si="44"/>
        <v>441.80364999999995</v>
      </c>
      <c r="F92" s="66">
        <f t="shared" si="44"/>
        <v>127.32324999999999</v>
      </c>
      <c r="G92" s="66">
        <f t="shared" si="44"/>
        <v>398.59199999999998</v>
      </c>
      <c r="H92" s="66">
        <f t="shared" si="44"/>
        <v>434.73559999999998</v>
      </c>
      <c r="I92" s="66">
        <f t="shared" si="44"/>
        <v>268.21134999999998</v>
      </c>
      <c r="J92" s="66">
        <f t="shared" si="44"/>
        <v>199.73114999999999</v>
      </c>
      <c r="K92" s="66">
        <f t="shared" si="44"/>
        <v>150.71729999999999</v>
      </c>
      <c r="L92" s="66">
        <f t="shared" si="44"/>
        <v>574.15388333333328</v>
      </c>
      <c r="M92" s="66">
        <f t="shared" si="44"/>
        <v>20.315066666666667</v>
      </c>
      <c r="N92" s="66">
        <f t="shared" si="44"/>
        <v>138.85016666666667</v>
      </c>
      <c r="O92" s="66">
        <f t="shared" si="44"/>
        <v>92.875200000000007</v>
      </c>
      <c r="P92" s="66">
        <f t="shared" si="44"/>
        <v>23.536600000000004</v>
      </c>
      <c r="Q92" s="66">
        <f t="shared" si="44"/>
        <v>44.769166666666671</v>
      </c>
      <c r="R92" s="66">
        <f t="shared" si="44"/>
        <v>270.39328333333333</v>
      </c>
      <c r="S92" s="66">
        <f t="shared" si="44"/>
        <v>213.93918333333332</v>
      </c>
      <c r="T92" s="66">
        <f t="shared" si="44"/>
        <v>119.46905</v>
      </c>
      <c r="U92" s="66">
        <f t="shared" si="44"/>
        <v>83.42895</v>
      </c>
      <c r="V92" s="66">
        <f t="shared" si="44"/>
        <v>541.46735000000001</v>
      </c>
    </row>
    <row r="93" spans="1:22" x14ac:dyDescent="0.2">
      <c r="A93" s="69" t="str">
        <f t="shared" si="37"/>
        <v>14-HDHA</v>
      </c>
      <c r="B93" s="66"/>
      <c r="C93" s="66">
        <f t="shared" si="34"/>
        <v>65.220716666666661</v>
      </c>
      <c r="D93" s="66">
        <f t="shared" ref="D93:V93" si="45">IF(D41=0,"ND",IF(D41&lt;$B41,"&lt;LLOQ",(D41*D$51)/D$52))</f>
        <v>285.99188333333331</v>
      </c>
      <c r="E93" s="66">
        <f t="shared" si="45"/>
        <v>208.06284999999997</v>
      </c>
      <c r="F93" s="66">
        <f t="shared" si="45"/>
        <v>49.990066666666664</v>
      </c>
      <c r="G93" s="66">
        <f t="shared" si="45"/>
        <v>113.22055</v>
      </c>
      <c r="H93" s="66">
        <f t="shared" si="45"/>
        <v>371.07</v>
      </c>
      <c r="I93" s="66">
        <f t="shared" si="45"/>
        <v>75.871933333333331</v>
      </c>
      <c r="J93" s="66">
        <f t="shared" si="45"/>
        <v>112.06086666666667</v>
      </c>
      <c r="K93" s="66">
        <f t="shared" si="45"/>
        <v>51.65496666666666</v>
      </c>
      <c r="L93" s="66">
        <f t="shared" si="45"/>
        <v>189.94801666666669</v>
      </c>
      <c r="M93" s="66">
        <f t="shared" si="45"/>
        <v>16.555183333333336</v>
      </c>
      <c r="N93" s="66">
        <f t="shared" si="45"/>
        <v>33.974116666666667</v>
      </c>
      <c r="O93" s="66">
        <f t="shared" si="45"/>
        <v>42.533816666666667</v>
      </c>
      <c r="P93" s="66">
        <f t="shared" si="45"/>
        <v>7.69895</v>
      </c>
      <c r="Q93" s="66">
        <f t="shared" si="45"/>
        <v>8.4285499999999995</v>
      </c>
      <c r="R93" s="66">
        <f t="shared" si="45"/>
        <v>96.680583333333317</v>
      </c>
      <c r="S93" s="66">
        <f t="shared" si="45"/>
        <v>136.63743333333335</v>
      </c>
      <c r="T93" s="66">
        <f t="shared" si="45"/>
        <v>21.466716666666667</v>
      </c>
      <c r="U93" s="66">
        <f t="shared" si="45"/>
        <v>13.498316666666669</v>
      </c>
      <c r="V93" s="66">
        <f t="shared" si="45"/>
        <v>101.82040000000001</v>
      </c>
    </row>
    <row r="94" spans="1:22" x14ac:dyDescent="0.2">
      <c r="A94" s="69" t="str">
        <f t="shared" si="37"/>
        <v>5-HETE</v>
      </c>
      <c r="B94" s="66"/>
      <c r="C94" s="66">
        <f t="shared" ref="C94:C101" si="46">IF(C42=0,"ND",IF(C42&lt;$B42,"&lt;LLOQ",(C42*C$51)/C$52))</f>
        <v>152.71015</v>
      </c>
      <c r="D94" s="66">
        <f t="shared" ref="D94:V94" si="47">IF(D42=0,"ND",IF(D42&lt;$B42,"&lt;LLOQ",(D42*D$51)/D$52))</f>
        <v>1797.920816666667</v>
      </c>
      <c r="E94" s="66">
        <f t="shared" si="47"/>
        <v>101.77235</v>
      </c>
      <c r="F94" s="66">
        <f t="shared" si="47"/>
        <v>418.5385</v>
      </c>
      <c r="G94" s="66">
        <f t="shared" si="47"/>
        <v>97.386783333333341</v>
      </c>
      <c r="H94" s="66">
        <f t="shared" si="47"/>
        <v>17.393116666666668</v>
      </c>
      <c r="I94" s="66">
        <f t="shared" si="47"/>
        <v>245.20773333333332</v>
      </c>
      <c r="J94" s="66">
        <f t="shared" si="47"/>
        <v>66.736066666666673</v>
      </c>
      <c r="K94" s="66">
        <f t="shared" si="47"/>
        <v>248.76853333333335</v>
      </c>
      <c r="L94" s="66">
        <f t="shared" si="47"/>
        <v>62.15858333333334</v>
      </c>
      <c r="M94" s="66">
        <f t="shared" si="47"/>
        <v>123.36668333333334</v>
      </c>
      <c r="N94" s="66">
        <f t="shared" si="47"/>
        <v>465.9314333333333</v>
      </c>
      <c r="O94" s="66">
        <f t="shared" si="47"/>
        <v>224.07256666666669</v>
      </c>
      <c r="P94" s="66">
        <f t="shared" si="47"/>
        <v>73.611983333333328</v>
      </c>
      <c r="Q94" s="66">
        <f t="shared" si="47"/>
        <v>388.29865000000001</v>
      </c>
      <c r="R94" s="66">
        <f t="shared" si="47"/>
        <v>17.750266666666668</v>
      </c>
      <c r="S94" s="66">
        <f t="shared" si="47"/>
        <v>1592.8050499999999</v>
      </c>
      <c r="T94" s="66">
        <f t="shared" si="47"/>
        <v>39.87265</v>
      </c>
      <c r="U94" s="66">
        <f t="shared" si="47"/>
        <v>201.97471666666667</v>
      </c>
      <c r="V94" s="66">
        <f t="shared" si="47"/>
        <v>93.991516666666669</v>
      </c>
    </row>
    <row r="95" spans="1:22" x14ac:dyDescent="0.2">
      <c r="A95" s="69" t="str">
        <f t="shared" si="37"/>
        <v>14,15-EET</v>
      </c>
      <c r="B95" s="66"/>
      <c r="C95" s="66" t="str">
        <f t="shared" si="46"/>
        <v>ND</v>
      </c>
      <c r="D95" s="66" t="str">
        <f t="shared" ref="D95:V95" si="48">IF(D43=0,"ND",IF(D43&lt;$B43,"&lt;LLOQ",(D43*D$51)/D$52))</f>
        <v>ND</v>
      </c>
      <c r="E95" s="66" t="str">
        <f t="shared" si="48"/>
        <v>ND</v>
      </c>
      <c r="F95" s="66" t="str">
        <f t="shared" si="48"/>
        <v>ND</v>
      </c>
      <c r="G95" s="66" t="str">
        <f t="shared" si="48"/>
        <v>ND</v>
      </c>
      <c r="H95" s="66" t="str">
        <f t="shared" si="48"/>
        <v>ND</v>
      </c>
      <c r="I95" s="66" t="str">
        <f t="shared" si="48"/>
        <v>ND</v>
      </c>
      <c r="J95" s="66" t="str">
        <f t="shared" si="48"/>
        <v>ND</v>
      </c>
      <c r="K95" s="66" t="str">
        <f t="shared" si="48"/>
        <v>ND</v>
      </c>
      <c r="L95" s="66" t="str">
        <f t="shared" si="48"/>
        <v>ND</v>
      </c>
      <c r="M95" s="66" t="str">
        <f t="shared" si="48"/>
        <v>ND</v>
      </c>
      <c r="N95" s="66" t="str">
        <f t="shared" si="48"/>
        <v>ND</v>
      </c>
      <c r="O95" s="66" t="str">
        <f t="shared" si="48"/>
        <v>ND</v>
      </c>
      <c r="P95" s="66" t="str">
        <f t="shared" si="48"/>
        <v>ND</v>
      </c>
      <c r="Q95" s="66" t="str">
        <f t="shared" si="48"/>
        <v>ND</v>
      </c>
      <c r="R95" s="66" t="str">
        <f t="shared" si="48"/>
        <v>ND</v>
      </c>
      <c r="S95" s="66" t="str">
        <f t="shared" si="48"/>
        <v>ND</v>
      </c>
      <c r="T95" s="66" t="str">
        <f t="shared" si="48"/>
        <v>ND</v>
      </c>
      <c r="U95" s="66" t="str">
        <f t="shared" si="48"/>
        <v>ND</v>
      </c>
      <c r="V95" s="66" t="str">
        <f t="shared" si="48"/>
        <v>ND</v>
      </c>
    </row>
    <row r="96" spans="1:22" x14ac:dyDescent="0.2">
      <c r="A96" s="69" t="str">
        <f t="shared" si="37"/>
        <v>5oxoETE</v>
      </c>
      <c r="B96" s="66"/>
      <c r="C96" s="66" t="str">
        <f t="shared" si="46"/>
        <v>ND</v>
      </c>
      <c r="D96" s="66" t="str">
        <f t="shared" ref="D96:V96" si="49">IF(D44=0,"ND",IF(D44&lt;$B44,"&lt;LLOQ",(D44*D$51)/D$52))</f>
        <v>ND</v>
      </c>
      <c r="E96" s="66" t="str">
        <f t="shared" si="49"/>
        <v>ND</v>
      </c>
      <c r="F96" s="66" t="str">
        <f t="shared" si="49"/>
        <v>ND</v>
      </c>
      <c r="G96" s="66" t="str">
        <f t="shared" si="49"/>
        <v>ND</v>
      </c>
      <c r="H96" s="66" t="str">
        <f t="shared" si="49"/>
        <v>ND</v>
      </c>
      <c r="I96" s="66" t="str">
        <f t="shared" si="49"/>
        <v>ND</v>
      </c>
      <c r="J96" s="66" t="str">
        <f t="shared" si="49"/>
        <v>ND</v>
      </c>
      <c r="K96" s="66" t="str">
        <f t="shared" si="49"/>
        <v>ND</v>
      </c>
      <c r="L96" s="66" t="str">
        <f t="shared" si="49"/>
        <v>ND</v>
      </c>
      <c r="M96" s="66" t="str">
        <f t="shared" si="49"/>
        <v>ND</v>
      </c>
      <c r="N96" s="66" t="str">
        <f t="shared" si="49"/>
        <v>ND</v>
      </c>
      <c r="O96" s="66" t="str">
        <f t="shared" si="49"/>
        <v>ND</v>
      </c>
      <c r="P96" s="66" t="str">
        <f t="shared" si="49"/>
        <v>ND</v>
      </c>
      <c r="Q96" s="66" t="str">
        <f t="shared" si="49"/>
        <v>ND</v>
      </c>
      <c r="R96" s="66" t="str">
        <f t="shared" si="49"/>
        <v>ND</v>
      </c>
      <c r="S96" s="66" t="str">
        <f t="shared" si="49"/>
        <v>ND</v>
      </c>
      <c r="T96" s="66" t="str">
        <f t="shared" si="49"/>
        <v>ND</v>
      </c>
      <c r="U96" s="66" t="str">
        <f t="shared" si="49"/>
        <v>ND</v>
      </c>
      <c r="V96" s="66" t="str">
        <f t="shared" si="49"/>
        <v>ND</v>
      </c>
    </row>
    <row r="97" spans="1:22" x14ac:dyDescent="0.2">
      <c r="A97" s="69" t="str">
        <f t="shared" si="37"/>
        <v>5,6-EET</v>
      </c>
      <c r="B97" s="66"/>
      <c r="C97" s="66" t="str">
        <f t="shared" si="46"/>
        <v>ND</v>
      </c>
      <c r="D97" s="66" t="str">
        <f t="shared" ref="D97:V97" si="50">IF(D45=0,"ND",IF(D45&lt;$B45,"&lt;LLOQ",(D45*D$51)/D$52))</f>
        <v>ND</v>
      </c>
      <c r="E97" s="66" t="str">
        <f t="shared" si="50"/>
        <v>ND</v>
      </c>
      <c r="F97" s="66" t="str">
        <f t="shared" si="50"/>
        <v>ND</v>
      </c>
      <c r="G97" s="66" t="str">
        <f t="shared" si="50"/>
        <v>ND</v>
      </c>
      <c r="H97" s="66" t="str">
        <f t="shared" si="50"/>
        <v>ND</v>
      </c>
      <c r="I97" s="66" t="str">
        <f t="shared" si="50"/>
        <v>ND</v>
      </c>
      <c r="J97" s="66" t="str">
        <f t="shared" si="50"/>
        <v>ND</v>
      </c>
      <c r="K97" s="66" t="str">
        <f t="shared" si="50"/>
        <v>ND</v>
      </c>
      <c r="L97" s="66" t="str">
        <f t="shared" si="50"/>
        <v>ND</v>
      </c>
      <c r="M97" s="66" t="str">
        <f t="shared" si="50"/>
        <v>ND</v>
      </c>
      <c r="N97" s="66" t="str">
        <f t="shared" si="50"/>
        <v>ND</v>
      </c>
      <c r="O97" s="66" t="str">
        <f t="shared" si="50"/>
        <v>ND</v>
      </c>
      <c r="P97" s="66" t="str">
        <f t="shared" si="50"/>
        <v>ND</v>
      </c>
      <c r="Q97" s="66" t="str">
        <f t="shared" si="50"/>
        <v>ND</v>
      </c>
      <c r="R97" s="66" t="str">
        <f t="shared" si="50"/>
        <v>ND</v>
      </c>
      <c r="S97" s="66" t="str">
        <f t="shared" si="50"/>
        <v>ND</v>
      </c>
      <c r="T97" s="66" t="str">
        <f t="shared" si="50"/>
        <v>ND</v>
      </c>
      <c r="U97" s="66" t="str">
        <f t="shared" si="50"/>
        <v>ND</v>
      </c>
      <c r="V97" s="66" t="str">
        <f t="shared" si="50"/>
        <v>ND</v>
      </c>
    </row>
    <row r="98" spans="1:22" x14ac:dyDescent="0.2">
      <c r="A98" s="69" t="str">
        <f t="shared" si="37"/>
        <v>11,12-EET</v>
      </c>
      <c r="B98" s="66"/>
      <c r="C98" s="66" t="str">
        <f t="shared" si="46"/>
        <v>ND</v>
      </c>
      <c r="D98" s="66" t="str">
        <f t="shared" ref="D98:V98" si="51">IF(D46=0,"ND",IF(D46&lt;$B46,"&lt;LLOQ",(D46*D$51)/D$52))</f>
        <v>ND</v>
      </c>
      <c r="E98" s="66" t="str">
        <f t="shared" si="51"/>
        <v>ND</v>
      </c>
      <c r="F98" s="66" t="str">
        <f t="shared" si="51"/>
        <v>ND</v>
      </c>
      <c r="G98" s="66" t="str">
        <f t="shared" si="51"/>
        <v>ND</v>
      </c>
      <c r="H98" s="66" t="str">
        <f t="shared" si="51"/>
        <v>ND</v>
      </c>
      <c r="I98" s="66" t="str">
        <f t="shared" si="51"/>
        <v>ND</v>
      </c>
      <c r="J98" s="66" t="str">
        <f t="shared" si="51"/>
        <v>ND</v>
      </c>
      <c r="K98" s="66" t="str">
        <f t="shared" si="51"/>
        <v>ND</v>
      </c>
      <c r="L98" s="66" t="str">
        <f t="shared" si="51"/>
        <v>ND</v>
      </c>
      <c r="M98" s="66" t="str">
        <f t="shared" si="51"/>
        <v>ND</v>
      </c>
      <c r="N98" s="66" t="str">
        <f t="shared" si="51"/>
        <v>ND</v>
      </c>
      <c r="O98" s="66" t="str">
        <f t="shared" si="51"/>
        <v>ND</v>
      </c>
      <c r="P98" s="66" t="str">
        <f t="shared" si="51"/>
        <v>ND</v>
      </c>
      <c r="Q98" s="66" t="str">
        <f t="shared" si="51"/>
        <v>ND</v>
      </c>
      <c r="R98" s="66" t="str">
        <f t="shared" si="51"/>
        <v>ND</v>
      </c>
      <c r="S98" s="66" t="str">
        <f t="shared" si="51"/>
        <v>ND</v>
      </c>
      <c r="T98" s="66" t="str">
        <f t="shared" si="51"/>
        <v>ND</v>
      </c>
      <c r="U98" s="66" t="str">
        <f t="shared" si="51"/>
        <v>ND</v>
      </c>
      <c r="V98" s="66" t="str">
        <f t="shared" si="51"/>
        <v>ND</v>
      </c>
    </row>
    <row r="99" spans="1:22" x14ac:dyDescent="0.2">
      <c r="A99" s="69" t="str">
        <f t="shared" si="37"/>
        <v>8,9-EET</v>
      </c>
      <c r="B99" s="66"/>
      <c r="C99" s="66" t="str">
        <f t="shared" si="46"/>
        <v>ND</v>
      </c>
      <c r="D99" s="66" t="str">
        <f t="shared" ref="D99:V99" si="52">IF(D47=0,"ND",IF(D47&lt;$B47,"&lt;LLOQ",(D47*D$51)/D$52))</f>
        <v>ND</v>
      </c>
      <c r="E99" s="66" t="str">
        <f t="shared" si="52"/>
        <v>ND</v>
      </c>
      <c r="F99" s="66" t="str">
        <f t="shared" si="52"/>
        <v>ND</v>
      </c>
      <c r="G99" s="66" t="str">
        <f t="shared" si="52"/>
        <v>ND</v>
      </c>
      <c r="H99" s="66" t="str">
        <f t="shared" si="52"/>
        <v>ND</v>
      </c>
      <c r="I99" s="66" t="str">
        <f t="shared" si="52"/>
        <v>ND</v>
      </c>
      <c r="J99" s="66" t="str">
        <f t="shared" si="52"/>
        <v>ND</v>
      </c>
      <c r="K99" s="66" t="str">
        <f t="shared" si="52"/>
        <v>ND</v>
      </c>
      <c r="L99" s="66" t="str">
        <f t="shared" si="52"/>
        <v>ND</v>
      </c>
      <c r="M99" s="66" t="str">
        <f t="shared" si="52"/>
        <v>ND</v>
      </c>
      <c r="N99" s="66" t="str">
        <f t="shared" si="52"/>
        <v>ND</v>
      </c>
      <c r="O99" s="66" t="str">
        <f t="shared" si="52"/>
        <v>ND</v>
      </c>
      <c r="P99" s="66" t="str">
        <f t="shared" si="52"/>
        <v>ND</v>
      </c>
      <c r="Q99" s="66" t="str">
        <f t="shared" si="52"/>
        <v>ND</v>
      </c>
      <c r="R99" s="66" t="str">
        <f t="shared" si="52"/>
        <v>ND</v>
      </c>
      <c r="S99" s="66" t="str">
        <f t="shared" si="52"/>
        <v>ND</v>
      </c>
      <c r="T99" s="66" t="str">
        <f t="shared" si="52"/>
        <v>ND</v>
      </c>
      <c r="U99" s="66" t="str">
        <f t="shared" si="52"/>
        <v>ND</v>
      </c>
      <c r="V99" s="66" t="str">
        <f t="shared" si="52"/>
        <v>ND</v>
      </c>
    </row>
    <row r="100" spans="1:22" x14ac:dyDescent="0.2">
      <c r="A100" s="69" t="str">
        <f t="shared" si="37"/>
        <v>PD1</v>
      </c>
      <c r="B100" s="66"/>
      <c r="C100" s="66" t="str">
        <f t="shared" si="46"/>
        <v>ND</v>
      </c>
      <c r="D100" s="66" t="str">
        <f t="shared" ref="D100:V100" si="53">IF(D48=0,"ND",IF(D48&lt;$B48,"&lt;LLOQ",(D48*D$51)/D$52))</f>
        <v>ND</v>
      </c>
      <c r="E100" s="66" t="str">
        <f t="shared" si="53"/>
        <v>ND</v>
      </c>
      <c r="F100" s="66" t="str">
        <f t="shared" si="53"/>
        <v>ND</v>
      </c>
      <c r="G100" s="66" t="str">
        <f t="shared" si="53"/>
        <v>ND</v>
      </c>
      <c r="H100" s="66" t="str">
        <f t="shared" si="53"/>
        <v>ND</v>
      </c>
      <c r="I100" s="66" t="str">
        <f t="shared" si="53"/>
        <v>ND</v>
      </c>
      <c r="J100" s="66" t="str">
        <f t="shared" si="53"/>
        <v>ND</v>
      </c>
      <c r="K100" s="66" t="str">
        <f t="shared" si="53"/>
        <v>ND</v>
      </c>
      <c r="L100" s="66" t="str">
        <f t="shared" si="53"/>
        <v>ND</v>
      </c>
      <c r="M100" s="66" t="str">
        <f t="shared" si="53"/>
        <v>ND</v>
      </c>
      <c r="N100" s="66" t="str">
        <f t="shared" si="53"/>
        <v>ND</v>
      </c>
      <c r="O100" s="66" t="str">
        <f t="shared" si="53"/>
        <v>ND</v>
      </c>
      <c r="P100" s="66" t="str">
        <f t="shared" si="53"/>
        <v>ND</v>
      </c>
      <c r="Q100" s="66" t="str">
        <f t="shared" si="53"/>
        <v>ND</v>
      </c>
      <c r="R100" s="66" t="str">
        <f t="shared" si="53"/>
        <v>ND</v>
      </c>
      <c r="S100" s="66" t="str">
        <f t="shared" si="53"/>
        <v>ND</v>
      </c>
      <c r="T100" s="66" t="str">
        <f t="shared" si="53"/>
        <v>ND</v>
      </c>
      <c r="U100" s="66" t="str">
        <f t="shared" si="53"/>
        <v>ND</v>
      </c>
      <c r="V100" s="66" t="str">
        <f t="shared" si="53"/>
        <v>ND</v>
      </c>
    </row>
    <row r="101" spans="1:22" ht="13.5" thickBot="1" x14ac:dyDescent="0.25">
      <c r="A101" s="70" t="str">
        <f t="shared" ref="A101" si="54">A49</f>
        <v>16-HDHA</v>
      </c>
      <c r="B101" s="66"/>
      <c r="C101" s="66">
        <f t="shared" si="46"/>
        <v>2.6760499999999996</v>
      </c>
      <c r="D101" s="66">
        <f t="shared" ref="D101:V101" si="55">IF(D49=0,"ND",IF(D49&lt;$B49,"&lt;LLOQ",(D49*D$51)/D$52))</f>
        <v>74.694983333333326</v>
      </c>
      <c r="E101" s="66">
        <f t="shared" si="55"/>
        <v>1.7213499999999999</v>
      </c>
      <c r="F101" s="66">
        <f t="shared" si="55"/>
        <v>10.255466666666667</v>
      </c>
      <c r="G101" s="66">
        <f t="shared" si="55"/>
        <v>2.1435333333333331</v>
      </c>
      <c r="H101" s="66">
        <f t="shared" si="55"/>
        <v>1.3975833333333334</v>
      </c>
      <c r="I101" s="66">
        <f t="shared" si="55"/>
        <v>4.0192833333333331</v>
      </c>
      <c r="J101" s="66">
        <f t="shared" si="55"/>
        <v>1.1454500000000001</v>
      </c>
      <c r="K101" s="66">
        <f t="shared" si="55"/>
        <v>2.8013833333333333</v>
      </c>
      <c r="L101" s="66">
        <f t="shared" si="55"/>
        <v>0.78043333333333331</v>
      </c>
      <c r="M101" s="66">
        <f t="shared" si="55"/>
        <v>7.556516666666667</v>
      </c>
      <c r="N101" s="66">
        <f t="shared" si="55"/>
        <v>5.2946500000000007</v>
      </c>
      <c r="O101" s="66">
        <f t="shared" si="55"/>
        <v>5.1776166666666663</v>
      </c>
      <c r="P101" s="66">
        <f t="shared" si="55"/>
        <v>3.8124000000000007</v>
      </c>
      <c r="Q101" s="66">
        <f t="shared" si="55"/>
        <v>4.8686333333333334</v>
      </c>
      <c r="R101" s="66">
        <f t="shared" si="55"/>
        <v>0.88928333333333331</v>
      </c>
      <c r="S101" s="66">
        <f t="shared" si="55"/>
        <v>51.989400000000003</v>
      </c>
      <c r="T101" s="66">
        <f t="shared" si="55"/>
        <v>0.76653333333333329</v>
      </c>
      <c r="U101" s="66">
        <f t="shared" si="55"/>
        <v>1.9029499999999999</v>
      </c>
      <c r="V101" s="66">
        <f t="shared" si="55"/>
        <v>1.2739499999999999</v>
      </c>
    </row>
    <row r="102" spans="1:22" x14ac:dyDescent="0.2">
      <c r="B102" s="66"/>
    </row>
  </sheetData>
  <sheetProtection algorithmName="SHA-512" hashValue="6tBcDC7i1twwR2Is3BaETImH+7NWu/H9RZbnK2rZEBjYEWip90DVj0Ig9uzcT5m6F1Eo/ODKVqi08+qVU6agUw==" saltValue="fMQbwia1DC1gtQf5rncsWg==" spinCount="100000" sheet="1" formatCells="0"/>
  <sortState ref="A3:K30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zoomScale="85" zoomScaleNormal="85" workbookViewId="0">
      <selection activeCell="A29" sqref="A29"/>
    </sheetView>
  </sheetViews>
  <sheetFormatPr baseColWidth="10" defaultColWidth="11.42578125" defaultRowHeight="17.25" customHeight="1" x14ac:dyDescent="0.25"/>
  <cols>
    <col min="1" max="1" width="15.7109375" bestFit="1" customWidth="1"/>
    <col min="2" max="2" width="31.5703125" bestFit="1" customWidth="1"/>
    <col min="3" max="3" width="33" style="14" bestFit="1" customWidth="1"/>
    <col min="4" max="4" width="61" style="14" bestFit="1" customWidth="1"/>
    <col min="5" max="5" width="11.28515625" customWidth="1"/>
    <col min="6" max="6" width="36.7109375" bestFit="1" customWidth="1"/>
    <col min="7" max="7" width="189.140625" bestFit="1" customWidth="1"/>
  </cols>
  <sheetData>
    <row r="1" spans="1:7" ht="17.25" customHeight="1" x14ac:dyDescent="0.25">
      <c r="C1" s="32" t="s">
        <v>75</v>
      </c>
      <c r="D1" s="23" t="s">
        <v>76</v>
      </c>
      <c r="E1" s="22" t="s">
        <v>77</v>
      </c>
      <c r="F1" s="24" t="s">
        <v>78</v>
      </c>
      <c r="G1" s="28" t="s">
        <v>79</v>
      </c>
    </row>
    <row r="2" spans="1:7" ht="17.25" customHeight="1" x14ac:dyDescent="0.25">
      <c r="A2" s="9" t="s">
        <v>20</v>
      </c>
      <c r="C2" s="33" t="s">
        <v>80</v>
      </c>
      <c r="D2" s="15" t="s">
        <v>81</v>
      </c>
      <c r="E2" s="17">
        <v>34450</v>
      </c>
      <c r="F2" s="25" t="s">
        <v>82</v>
      </c>
      <c r="G2" s="29" t="s">
        <v>83</v>
      </c>
    </row>
    <row r="3" spans="1:7" ht="17.25" customHeight="1" x14ac:dyDescent="0.25">
      <c r="A3" s="9" t="s">
        <v>84</v>
      </c>
      <c r="C3" s="33" t="s">
        <v>85</v>
      </c>
      <c r="D3" s="15" t="s">
        <v>86</v>
      </c>
      <c r="E3" s="18">
        <v>34490</v>
      </c>
      <c r="F3" s="108" t="s">
        <v>87</v>
      </c>
      <c r="G3" s="109" t="s">
        <v>88</v>
      </c>
    </row>
    <row r="4" spans="1:7" ht="17.25" customHeight="1" x14ac:dyDescent="0.25">
      <c r="A4" s="9" t="s">
        <v>89</v>
      </c>
      <c r="C4" s="33" t="s">
        <v>90</v>
      </c>
      <c r="D4" s="15" t="s">
        <v>91</v>
      </c>
      <c r="E4" s="18">
        <v>34130</v>
      </c>
      <c r="F4" s="108" t="s">
        <v>92</v>
      </c>
      <c r="G4" s="109" t="s">
        <v>93</v>
      </c>
    </row>
    <row r="5" spans="1:7" ht="17.25" customHeight="1" x14ac:dyDescent="0.25">
      <c r="A5" s="9" t="s">
        <v>23</v>
      </c>
      <c r="C5" s="33" t="s">
        <v>94</v>
      </c>
      <c r="D5" s="15" t="s">
        <v>95</v>
      </c>
      <c r="E5" s="18">
        <v>34157</v>
      </c>
      <c r="F5" s="108" t="s">
        <v>96</v>
      </c>
      <c r="G5" s="109" t="s">
        <v>97</v>
      </c>
    </row>
    <row r="6" spans="1:7" ht="17.25" customHeight="1" x14ac:dyDescent="0.25">
      <c r="A6" s="11" t="s">
        <v>24</v>
      </c>
      <c r="B6" s="9"/>
      <c r="C6" s="33"/>
      <c r="D6" s="15" t="s">
        <v>98</v>
      </c>
      <c r="E6" s="18">
        <v>28209</v>
      </c>
      <c r="F6" s="108" t="s">
        <v>99</v>
      </c>
      <c r="G6" s="109" t="s">
        <v>100</v>
      </c>
    </row>
    <row r="7" spans="1:7" ht="17.25" customHeight="1" x14ac:dyDescent="0.25">
      <c r="A7" s="11" t="s">
        <v>25</v>
      </c>
      <c r="B7" s="9"/>
      <c r="C7" s="33"/>
      <c r="D7" s="15" t="s">
        <v>101</v>
      </c>
      <c r="E7" s="18">
        <v>72643</v>
      </c>
      <c r="F7" s="108" t="s">
        <v>102</v>
      </c>
      <c r="G7" s="109" t="s">
        <v>103</v>
      </c>
    </row>
    <row r="8" spans="1:7" ht="17.25" customHeight="1" x14ac:dyDescent="0.25">
      <c r="A8" s="11" t="s">
        <v>26</v>
      </c>
      <c r="B8" s="9"/>
      <c r="C8" s="33"/>
      <c r="D8" s="15" t="s">
        <v>104</v>
      </c>
      <c r="E8" s="18">
        <v>84447</v>
      </c>
      <c r="F8" s="108" t="s">
        <v>105</v>
      </c>
      <c r="G8" s="109" t="s">
        <v>106</v>
      </c>
    </row>
    <row r="9" spans="1:7" ht="17.25" customHeight="1" x14ac:dyDescent="0.25">
      <c r="A9" s="11" t="s">
        <v>107</v>
      </c>
      <c r="B9" s="9"/>
      <c r="C9" s="33"/>
      <c r="D9" s="15" t="s">
        <v>108</v>
      </c>
      <c r="E9" s="18">
        <v>64017</v>
      </c>
      <c r="F9" s="108" t="s">
        <v>109</v>
      </c>
      <c r="G9" s="109" t="s">
        <v>110</v>
      </c>
    </row>
    <row r="10" spans="1:7" ht="17.25" customHeight="1" x14ac:dyDescent="0.25">
      <c r="A10" s="11" t="s">
        <v>111</v>
      </c>
      <c r="B10" s="9"/>
      <c r="C10" s="34" t="s">
        <v>112</v>
      </c>
      <c r="D10" s="15" t="s">
        <v>113</v>
      </c>
      <c r="E10" s="18">
        <v>52449</v>
      </c>
      <c r="F10" s="108" t="s">
        <v>114</v>
      </c>
      <c r="G10" s="109" t="s">
        <v>115</v>
      </c>
    </row>
    <row r="11" spans="1:7" ht="17.25" customHeight="1" x14ac:dyDescent="0.25">
      <c r="A11" s="11" t="s">
        <v>116</v>
      </c>
      <c r="B11" s="12" t="s">
        <v>117</v>
      </c>
      <c r="C11" s="35"/>
      <c r="D11" s="15" t="s">
        <v>118</v>
      </c>
      <c r="E11" s="18">
        <v>15647</v>
      </c>
      <c r="F11" s="26" t="s">
        <v>119</v>
      </c>
      <c r="G11" s="30" t="s">
        <v>120</v>
      </c>
    </row>
    <row r="12" spans="1:7" ht="17.25" customHeight="1" x14ac:dyDescent="0.25">
      <c r="A12" s="11" t="s">
        <v>121</v>
      </c>
      <c r="B12" s="12" t="s">
        <v>122</v>
      </c>
      <c r="C12" s="36" t="s">
        <v>123</v>
      </c>
      <c r="D12" s="15" t="s">
        <v>124</v>
      </c>
      <c r="E12" s="18">
        <v>6498</v>
      </c>
      <c r="F12" s="26" t="s">
        <v>125</v>
      </c>
      <c r="G12" s="30" t="s">
        <v>126</v>
      </c>
    </row>
    <row r="13" spans="1:7" ht="17.25" customHeight="1" x14ac:dyDescent="0.25">
      <c r="A13" s="11" t="s">
        <v>127</v>
      </c>
      <c r="B13" s="12" t="s">
        <v>128</v>
      </c>
      <c r="C13" s="36" t="s">
        <v>129</v>
      </c>
      <c r="D13" s="15" t="s">
        <v>130</v>
      </c>
      <c r="E13" s="19">
        <v>6499</v>
      </c>
      <c r="F13" s="25" t="s">
        <v>131</v>
      </c>
      <c r="G13" s="29" t="s">
        <v>132</v>
      </c>
    </row>
    <row r="14" spans="1:7" ht="17.25" customHeight="1" x14ac:dyDescent="0.35">
      <c r="A14" s="11" t="s">
        <v>133</v>
      </c>
      <c r="B14" s="12" t="s">
        <v>134</v>
      </c>
      <c r="C14" s="36" t="s">
        <v>135</v>
      </c>
      <c r="D14" s="15" t="s">
        <v>136</v>
      </c>
      <c r="E14" s="17" t="s">
        <v>137</v>
      </c>
      <c r="F14" s="25" t="s">
        <v>138</v>
      </c>
      <c r="G14" s="29" t="s">
        <v>139</v>
      </c>
    </row>
    <row r="15" spans="1:7" ht="17.25" customHeight="1" x14ac:dyDescent="0.25">
      <c r="A15" s="11" t="s">
        <v>140</v>
      </c>
      <c r="B15" s="12" t="s">
        <v>141</v>
      </c>
      <c r="C15" s="35"/>
      <c r="D15" s="15" t="s">
        <v>142</v>
      </c>
      <c r="E15" s="19">
        <v>15555</v>
      </c>
      <c r="F15" s="25" t="s">
        <v>143</v>
      </c>
      <c r="G15" s="29" t="s">
        <v>144</v>
      </c>
    </row>
    <row r="16" spans="1:7" ht="17.25" customHeight="1" x14ac:dyDescent="0.25">
      <c r="A16" s="11" t="s">
        <v>145</v>
      </c>
      <c r="B16" s="12" t="s">
        <v>146</v>
      </c>
      <c r="C16" s="35"/>
      <c r="D16" s="15" t="s">
        <v>147</v>
      </c>
      <c r="E16" s="20">
        <v>15551</v>
      </c>
      <c r="F16" s="25" t="s">
        <v>148</v>
      </c>
      <c r="G16" s="29" t="s">
        <v>149</v>
      </c>
    </row>
    <row r="17" spans="1:7" ht="17.25" customHeight="1" x14ac:dyDescent="0.25">
      <c r="A17" s="11" t="s">
        <v>150</v>
      </c>
      <c r="B17" s="12" t="s">
        <v>151</v>
      </c>
      <c r="C17" s="34"/>
      <c r="D17" s="15" t="s">
        <v>152</v>
      </c>
      <c r="E17" s="18">
        <v>15553</v>
      </c>
      <c r="F17" s="26" t="s">
        <v>153</v>
      </c>
      <c r="G17" s="30" t="s">
        <v>154</v>
      </c>
    </row>
    <row r="18" spans="1:7" ht="17.25" customHeight="1" x14ac:dyDescent="0.25">
      <c r="A18" s="11" t="s">
        <v>155</v>
      </c>
      <c r="B18" s="12" t="s">
        <v>156</v>
      </c>
      <c r="C18" s="34"/>
      <c r="D18" s="15" t="s">
        <v>157</v>
      </c>
      <c r="E18" s="21">
        <v>27595</v>
      </c>
      <c r="F18" s="25" t="s">
        <v>158</v>
      </c>
      <c r="G18" s="29" t="s">
        <v>159</v>
      </c>
    </row>
    <row r="19" spans="1:7" ht="17.25" customHeight="1" x14ac:dyDescent="0.35">
      <c r="A19" s="11" t="s">
        <v>37</v>
      </c>
      <c r="B19" t="s">
        <v>160</v>
      </c>
      <c r="C19" s="34"/>
      <c r="D19" s="15" t="s">
        <v>161</v>
      </c>
      <c r="E19" s="21">
        <v>63976</v>
      </c>
      <c r="F19" s="27" t="s">
        <v>162</v>
      </c>
      <c r="G19" s="31" t="s">
        <v>163</v>
      </c>
    </row>
    <row r="20" spans="1:7" ht="17.25" customHeight="1" x14ac:dyDescent="0.25">
      <c r="A20" s="11" t="s">
        <v>164</v>
      </c>
      <c r="B20" s="12" t="s">
        <v>165</v>
      </c>
      <c r="C20" s="34" t="s">
        <v>166</v>
      </c>
      <c r="D20" s="15" t="s">
        <v>167</v>
      </c>
      <c r="E20" s="21">
        <v>34159</v>
      </c>
      <c r="F20" s="27" t="s">
        <v>168</v>
      </c>
      <c r="G20" s="31" t="s">
        <v>169</v>
      </c>
    </row>
    <row r="21" spans="1:7" ht="17.25" customHeight="1" x14ac:dyDescent="0.25">
      <c r="A21" s="11" t="s">
        <v>170</v>
      </c>
      <c r="B21" s="12" t="s">
        <v>171</v>
      </c>
      <c r="C21" s="34"/>
      <c r="D21" s="15" t="s">
        <v>172</v>
      </c>
      <c r="E21" s="21">
        <v>28158</v>
      </c>
      <c r="F21" s="25" t="s">
        <v>173</v>
      </c>
      <c r="G21" s="29" t="s">
        <v>174</v>
      </c>
    </row>
    <row r="22" spans="1:7" ht="17.25" customHeight="1" x14ac:dyDescent="0.25">
      <c r="A22" s="11" t="s">
        <v>175</v>
      </c>
      <c r="B22" s="12" t="s">
        <v>176</v>
      </c>
      <c r="C22" s="34"/>
      <c r="D22" s="15" t="s">
        <v>177</v>
      </c>
      <c r="E22" s="19">
        <v>28728</v>
      </c>
      <c r="F22" s="27" t="s">
        <v>178</v>
      </c>
      <c r="G22" s="31" t="s">
        <v>179</v>
      </c>
    </row>
    <row r="23" spans="1:7" ht="17.25" customHeight="1" x14ac:dyDescent="0.25">
      <c r="A23" s="11" t="s">
        <v>18</v>
      </c>
      <c r="B23" s="12" t="s">
        <v>180</v>
      </c>
      <c r="C23" s="34"/>
      <c r="D23" s="15" t="s">
        <v>181</v>
      </c>
      <c r="E23" s="19">
        <v>15545</v>
      </c>
      <c r="F23" s="25" t="s">
        <v>182</v>
      </c>
      <c r="G23" s="29" t="s">
        <v>183</v>
      </c>
    </row>
    <row r="24" spans="1:7" ht="17.25" customHeight="1" x14ac:dyDescent="0.25">
      <c r="A24" s="11" t="s">
        <v>51</v>
      </c>
      <c r="B24" s="12" t="s">
        <v>184</v>
      </c>
      <c r="C24" s="34" t="s">
        <v>185</v>
      </c>
      <c r="D24" s="15" t="s">
        <v>186</v>
      </c>
      <c r="E24" s="18">
        <v>72647</v>
      </c>
      <c r="F24" s="108" t="s">
        <v>187</v>
      </c>
      <c r="G24" s="109" t="s">
        <v>188</v>
      </c>
    </row>
    <row r="25" spans="1:7" ht="17.25" customHeight="1" x14ac:dyDescent="0.25">
      <c r="A25" s="11" t="s">
        <v>52</v>
      </c>
      <c r="B25" s="12" t="s">
        <v>189</v>
      </c>
      <c r="C25" s="34" t="s">
        <v>190</v>
      </c>
      <c r="D25" s="15" t="s">
        <v>191</v>
      </c>
      <c r="E25" s="18">
        <v>72637</v>
      </c>
      <c r="F25" s="108" t="s">
        <v>192</v>
      </c>
      <c r="G25" s="109" t="s">
        <v>193</v>
      </c>
    </row>
    <row r="26" spans="1:7" ht="17.25" customHeight="1" x14ac:dyDescent="0.25">
      <c r="A26" s="60" t="s">
        <v>194</v>
      </c>
      <c r="B26" t="s">
        <v>195</v>
      </c>
      <c r="C26" s="34" t="s">
        <v>196</v>
      </c>
      <c r="D26" s="15" t="s">
        <v>197</v>
      </c>
      <c r="E26" s="17" t="s">
        <v>137</v>
      </c>
      <c r="F26" s="25" t="s">
        <v>198</v>
      </c>
      <c r="G26" s="29" t="s">
        <v>199</v>
      </c>
    </row>
    <row r="27" spans="1:7" ht="17.25" customHeight="1" x14ac:dyDescent="0.25">
      <c r="A27" s="11" t="s">
        <v>200</v>
      </c>
      <c r="B27" s="12" t="s">
        <v>201</v>
      </c>
      <c r="C27" s="34" t="s">
        <v>202</v>
      </c>
      <c r="D27" s="15" t="s">
        <v>203</v>
      </c>
      <c r="E27" s="18">
        <v>140930</v>
      </c>
      <c r="F27" s="25" t="s">
        <v>204</v>
      </c>
      <c r="G27" s="29" t="s">
        <v>205</v>
      </c>
    </row>
    <row r="28" spans="1:7" ht="17.25" customHeight="1" x14ac:dyDescent="0.25">
      <c r="A28" s="11" t="s">
        <v>56</v>
      </c>
      <c r="B28" s="12"/>
      <c r="C28" s="34"/>
      <c r="D28" s="15"/>
      <c r="E28" s="18"/>
      <c r="F28" s="25"/>
      <c r="G28" s="29"/>
    </row>
    <row r="29" spans="1:7" ht="17.25" customHeight="1" x14ac:dyDescent="0.25">
      <c r="A29" s="11" t="s">
        <v>206</v>
      </c>
      <c r="B29" s="12" t="s">
        <v>207</v>
      </c>
      <c r="C29" s="36" t="s">
        <v>208</v>
      </c>
      <c r="D29" s="16" t="s">
        <v>209</v>
      </c>
      <c r="E29" s="19">
        <v>81564</v>
      </c>
      <c r="F29" s="27" t="s">
        <v>210</v>
      </c>
      <c r="G29" s="31" t="s">
        <v>211</v>
      </c>
    </row>
    <row r="30" spans="1:7" ht="17.25" customHeight="1" x14ac:dyDescent="0.25">
      <c r="A30" s="11" t="s">
        <v>212</v>
      </c>
      <c r="B30" s="12" t="s">
        <v>213</v>
      </c>
      <c r="C30" s="36" t="s">
        <v>214</v>
      </c>
      <c r="D30" s="16" t="s">
        <v>215</v>
      </c>
      <c r="E30" s="19">
        <v>81565</v>
      </c>
      <c r="F30" s="27" t="s">
        <v>216</v>
      </c>
      <c r="G30" s="31" t="s">
        <v>217</v>
      </c>
    </row>
    <row r="31" spans="1:7" ht="17.25" customHeight="1" x14ac:dyDescent="0.25">
      <c r="A31" s="11" t="s">
        <v>218</v>
      </c>
      <c r="B31" s="12" t="s">
        <v>219</v>
      </c>
      <c r="C31" s="34"/>
      <c r="D31" s="16" t="s">
        <v>220</v>
      </c>
      <c r="E31" s="19">
        <v>138648</v>
      </c>
      <c r="F31" s="27" t="s">
        <v>221</v>
      </c>
      <c r="G31" s="31" t="s">
        <v>222</v>
      </c>
    </row>
    <row r="32" spans="1:7" ht="17.25" customHeight="1" x14ac:dyDescent="0.25">
      <c r="A32" s="11" t="s">
        <v>223</v>
      </c>
      <c r="B32" s="12" t="s">
        <v>224</v>
      </c>
      <c r="C32" s="36" t="s">
        <v>225</v>
      </c>
      <c r="D32" s="16" t="s">
        <v>226</v>
      </c>
      <c r="E32" s="19">
        <v>138645</v>
      </c>
      <c r="F32" s="27" t="s">
        <v>227</v>
      </c>
      <c r="G32" s="31" t="s">
        <v>228</v>
      </c>
    </row>
    <row r="33" spans="1:7" ht="17.25" customHeight="1" x14ac:dyDescent="0.25">
      <c r="A33" s="11" t="s">
        <v>45</v>
      </c>
      <c r="B33" s="12"/>
      <c r="C33" s="34"/>
      <c r="D33" s="15" t="s">
        <v>229</v>
      </c>
      <c r="E33" s="18">
        <v>72802</v>
      </c>
      <c r="F33" s="26" t="s">
        <v>230</v>
      </c>
      <c r="G33" s="30" t="s">
        <v>231</v>
      </c>
    </row>
    <row r="34" spans="1:7" ht="17.25" customHeight="1" x14ac:dyDescent="0.25">
      <c r="A34" s="11" t="s">
        <v>232</v>
      </c>
      <c r="B34" s="12" t="s">
        <v>233</v>
      </c>
      <c r="C34" s="34"/>
      <c r="D34" s="16" t="s">
        <v>234</v>
      </c>
      <c r="E34" s="19">
        <v>88493</v>
      </c>
      <c r="F34" s="27" t="s">
        <v>235</v>
      </c>
      <c r="G34" s="31" t="s">
        <v>236</v>
      </c>
    </row>
    <row r="35" spans="1:7" ht="17.25" customHeight="1" x14ac:dyDescent="0.25">
      <c r="A35" s="11" t="s">
        <v>237</v>
      </c>
      <c r="B35" s="12" t="s">
        <v>238</v>
      </c>
      <c r="C35" s="34"/>
      <c r="D35" s="16" t="s">
        <v>239</v>
      </c>
      <c r="E35" s="19">
        <v>28031</v>
      </c>
      <c r="F35" s="27" t="s">
        <v>240</v>
      </c>
      <c r="G35" s="31" t="s">
        <v>241</v>
      </c>
    </row>
    <row r="36" spans="1:7" ht="17.25" customHeight="1" x14ac:dyDescent="0.25">
      <c r="A36" s="11" t="s">
        <v>242</v>
      </c>
      <c r="B36" s="12" t="s">
        <v>243</v>
      </c>
      <c r="C36" s="36" t="s">
        <v>244</v>
      </c>
      <c r="D36" s="16" t="s">
        <v>245</v>
      </c>
      <c r="E36" s="19">
        <v>81559</v>
      </c>
      <c r="F36" s="25" t="s">
        <v>246</v>
      </c>
      <c r="G36" s="31" t="s">
        <v>247</v>
      </c>
    </row>
    <row r="37" spans="1:7" ht="17.25" customHeight="1" x14ac:dyDescent="0.25">
      <c r="A37" s="11" t="s">
        <v>49</v>
      </c>
      <c r="B37" s="12"/>
      <c r="C37" s="34"/>
      <c r="D37" s="15" t="s">
        <v>248</v>
      </c>
      <c r="E37" s="17">
        <v>165283</v>
      </c>
      <c r="F37" s="25" t="s">
        <v>249</v>
      </c>
      <c r="G37" s="29" t="s">
        <v>250</v>
      </c>
    </row>
    <row r="38" spans="1:7" ht="17.25" customHeight="1" x14ac:dyDescent="0.25">
      <c r="A38" s="11" t="s">
        <v>251</v>
      </c>
      <c r="B38" s="12"/>
      <c r="C38" s="34"/>
      <c r="D38" s="15" t="s">
        <v>252</v>
      </c>
      <c r="E38" s="18">
        <v>34154</v>
      </c>
      <c r="F38" s="108" t="s">
        <v>253</v>
      </c>
      <c r="G38" s="109" t="s">
        <v>254</v>
      </c>
    </row>
    <row r="39" spans="1:7" ht="17.25" customHeight="1" x14ac:dyDescent="0.25">
      <c r="A39" s="11" t="s">
        <v>255</v>
      </c>
      <c r="B39" s="12"/>
      <c r="C39" s="34"/>
      <c r="D39" s="15" t="s">
        <v>256</v>
      </c>
      <c r="E39" s="18">
        <v>72651</v>
      </c>
      <c r="F39" s="26" t="s">
        <v>257</v>
      </c>
      <c r="G39" s="30" t="s">
        <v>258</v>
      </c>
    </row>
    <row r="40" spans="1:7" ht="17.25" customHeight="1" x14ac:dyDescent="0.25">
      <c r="A40" s="11" t="s">
        <v>12</v>
      </c>
      <c r="B40" s="13"/>
      <c r="C40" s="33" t="s">
        <v>259</v>
      </c>
      <c r="D40" s="15" t="s">
        <v>260</v>
      </c>
      <c r="E40" s="18">
        <v>72665</v>
      </c>
      <c r="F40" s="108" t="s">
        <v>261</v>
      </c>
      <c r="G40" s="109" t="s">
        <v>262</v>
      </c>
    </row>
    <row r="41" spans="1:7" ht="17.25" customHeight="1" x14ac:dyDescent="0.25">
      <c r="A41" s="11" t="s">
        <v>11</v>
      </c>
      <c r="B41" s="12"/>
      <c r="C41" s="33" t="s">
        <v>263</v>
      </c>
      <c r="D41" s="15" t="s">
        <v>264</v>
      </c>
      <c r="E41" s="18">
        <v>72663</v>
      </c>
      <c r="F41" s="108" t="s">
        <v>265</v>
      </c>
      <c r="G41" s="109" t="s">
        <v>266</v>
      </c>
    </row>
    <row r="42" spans="1:7" ht="17.25" customHeight="1" x14ac:dyDescent="0.25">
      <c r="A42" s="11" t="s">
        <v>267</v>
      </c>
      <c r="B42" s="12"/>
      <c r="C42" s="34" t="s">
        <v>268</v>
      </c>
      <c r="D42" s="15" t="s">
        <v>269</v>
      </c>
      <c r="E42" s="18">
        <v>68947</v>
      </c>
      <c r="F42" s="108" t="s">
        <v>270</v>
      </c>
      <c r="G42" s="109" t="s">
        <v>271</v>
      </c>
    </row>
    <row r="43" spans="1:7" ht="17.25" customHeight="1" x14ac:dyDescent="0.25">
      <c r="A43" s="11" t="s">
        <v>272</v>
      </c>
      <c r="B43" s="12"/>
      <c r="C43" s="34" t="s">
        <v>273</v>
      </c>
      <c r="D43" s="15" t="s">
        <v>274</v>
      </c>
      <c r="E43" s="18">
        <v>72842</v>
      </c>
      <c r="F43" s="108" t="s">
        <v>275</v>
      </c>
      <c r="G43" s="109" t="s">
        <v>276</v>
      </c>
    </row>
    <row r="44" spans="1:7" ht="17.25" customHeight="1" x14ac:dyDescent="0.25">
      <c r="A44" s="11" t="s">
        <v>277</v>
      </c>
      <c r="B44" s="12"/>
      <c r="C44" s="34"/>
      <c r="D44" s="15" t="s">
        <v>278</v>
      </c>
      <c r="E44" s="18">
        <v>34499</v>
      </c>
      <c r="F44" s="108" t="s">
        <v>279</v>
      </c>
      <c r="G44" s="109" t="s">
        <v>280</v>
      </c>
    </row>
    <row r="45" spans="1:7" ht="17.25" customHeight="1" x14ac:dyDescent="0.25">
      <c r="A45" s="11" t="s">
        <v>281</v>
      </c>
      <c r="B45" s="12"/>
      <c r="C45" s="36" t="s">
        <v>282</v>
      </c>
      <c r="D45" s="15" t="s">
        <v>283</v>
      </c>
      <c r="E45" s="18">
        <v>34506</v>
      </c>
      <c r="F45" s="108" t="s">
        <v>284</v>
      </c>
      <c r="G45" s="109" t="s">
        <v>285</v>
      </c>
    </row>
    <row r="46" spans="1:7" ht="17.25" customHeight="1" x14ac:dyDescent="0.25">
      <c r="A46" s="11" t="s">
        <v>286</v>
      </c>
      <c r="B46" s="12"/>
      <c r="C46" s="35"/>
      <c r="D46" s="15" t="s">
        <v>287</v>
      </c>
      <c r="E46" s="18">
        <v>80447</v>
      </c>
      <c r="F46" s="108" t="s">
        <v>288</v>
      </c>
      <c r="G46" s="109" t="s">
        <v>289</v>
      </c>
    </row>
    <row r="47" spans="1:7" ht="17.25" customHeight="1" x14ac:dyDescent="0.25">
      <c r="A47" s="11" t="s">
        <v>290</v>
      </c>
      <c r="B47" s="12"/>
      <c r="C47" s="35"/>
      <c r="D47" s="15" t="s">
        <v>291</v>
      </c>
      <c r="E47" s="18">
        <v>84441</v>
      </c>
      <c r="F47" s="108" t="s">
        <v>292</v>
      </c>
      <c r="G47" s="109" t="s">
        <v>293</v>
      </c>
    </row>
    <row r="48" spans="1:7" ht="17.25" customHeight="1" x14ac:dyDescent="0.25">
      <c r="A48" s="11" t="s">
        <v>294</v>
      </c>
      <c r="B48" s="12"/>
      <c r="C48" s="35"/>
      <c r="D48" s="15" t="s">
        <v>295</v>
      </c>
      <c r="E48" s="18">
        <v>165768</v>
      </c>
      <c r="F48" s="108" t="s">
        <v>296</v>
      </c>
      <c r="G48" s="109" t="s">
        <v>297</v>
      </c>
    </row>
    <row r="49" spans="1:1" ht="17.25" customHeight="1" x14ac:dyDescent="0.25">
      <c r="A49" s="1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36"/>
  <sheetViews>
    <sheetView showGridLines="0" topLeftCell="B1" zoomScale="70" zoomScaleNormal="70" workbookViewId="0">
      <selection activeCell="AB17" sqref="AB17"/>
    </sheetView>
  </sheetViews>
  <sheetFormatPr baseColWidth="10" defaultColWidth="11.42578125" defaultRowHeight="15.75" x14ac:dyDescent="0.25"/>
  <cols>
    <col min="1" max="1" width="8.42578125" style="42" bestFit="1" customWidth="1"/>
    <col min="2" max="2" width="4" style="42" bestFit="1" customWidth="1"/>
    <col min="3" max="3" width="16.7109375" style="42" bestFit="1" customWidth="1"/>
    <col min="4" max="4" width="4" style="42" bestFit="1" customWidth="1"/>
    <col min="5" max="5" width="16.7109375" style="42" bestFit="1" customWidth="1"/>
    <col min="6" max="6" width="4" style="42" bestFit="1" customWidth="1"/>
    <col min="7" max="7" width="14.140625" style="42" bestFit="1" customWidth="1"/>
    <col min="8" max="8" width="4" style="42" bestFit="1" customWidth="1"/>
    <col min="9" max="9" width="19.42578125" style="42" bestFit="1" customWidth="1"/>
    <col min="10" max="10" width="4" style="42" bestFit="1" customWidth="1"/>
    <col min="11" max="11" width="22.28515625" style="42" bestFit="1" customWidth="1"/>
    <col min="12" max="12" width="3.140625" style="42" bestFit="1" customWidth="1"/>
    <col min="13" max="13" width="15.140625" style="42" bestFit="1" customWidth="1"/>
    <col min="14" max="14" width="34.140625" style="42" bestFit="1" customWidth="1"/>
    <col min="15" max="16" width="16.7109375" style="42" bestFit="1" customWidth="1"/>
    <col min="17" max="17" width="4" style="42" bestFit="1" customWidth="1"/>
    <col min="18" max="18" width="17" style="42" bestFit="1" customWidth="1"/>
    <col min="19" max="19" width="4" style="42" bestFit="1" customWidth="1"/>
    <col min="20" max="20" width="14.140625" style="42" bestFit="1" customWidth="1"/>
    <col min="21" max="21" width="4" style="42" bestFit="1" customWidth="1"/>
    <col min="22" max="22" width="14.140625" style="42" bestFit="1" customWidth="1"/>
    <col min="23" max="23" width="4" style="42" bestFit="1" customWidth="1"/>
    <col min="24" max="24" width="15.42578125" style="42" bestFit="1" customWidth="1"/>
    <col min="25" max="25" width="4" style="42" bestFit="1" customWidth="1"/>
    <col min="26" max="26" width="19.140625" style="42" bestFit="1" customWidth="1"/>
    <col min="27" max="28" width="11.42578125" style="42"/>
    <col min="29" max="29" width="3" style="42" bestFit="1" customWidth="1"/>
    <col min="30" max="30" width="11.42578125" style="42"/>
    <col min="31" max="31" width="3" style="42" bestFit="1" customWidth="1"/>
    <col min="32" max="37" width="11.42578125" style="42"/>
    <col min="38" max="38" width="13.42578125" style="42" bestFit="1" customWidth="1"/>
    <col min="39" max="39" width="3" style="42" bestFit="1" customWidth="1"/>
    <col min="40" max="40" width="10.5703125" style="42" bestFit="1" customWidth="1"/>
    <col min="41" max="41" width="3" style="42" bestFit="1" customWidth="1"/>
    <col min="42" max="42" width="11.5703125" style="42" bestFit="1" customWidth="1"/>
    <col min="43" max="16384" width="11.42578125" style="42"/>
  </cols>
  <sheetData>
    <row r="3" spans="7:42" x14ac:dyDescent="0.25">
      <c r="I3" s="51" t="s">
        <v>281</v>
      </c>
      <c r="K3" s="51" t="s">
        <v>277</v>
      </c>
    </row>
    <row r="4" spans="7:42" ht="15.75" customHeight="1" x14ac:dyDescent="0.25">
      <c r="I4" s="44" t="s">
        <v>298</v>
      </c>
      <c r="K4" s="44" t="s">
        <v>298</v>
      </c>
      <c r="AB4" s="47" t="s">
        <v>47</v>
      </c>
      <c r="AC4" s="44" t="s">
        <v>299</v>
      </c>
      <c r="AD4" s="42" t="s">
        <v>300</v>
      </c>
      <c r="AE4" s="44" t="s">
        <v>299</v>
      </c>
      <c r="AF4" s="42" t="s">
        <v>301</v>
      </c>
      <c r="AG4" s="45" t="s">
        <v>302</v>
      </c>
      <c r="AH4" s="133" t="s">
        <v>303</v>
      </c>
      <c r="AI4" s="134"/>
      <c r="AJ4" s="135"/>
      <c r="AK4" s="46" t="s">
        <v>304</v>
      </c>
      <c r="AL4" s="42" t="s">
        <v>305</v>
      </c>
      <c r="AM4" s="44" t="s">
        <v>306</v>
      </c>
      <c r="AN4" s="42" t="s">
        <v>307</v>
      </c>
      <c r="AO4" s="44" t="s">
        <v>306</v>
      </c>
      <c r="AP4" s="47" t="s">
        <v>46</v>
      </c>
    </row>
    <row r="5" spans="7:42" x14ac:dyDescent="0.25">
      <c r="G5" s="51" t="s">
        <v>308</v>
      </c>
      <c r="H5" s="44" t="s">
        <v>299</v>
      </c>
      <c r="I5" s="52" t="s">
        <v>8</v>
      </c>
      <c r="J5" s="44" t="s">
        <v>299</v>
      </c>
      <c r="K5" s="43" t="s">
        <v>309</v>
      </c>
      <c r="AH5" s="136"/>
      <c r="AI5" s="137"/>
      <c r="AJ5" s="138"/>
    </row>
    <row r="6" spans="7:42" x14ac:dyDescent="0.25">
      <c r="L6" s="44" t="s">
        <v>310</v>
      </c>
      <c r="M6" s="45" t="s">
        <v>304</v>
      </c>
      <c r="N6" s="139" t="s">
        <v>311</v>
      </c>
      <c r="O6" s="45" t="s">
        <v>312</v>
      </c>
      <c r="P6" s="42" t="s">
        <v>313</v>
      </c>
      <c r="Q6" s="44" t="s">
        <v>306</v>
      </c>
      <c r="R6" s="47" t="s">
        <v>12</v>
      </c>
      <c r="AK6" s="45" t="s">
        <v>312</v>
      </c>
    </row>
    <row r="7" spans="7:42" x14ac:dyDescent="0.25">
      <c r="L7" s="44" t="s">
        <v>314</v>
      </c>
      <c r="N7" s="140"/>
      <c r="P7" s="42" t="s">
        <v>315</v>
      </c>
      <c r="Q7" s="44" t="s">
        <v>306</v>
      </c>
      <c r="R7" s="47" t="s">
        <v>11</v>
      </c>
      <c r="AB7" s="47" t="s">
        <v>48</v>
      </c>
      <c r="AC7" s="44" t="s">
        <v>299</v>
      </c>
      <c r="AD7" s="47" t="s">
        <v>45</v>
      </c>
      <c r="AE7" s="44" t="s">
        <v>299</v>
      </c>
      <c r="AF7" s="42" t="s">
        <v>316</v>
      </c>
    </row>
    <row r="8" spans="7:42" x14ac:dyDescent="0.25">
      <c r="G8" s="51" t="s">
        <v>317</v>
      </c>
      <c r="H8" s="44" t="s">
        <v>299</v>
      </c>
      <c r="I8" s="51" t="s">
        <v>10</v>
      </c>
      <c r="J8" s="44" t="s">
        <v>299</v>
      </c>
      <c r="K8" s="43" t="s">
        <v>318</v>
      </c>
      <c r="AL8" s="42" t="s">
        <v>319</v>
      </c>
      <c r="AM8" s="44" t="s">
        <v>306</v>
      </c>
      <c r="AN8" s="47" t="s">
        <v>49</v>
      </c>
    </row>
    <row r="9" spans="7:42" x14ac:dyDescent="0.25">
      <c r="K9" s="44" t="s">
        <v>320</v>
      </c>
      <c r="O9" s="57" t="s">
        <v>321</v>
      </c>
      <c r="P9" s="54" t="s">
        <v>322</v>
      </c>
      <c r="Q9" s="55" t="s">
        <v>306</v>
      </c>
      <c r="R9" s="54" t="s">
        <v>9</v>
      </c>
      <c r="AI9" s="44"/>
    </row>
    <row r="10" spans="7:42" x14ac:dyDescent="0.25">
      <c r="K10" s="52" t="s">
        <v>281</v>
      </c>
      <c r="P10" s="56" t="s">
        <v>323</v>
      </c>
      <c r="R10" s="56" t="s">
        <v>323</v>
      </c>
    </row>
    <row r="12" spans="7:42" ht="18.75" customHeight="1" x14ac:dyDescent="0.25">
      <c r="M12" s="121" t="s">
        <v>324</v>
      </c>
      <c r="N12" s="122"/>
    </row>
    <row r="13" spans="7:42" ht="15.75" customHeight="1" x14ac:dyDescent="0.25">
      <c r="M13" s="123"/>
      <c r="N13" s="124"/>
      <c r="O13" s="46" t="s">
        <v>302</v>
      </c>
      <c r="P13" s="42" t="s">
        <v>325</v>
      </c>
      <c r="Q13" s="44" t="s">
        <v>306</v>
      </c>
      <c r="R13" s="42" t="s">
        <v>326</v>
      </c>
      <c r="S13" s="44" t="s">
        <v>306</v>
      </c>
      <c r="T13" s="47" t="s">
        <v>18</v>
      </c>
    </row>
    <row r="14" spans="7:42" ht="15.75" customHeight="1" x14ac:dyDescent="0.25">
      <c r="M14" s="123"/>
      <c r="N14" s="124"/>
      <c r="O14" s="48"/>
    </row>
    <row r="15" spans="7:42" x14ac:dyDescent="0.25">
      <c r="M15" s="125"/>
      <c r="N15" s="126"/>
      <c r="AP15" s="47" t="s">
        <v>70</v>
      </c>
    </row>
    <row r="16" spans="7:42" x14ac:dyDescent="0.25">
      <c r="P16" s="44"/>
      <c r="Q16" s="44"/>
      <c r="R16" s="42" t="s">
        <v>327</v>
      </c>
      <c r="S16" s="44" t="s">
        <v>306</v>
      </c>
      <c r="T16" s="47" t="s">
        <v>25</v>
      </c>
      <c r="AP16" s="47" t="s">
        <v>58</v>
      </c>
    </row>
    <row r="17" spans="2:42" x14ac:dyDescent="0.25">
      <c r="K17" s="47" t="s">
        <v>40</v>
      </c>
      <c r="AB17" s="53" t="s">
        <v>328</v>
      </c>
      <c r="AC17" s="44" t="s">
        <v>299</v>
      </c>
      <c r="AD17" s="47" t="s">
        <v>329</v>
      </c>
      <c r="AE17" s="44" t="s">
        <v>299</v>
      </c>
      <c r="AF17" s="42" t="s">
        <v>330</v>
      </c>
      <c r="AG17" s="46" t="s">
        <v>304</v>
      </c>
      <c r="AH17" s="141" t="s">
        <v>331</v>
      </c>
      <c r="AI17" s="142"/>
      <c r="AJ17" s="143"/>
      <c r="AK17" s="46" t="s">
        <v>304</v>
      </c>
      <c r="AL17" s="42" t="s">
        <v>332</v>
      </c>
      <c r="AM17" s="44" t="s">
        <v>306</v>
      </c>
      <c r="AN17" s="47" t="s">
        <v>333</v>
      </c>
      <c r="AO17" s="44"/>
      <c r="AP17" s="47" t="s">
        <v>59</v>
      </c>
    </row>
    <row r="18" spans="2:42" x14ac:dyDescent="0.25">
      <c r="K18" s="44" t="s">
        <v>298</v>
      </c>
      <c r="R18" s="47" t="s">
        <v>24</v>
      </c>
      <c r="S18" s="42" t="s">
        <v>306</v>
      </c>
      <c r="T18" s="47" t="s">
        <v>111</v>
      </c>
      <c r="W18" s="44"/>
      <c r="Y18" s="44"/>
      <c r="AH18" s="144"/>
      <c r="AI18" s="145"/>
      <c r="AJ18" s="146"/>
      <c r="AL18" s="44"/>
      <c r="AP18" s="47" t="s">
        <v>60</v>
      </c>
    </row>
    <row r="19" spans="2:42" x14ac:dyDescent="0.25">
      <c r="K19" s="42" t="s">
        <v>334</v>
      </c>
      <c r="R19" s="44" t="s">
        <v>298</v>
      </c>
      <c r="S19" s="44"/>
      <c r="U19" s="44"/>
      <c r="AJ19" s="57" t="s">
        <v>335</v>
      </c>
      <c r="AL19" s="58"/>
    </row>
    <row r="20" spans="2:42" ht="15.75" customHeight="1" x14ac:dyDescent="0.25">
      <c r="K20" s="44" t="s">
        <v>298</v>
      </c>
      <c r="P20" s="44"/>
      <c r="Q20" s="44"/>
      <c r="R20" s="42" t="s">
        <v>336</v>
      </c>
      <c r="S20" s="44" t="s">
        <v>306</v>
      </c>
      <c r="T20" s="42" t="s">
        <v>337</v>
      </c>
      <c r="U20" s="44" t="s">
        <v>306</v>
      </c>
      <c r="V20" s="47" t="s">
        <v>29</v>
      </c>
      <c r="W20" s="44"/>
      <c r="Y20" s="44"/>
      <c r="AL20" s="59"/>
    </row>
    <row r="21" spans="2:42" ht="15.75" customHeight="1" x14ac:dyDescent="0.25">
      <c r="C21" s="42" t="s">
        <v>338</v>
      </c>
      <c r="D21" s="44" t="s">
        <v>299</v>
      </c>
      <c r="E21" s="47" t="s">
        <v>339</v>
      </c>
      <c r="F21" s="44" t="s">
        <v>299</v>
      </c>
      <c r="G21" s="42" t="s">
        <v>340</v>
      </c>
      <c r="H21" s="44" t="s">
        <v>299</v>
      </c>
      <c r="I21" s="42" t="s">
        <v>341</v>
      </c>
      <c r="J21" s="44" t="s">
        <v>299</v>
      </c>
      <c r="K21" s="42" t="s">
        <v>342</v>
      </c>
      <c r="M21" s="45" t="s">
        <v>302</v>
      </c>
      <c r="N21" s="118" t="s">
        <v>343</v>
      </c>
      <c r="O21" s="49" t="s">
        <v>304</v>
      </c>
      <c r="T21" s="44" t="s">
        <v>320</v>
      </c>
      <c r="U21" s="44" t="s">
        <v>344</v>
      </c>
      <c r="AK21" s="54" t="s">
        <v>345</v>
      </c>
      <c r="AL21" s="54" t="s">
        <v>346</v>
      </c>
      <c r="AM21" s="44"/>
      <c r="AO21" s="44"/>
    </row>
    <row r="22" spans="2:42" ht="15.75" customHeight="1" x14ac:dyDescent="0.25">
      <c r="H22" s="42" t="s">
        <v>314</v>
      </c>
      <c r="I22" s="44" t="s">
        <v>320</v>
      </c>
      <c r="J22" s="44" t="s">
        <v>344</v>
      </c>
      <c r="K22" s="50"/>
      <c r="L22" s="44"/>
      <c r="N22" s="119"/>
      <c r="T22" s="47" t="s">
        <v>31</v>
      </c>
      <c r="V22" s="47" t="s">
        <v>71</v>
      </c>
    </row>
    <row r="23" spans="2:42" x14ac:dyDescent="0.25">
      <c r="B23" s="44"/>
      <c r="D23" s="44"/>
      <c r="F23" s="44"/>
      <c r="G23" s="47" t="s">
        <v>34</v>
      </c>
      <c r="H23" s="44" t="s">
        <v>306</v>
      </c>
      <c r="I23" s="47" t="s">
        <v>347</v>
      </c>
      <c r="K23" s="47" t="s">
        <v>33</v>
      </c>
      <c r="L23" s="44"/>
      <c r="M23" s="57" t="s">
        <v>321</v>
      </c>
      <c r="N23" s="120"/>
      <c r="P23" s="44"/>
      <c r="Q23" s="44"/>
      <c r="T23" s="44" t="s">
        <v>298</v>
      </c>
      <c r="U23" s="44" t="s">
        <v>348</v>
      </c>
    </row>
    <row r="24" spans="2:42" x14ac:dyDescent="0.25">
      <c r="I24" s="44" t="s">
        <v>320</v>
      </c>
      <c r="K24" s="44" t="s">
        <v>320</v>
      </c>
      <c r="L24" s="44"/>
      <c r="P24" s="44"/>
      <c r="Q24" s="44"/>
      <c r="R24" s="42" t="s">
        <v>349</v>
      </c>
      <c r="S24" s="44" t="s">
        <v>306</v>
      </c>
      <c r="T24" s="47" t="s">
        <v>350</v>
      </c>
      <c r="U24" s="44"/>
    </row>
    <row r="25" spans="2:42" ht="18.75" customHeight="1" x14ac:dyDescent="0.25">
      <c r="I25" s="47" t="s">
        <v>351</v>
      </c>
      <c r="K25" s="47" t="s">
        <v>352</v>
      </c>
      <c r="N25" s="45" t="s">
        <v>312</v>
      </c>
      <c r="AH25" s="127" t="s">
        <v>353</v>
      </c>
      <c r="AI25" s="128"/>
      <c r="AJ25" s="129"/>
      <c r="AK25" s="46" t="s">
        <v>304</v>
      </c>
      <c r="AL25" s="47" t="s">
        <v>42</v>
      </c>
    </row>
    <row r="26" spans="2:42" x14ac:dyDescent="0.25">
      <c r="I26" s="44" t="s">
        <v>320</v>
      </c>
      <c r="K26" s="44"/>
      <c r="P26" s="44"/>
      <c r="Q26" s="44"/>
      <c r="R26" s="42" t="s">
        <v>354</v>
      </c>
      <c r="S26" s="44" t="s">
        <v>306</v>
      </c>
      <c r="T26" s="47" t="s">
        <v>26</v>
      </c>
      <c r="U26" s="44"/>
      <c r="AH26" s="130"/>
      <c r="AI26" s="131"/>
      <c r="AJ26" s="132"/>
      <c r="AL26" s="47" t="s">
        <v>43</v>
      </c>
    </row>
    <row r="27" spans="2:42" x14ac:dyDescent="0.25">
      <c r="I27" s="47" t="s">
        <v>37</v>
      </c>
      <c r="K27" s="44"/>
      <c r="R27" s="44"/>
      <c r="S27" s="44"/>
    </row>
    <row r="28" spans="2:42" x14ac:dyDescent="0.25">
      <c r="K28" s="44"/>
    </row>
    <row r="30" spans="2:42" x14ac:dyDescent="0.25">
      <c r="K30" s="54" t="s">
        <v>355</v>
      </c>
    </row>
    <row r="31" spans="2:42" x14ac:dyDescent="0.25">
      <c r="K31" s="56" t="s">
        <v>323</v>
      </c>
    </row>
    <row r="34" spans="13:16" x14ac:dyDescent="0.25">
      <c r="M34" s="47" t="s">
        <v>356</v>
      </c>
      <c r="N34" s="47" t="s">
        <v>357</v>
      </c>
      <c r="O34" s="47" t="s">
        <v>358</v>
      </c>
      <c r="P34" s="47" t="s">
        <v>359</v>
      </c>
    </row>
    <row r="35" spans="13:16" x14ac:dyDescent="0.25">
      <c r="M35" s="44" t="s">
        <v>320</v>
      </c>
      <c r="N35" s="44" t="s">
        <v>320</v>
      </c>
      <c r="O35" s="44" t="s">
        <v>320</v>
      </c>
      <c r="P35" s="44" t="s">
        <v>320</v>
      </c>
    </row>
    <row r="36" spans="13:16" x14ac:dyDescent="0.25">
      <c r="M36" s="42" t="s">
        <v>360</v>
      </c>
      <c r="N36" s="42" t="s">
        <v>361</v>
      </c>
      <c r="O36" s="42" t="s">
        <v>362</v>
      </c>
      <c r="P36" s="42" t="s">
        <v>363</v>
      </c>
    </row>
  </sheetData>
  <mergeCells count="6">
    <mergeCell ref="N21:N23"/>
    <mergeCell ref="M12:N15"/>
    <mergeCell ref="AH25:AJ26"/>
    <mergeCell ref="AH4:AJ5"/>
    <mergeCell ref="N6:N7"/>
    <mergeCell ref="AH17:AJ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6412D-49F3-4BA6-A0ED-40FB49AD71C5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e68a6edb-406f-4ece-ad46-1736b5fcf761"/>
    <ds:schemaRef ds:uri="7b6a087e-a11d-4f06-8ae6-022eca126b7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6DBBA54-FB2E-40AF-875B-5996613FCC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e68a6edb-406f-4ece-ad46-1736b5fcf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2C2DDA-96A0-4A0A-857A-D5666B7367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Results</vt:lpstr>
      <vt:lpstr>Raw Datas</vt:lpstr>
      <vt:lpstr>Identifiants</vt:lpstr>
      <vt:lpstr>PUFA's metabolismes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Anne.Tailleux</dc:creator>
  <cp:keywords/>
  <dc:description/>
  <cp:lastModifiedBy>Anaelle Durbec</cp:lastModifiedBy>
  <cp:revision/>
  <dcterms:created xsi:type="dcterms:W3CDTF">2020-12-06T14:02:17Z</dcterms:created>
  <dcterms:modified xsi:type="dcterms:W3CDTF">2025-08-05T14:38:53Z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