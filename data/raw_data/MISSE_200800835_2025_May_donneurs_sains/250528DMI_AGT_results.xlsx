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elle.durbec\Documents\01-Prestations\MISSE-METABODEN\Second batch 20 ech controles\"/>
    </mc:Choice>
  </mc:AlternateContent>
  <bookViews>
    <workbookView xWindow="0" yWindow="0" windowWidth="28800" windowHeight="12000"/>
  </bookViews>
  <sheets>
    <sheet name="Results" sheetId="14" r:id="rId1"/>
    <sheet name="Raw Datas" sheetId="17" state="hidden" r:id="rId2"/>
    <sheet name="Identifiants" sheetId="18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C7" i="14"/>
  <c r="B127" i="14" l="1"/>
  <c r="H117" i="14"/>
  <c r="N117" i="14"/>
  <c r="T117" i="14"/>
  <c r="K117" i="14"/>
  <c r="L117" i="14"/>
  <c r="O117" i="14"/>
  <c r="P117" i="14"/>
  <c r="Q117" i="14"/>
  <c r="S117" i="14"/>
  <c r="V117" i="14"/>
  <c r="I117" i="14"/>
  <c r="J117" i="14"/>
  <c r="R117" i="14"/>
  <c r="U117" i="14"/>
  <c r="M117" i="14"/>
  <c r="S54" i="17" l="1"/>
  <c r="U56" i="17"/>
  <c r="U10" i="14" s="1"/>
  <c r="T58" i="17"/>
  <c r="T12" i="14" s="1"/>
  <c r="U60" i="17"/>
  <c r="U14" i="14" s="1"/>
  <c r="S62" i="17"/>
  <c r="S16" i="14" s="1"/>
  <c r="U64" i="17"/>
  <c r="U17" i="14" s="1"/>
  <c r="T66" i="17"/>
  <c r="T19" i="14" s="1"/>
  <c r="S70" i="17"/>
  <c r="S24" i="14" s="1"/>
  <c r="U78" i="17"/>
  <c r="U32" i="14" s="1"/>
  <c r="U79" i="17"/>
  <c r="U33" i="14" s="1"/>
  <c r="U82" i="17"/>
  <c r="U37" i="14" s="1"/>
  <c r="U86" i="17"/>
  <c r="U41" i="14" s="1"/>
  <c r="U90" i="17"/>
  <c r="U45" i="14" s="1"/>
  <c r="U96" i="17"/>
  <c r="U51" i="14" s="1"/>
  <c r="R54" i="17"/>
  <c r="V54" i="17"/>
  <c r="R55" i="17"/>
  <c r="R9" i="14" s="1"/>
  <c r="S55" i="17"/>
  <c r="S9" i="14" s="1"/>
  <c r="T55" i="17"/>
  <c r="T9" i="14" s="1"/>
  <c r="V55" i="17"/>
  <c r="V9" i="14" s="1"/>
  <c r="R56" i="17"/>
  <c r="R10" i="14" s="1"/>
  <c r="S56" i="17"/>
  <c r="S10" i="14" s="1"/>
  <c r="V56" i="17"/>
  <c r="V10" i="14" s="1"/>
  <c r="R57" i="17"/>
  <c r="R11" i="14" s="1"/>
  <c r="V57" i="17"/>
  <c r="V11" i="14" s="1"/>
  <c r="R58" i="17"/>
  <c r="R12" i="14" s="1"/>
  <c r="S58" i="17"/>
  <c r="S12" i="14" s="1"/>
  <c r="V58" i="17"/>
  <c r="V12" i="14" s="1"/>
  <c r="R59" i="17"/>
  <c r="R13" i="14" s="1"/>
  <c r="V59" i="17"/>
  <c r="V13" i="14" s="1"/>
  <c r="R60" i="17"/>
  <c r="R14" i="14" s="1"/>
  <c r="S60" i="17"/>
  <c r="S14" i="14" s="1"/>
  <c r="V60" i="17"/>
  <c r="V14" i="14" s="1"/>
  <c r="R61" i="17"/>
  <c r="R15" i="14" s="1"/>
  <c r="V61" i="17"/>
  <c r="V15" i="14" s="1"/>
  <c r="R62" i="17"/>
  <c r="R16" i="14" s="1"/>
  <c r="V62" i="17"/>
  <c r="V16" i="14" s="1"/>
  <c r="R64" i="17"/>
  <c r="R17" i="14" s="1"/>
  <c r="S64" i="17"/>
  <c r="S17" i="14" s="1"/>
  <c r="V64" i="17"/>
  <c r="V17" i="14" s="1"/>
  <c r="R65" i="17"/>
  <c r="R18" i="14" s="1"/>
  <c r="V65" i="17"/>
  <c r="V18" i="14" s="1"/>
  <c r="R66" i="17"/>
  <c r="R19" i="14" s="1"/>
  <c r="S66" i="17"/>
  <c r="S19" i="14" s="1"/>
  <c r="V66" i="17"/>
  <c r="V19" i="14" s="1"/>
  <c r="R67" i="17"/>
  <c r="R20" i="14" s="1"/>
  <c r="V67" i="17"/>
  <c r="V20" i="14" s="1"/>
  <c r="R68" i="17"/>
  <c r="R21" i="14" s="1"/>
  <c r="S68" i="17"/>
  <c r="S21" i="14" s="1"/>
  <c r="V68" i="17"/>
  <c r="V21" i="14" s="1"/>
  <c r="R69" i="17"/>
  <c r="R22" i="14" s="1"/>
  <c r="V69" i="17"/>
  <c r="V22" i="14" s="1"/>
  <c r="R70" i="17"/>
  <c r="R24" i="14" s="1"/>
  <c r="V70" i="17"/>
  <c r="V24" i="14" s="1"/>
  <c r="R71" i="17"/>
  <c r="R25" i="14" s="1"/>
  <c r="S71" i="17"/>
  <c r="S25" i="14" s="1"/>
  <c r="T71" i="17"/>
  <c r="T25" i="14" s="1"/>
  <c r="V71" i="17"/>
  <c r="V25" i="14" s="1"/>
  <c r="R72" i="17"/>
  <c r="R26" i="14" s="1"/>
  <c r="S72" i="17"/>
  <c r="S26" i="14" s="1"/>
  <c r="V72" i="17"/>
  <c r="V26" i="14" s="1"/>
  <c r="R73" i="17"/>
  <c r="R27" i="14" s="1"/>
  <c r="V73" i="17"/>
  <c r="V27" i="14" s="1"/>
  <c r="R74" i="17"/>
  <c r="R28" i="14" s="1"/>
  <c r="S74" i="17"/>
  <c r="S28" i="14" s="1"/>
  <c r="T74" i="17"/>
  <c r="T28" i="14" s="1"/>
  <c r="V74" i="17"/>
  <c r="V28" i="14" s="1"/>
  <c r="R75" i="17"/>
  <c r="R29" i="14" s="1"/>
  <c r="V75" i="17"/>
  <c r="V29" i="14" s="1"/>
  <c r="R76" i="17"/>
  <c r="R30" i="14" s="1"/>
  <c r="S76" i="17"/>
  <c r="S30" i="14" s="1"/>
  <c r="V76" i="17"/>
  <c r="V30" i="14" s="1"/>
  <c r="R77" i="17"/>
  <c r="R31" i="14" s="1"/>
  <c r="V77" i="17"/>
  <c r="V31" i="14" s="1"/>
  <c r="R78" i="17"/>
  <c r="R32" i="14" s="1"/>
  <c r="S78" i="17"/>
  <c r="S32" i="14" s="1"/>
  <c r="T78" i="17"/>
  <c r="T32" i="14" s="1"/>
  <c r="V78" i="17"/>
  <c r="V32" i="14" s="1"/>
  <c r="R79" i="17"/>
  <c r="R33" i="14" s="1"/>
  <c r="S79" i="17"/>
  <c r="S33" i="14" s="1"/>
  <c r="T79" i="17"/>
  <c r="T33" i="14" s="1"/>
  <c r="V79" i="17"/>
  <c r="V33" i="14" s="1"/>
  <c r="R80" i="17"/>
  <c r="R34" i="14" s="1"/>
  <c r="S80" i="17"/>
  <c r="S34" i="14" s="1"/>
  <c r="V80" i="17"/>
  <c r="V34" i="14" s="1"/>
  <c r="R81" i="17"/>
  <c r="R36" i="14" s="1"/>
  <c r="V81" i="17"/>
  <c r="V36" i="14" s="1"/>
  <c r="R82" i="17"/>
  <c r="R37" i="14" s="1"/>
  <c r="S82" i="17"/>
  <c r="S37" i="14" s="1"/>
  <c r="T82" i="17"/>
  <c r="T37" i="14" s="1"/>
  <c r="V82" i="17"/>
  <c r="V37" i="14" s="1"/>
  <c r="R83" i="17"/>
  <c r="R38" i="14" s="1"/>
  <c r="V83" i="17"/>
  <c r="V38" i="14" s="1"/>
  <c r="R84" i="17"/>
  <c r="R39" i="14" s="1"/>
  <c r="S84" i="17"/>
  <c r="S39" i="14" s="1"/>
  <c r="V84" i="17"/>
  <c r="V39" i="14" s="1"/>
  <c r="R85" i="17"/>
  <c r="R40" i="14" s="1"/>
  <c r="V85" i="17"/>
  <c r="V40" i="14" s="1"/>
  <c r="R86" i="17"/>
  <c r="R41" i="14" s="1"/>
  <c r="S86" i="17"/>
  <c r="S41" i="14" s="1"/>
  <c r="T86" i="17"/>
  <c r="T41" i="14" s="1"/>
  <c r="V86" i="17"/>
  <c r="V41" i="14" s="1"/>
  <c r="R87" i="17"/>
  <c r="R42" i="14" s="1"/>
  <c r="S87" i="17"/>
  <c r="S42" i="14" s="1"/>
  <c r="T87" i="17"/>
  <c r="T42" i="14" s="1"/>
  <c r="V87" i="17"/>
  <c r="V42" i="14" s="1"/>
  <c r="R88" i="17"/>
  <c r="R43" i="14" s="1"/>
  <c r="S88" i="17"/>
  <c r="S43" i="14" s="1"/>
  <c r="V88" i="17"/>
  <c r="V43" i="14" s="1"/>
  <c r="R89" i="17"/>
  <c r="R44" i="14" s="1"/>
  <c r="V89" i="17"/>
  <c r="V44" i="14" s="1"/>
  <c r="R90" i="17"/>
  <c r="R45" i="14" s="1"/>
  <c r="S90" i="17"/>
  <c r="S45" i="14" s="1"/>
  <c r="T90" i="17"/>
  <c r="T45" i="14" s="1"/>
  <c r="V90" i="17"/>
  <c r="V45" i="14" s="1"/>
  <c r="R91" i="17"/>
  <c r="R46" i="14" s="1"/>
  <c r="V91" i="17"/>
  <c r="V46" i="14" s="1"/>
  <c r="R92" i="17"/>
  <c r="R47" i="14" s="1"/>
  <c r="S92" i="17"/>
  <c r="S47" i="14" s="1"/>
  <c r="T92" i="17"/>
  <c r="T47" i="14" s="1"/>
  <c r="V92" i="17"/>
  <c r="V47" i="14" s="1"/>
  <c r="R93" i="17"/>
  <c r="R48" i="14" s="1"/>
  <c r="V93" i="17"/>
  <c r="V48" i="14" s="1"/>
  <c r="R94" i="17"/>
  <c r="R49" i="14" s="1"/>
  <c r="S94" i="17"/>
  <c r="S49" i="14" s="1"/>
  <c r="T94" i="17"/>
  <c r="T49" i="14" s="1"/>
  <c r="V94" i="17"/>
  <c r="V49" i="14" s="1"/>
  <c r="R95" i="17"/>
  <c r="R50" i="14" s="1"/>
  <c r="S95" i="17"/>
  <c r="S50" i="14" s="1"/>
  <c r="T95" i="17"/>
  <c r="T50" i="14" s="1"/>
  <c r="V95" i="17"/>
  <c r="V50" i="14" s="1"/>
  <c r="R96" i="17"/>
  <c r="R51" i="14" s="1"/>
  <c r="S96" i="17"/>
  <c r="S51" i="14" s="1"/>
  <c r="V96" i="17"/>
  <c r="V51" i="14" s="1"/>
  <c r="R97" i="17"/>
  <c r="R52" i="14" s="1"/>
  <c r="S97" i="17"/>
  <c r="S52" i="14" s="1"/>
  <c r="V97" i="17"/>
  <c r="V52" i="14" s="1"/>
  <c r="R98" i="17"/>
  <c r="R53" i="14" s="1"/>
  <c r="S98" i="17"/>
  <c r="S53" i="14" s="1"/>
  <c r="T98" i="17"/>
  <c r="T53" i="14" s="1"/>
  <c r="V98" i="17"/>
  <c r="V53" i="14" s="1"/>
  <c r="R99" i="17"/>
  <c r="R54" i="14" s="1"/>
  <c r="V99" i="17"/>
  <c r="V54" i="14" s="1"/>
  <c r="M86" i="17"/>
  <c r="M41" i="14" s="1"/>
  <c r="P54" i="17"/>
  <c r="P55" i="17"/>
  <c r="P9" i="14" s="1"/>
  <c r="P57" i="17"/>
  <c r="P11" i="14" s="1"/>
  <c r="P58" i="17"/>
  <c r="P12" i="14" s="1"/>
  <c r="P59" i="17"/>
  <c r="P13" i="14" s="1"/>
  <c r="P60" i="17"/>
  <c r="P14" i="14" s="1"/>
  <c r="P62" i="17"/>
  <c r="P16" i="14" s="1"/>
  <c r="P65" i="17"/>
  <c r="P18" i="14" s="1"/>
  <c r="P66" i="17"/>
  <c r="P19" i="14" s="1"/>
  <c r="P67" i="17"/>
  <c r="P20" i="14" s="1"/>
  <c r="P68" i="17"/>
  <c r="P21" i="14" s="1"/>
  <c r="P70" i="17"/>
  <c r="P24" i="14" s="1"/>
  <c r="P71" i="17"/>
  <c r="P25" i="14" s="1"/>
  <c r="P73" i="17"/>
  <c r="P27" i="14" s="1"/>
  <c r="P74" i="17"/>
  <c r="P28" i="14" s="1"/>
  <c r="P75" i="17"/>
  <c r="P29" i="14" s="1"/>
  <c r="P76" i="17"/>
  <c r="P30" i="14" s="1"/>
  <c r="P78" i="17"/>
  <c r="P32" i="14" s="1"/>
  <c r="P79" i="17"/>
  <c r="P33" i="14" s="1"/>
  <c r="P81" i="17"/>
  <c r="P36" i="14" s="1"/>
  <c r="P82" i="17"/>
  <c r="P37" i="14" s="1"/>
  <c r="P83" i="17"/>
  <c r="P38" i="14" s="1"/>
  <c r="P84" i="17"/>
  <c r="P39" i="14" s="1"/>
  <c r="P86" i="17"/>
  <c r="P41" i="14" s="1"/>
  <c r="P87" i="17"/>
  <c r="P42" i="14" s="1"/>
  <c r="P89" i="17"/>
  <c r="P44" i="14" s="1"/>
  <c r="P90" i="17"/>
  <c r="P45" i="14" s="1"/>
  <c r="P91" i="17"/>
  <c r="P46" i="14" s="1"/>
  <c r="P92" i="17"/>
  <c r="P47" i="14" s="1"/>
  <c r="P94" i="17"/>
  <c r="P49" i="14" s="1"/>
  <c r="P95" i="17"/>
  <c r="P50" i="14" s="1"/>
  <c r="P97" i="17"/>
  <c r="P52" i="14" s="1"/>
  <c r="P98" i="17"/>
  <c r="P53" i="14" s="1"/>
  <c r="P99" i="17"/>
  <c r="P54" i="14" s="1"/>
  <c r="G54" i="17"/>
  <c r="H54" i="17"/>
  <c r="K54" i="17"/>
  <c r="L54" i="17"/>
  <c r="O54" i="17"/>
  <c r="G55" i="17"/>
  <c r="H55" i="17"/>
  <c r="K55" i="17"/>
  <c r="K9" i="14" s="1"/>
  <c r="L55" i="17"/>
  <c r="L9" i="14" s="1"/>
  <c r="O55" i="17"/>
  <c r="O9" i="14" s="1"/>
  <c r="G56" i="17"/>
  <c r="G10" i="14" s="1"/>
  <c r="H56" i="17"/>
  <c r="K56" i="17"/>
  <c r="K10" i="14" s="1"/>
  <c r="L56" i="17"/>
  <c r="L10" i="14" s="1"/>
  <c r="O56" i="17"/>
  <c r="O10" i="14" s="1"/>
  <c r="G57" i="17"/>
  <c r="G11" i="14" s="1"/>
  <c r="H57" i="17"/>
  <c r="H11" i="14" s="1"/>
  <c r="K57" i="17"/>
  <c r="K11" i="14" s="1"/>
  <c r="L57" i="17"/>
  <c r="L11" i="14" s="1"/>
  <c r="O57" i="17"/>
  <c r="O11" i="14" s="1"/>
  <c r="G58" i="17"/>
  <c r="G12" i="14" s="1"/>
  <c r="H58" i="17"/>
  <c r="H12" i="14" s="1"/>
  <c r="K58" i="17"/>
  <c r="K12" i="14" s="1"/>
  <c r="L58" i="17"/>
  <c r="L12" i="14" s="1"/>
  <c r="O58" i="17"/>
  <c r="O12" i="14" s="1"/>
  <c r="G59" i="17"/>
  <c r="H59" i="17"/>
  <c r="H13" i="14" s="1"/>
  <c r="K59" i="17"/>
  <c r="K13" i="14" s="1"/>
  <c r="L59" i="17"/>
  <c r="L13" i="14" s="1"/>
  <c r="O59" i="17"/>
  <c r="O13" i="14" s="1"/>
  <c r="G60" i="17"/>
  <c r="G14" i="14" s="1"/>
  <c r="H60" i="17"/>
  <c r="H14" i="14" s="1"/>
  <c r="K60" i="17"/>
  <c r="K14" i="14" s="1"/>
  <c r="L60" i="17"/>
  <c r="L14" i="14" s="1"/>
  <c r="O60" i="17"/>
  <c r="O14" i="14" s="1"/>
  <c r="G61" i="17"/>
  <c r="H61" i="17"/>
  <c r="H15" i="14" s="1"/>
  <c r="K61" i="17"/>
  <c r="K15" i="14" s="1"/>
  <c r="L61" i="17"/>
  <c r="L15" i="14" s="1"/>
  <c r="O61" i="17"/>
  <c r="O15" i="14" s="1"/>
  <c r="P61" i="17"/>
  <c r="P15" i="14" s="1"/>
  <c r="G62" i="17"/>
  <c r="H62" i="17"/>
  <c r="H16" i="14" s="1"/>
  <c r="K62" i="17"/>
  <c r="K16" i="14" s="1"/>
  <c r="L62" i="17"/>
  <c r="L16" i="14" s="1"/>
  <c r="O62" i="17"/>
  <c r="O16" i="14" s="1"/>
  <c r="G64" i="17"/>
  <c r="G17" i="14" s="1"/>
  <c r="H64" i="17"/>
  <c r="K64" i="17"/>
  <c r="K17" i="14" s="1"/>
  <c r="L64" i="17"/>
  <c r="L17" i="14" s="1"/>
  <c r="O64" i="17"/>
  <c r="O17" i="14" s="1"/>
  <c r="G65" i="17"/>
  <c r="G18" i="14" s="1"/>
  <c r="H65" i="17"/>
  <c r="H18" i="14" s="1"/>
  <c r="K65" i="17"/>
  <c r="K18" i="14" s="1"/>
  <c r="L65" i="17"/>
  <c r="L18" i="14" s="1"/>
  <c r="O65" i="17"/>
  <c r="O18" i="14" s="1"/>
  <c r="G66" i="17"/>
  <c r="H66" i="17"/>
  <c r="I66" i="17"/>
  <c r="I19" i="14" s="1"/>
  <c r="K66" i="17"/>
  <c r="K19" i="14" s="1"/>
  <c r="L66" i="17"/>
  <c r="L19" i="14" s="1"/>
  <c r="O66" i="17"/>
  <c r="O19" i="14" s="1"/>
  <c r="G67" i="17"/>
  <c r="H67" i="17"/>
  <c r="K67" i="17"/>
  <c r="K20" i="14" s="1"/>
  <c r="L67" i="17"/>
  <c r="L20" i="14" s="1"/>
  <c r="O67" i="17"/>
  <c r="O20" i="14" s="1"/>
  <c r="G68" i="17"/>
  <c r="G21" i="14" s="1"/>
  <c r="H68" i="17"/>
  <c r="H21" i="14" s="1"/>
  <c r="K68" i="17"/>
  <c r="K21" i="14" s="1"/>
  <c r="L68" i="17"/>
  <c r="L21" i="14" s="1"/>
  <c r="O68" i="17"/>
  <c r="O21" i="14" s="1"/>
  <c r="G69" i="17"/>
  <c r="H69" i="17"/>
  <c r="H22" i="14" s="1"/>
  <c r="K69" i="17"/>
  <c r="K22" i="14" s="1"/>
  <c r="L69" i="17"/>
  <c r="L22" i="14" s="1"/>
  <c r="O69" i="17"/>
  <c r="O22" i="14" s="1"/>
  <c r="P69" i="17"/>
  <c r="P22" i="14" s="1"/>
  <c r="G70" i="17"/>
  <c r="H70" i="17"/>
  <c r="K70" i="17"/>
  <c r="K24" i="14" s="1"/>
  <c r="L70" i="17"/>
  <c r="L24" i="14" s="1"/>
  <c r="M70" i="17"/>
  <c r="M24" i="14" s="1"/>
  <c r="O70" i="17"/>
  <c r="O24" i="14" s="1"/>
  <c r="G71" i="17"/>
  <c r="G25" i="14" s="1"/>
  <c r="H71" i="17"/>
  <c r="H25" i="14" s="1"/>
  <c r="K71" i="17"/>
  <c r="K25" i="14" s="1"/>
  <c r="L71" i="17"/>
  <c r="L25" i="14" s="1"/>
  <c r="O71" i="17"/>
  <c r="O25" i="14" s="1"/>
  <c r="G72" i="17"/>
  <c r="G26" i="14" s="1"/>
  <c r="H72" i="17"/>
  <c r="H26" i="14" s="1"/>
  <c r="K72" i="17"/>
  <c r="K26" i="14" s="1"/>
  <c r="L72" i="17"/>
  <c r="L26" i="14" s="1"/>
  <c r="O72" i="17"/>
  <c r="O26" i="14" s="1"/>
  <c r="G73" i="17"/>
  <c r="H73" i="17"/>
  <c r="K73" i="17"/>
  <c r="K27" i="14" s="1"/>
  <c r="L73" i="17"/>
  <c r="L27" i="14" s="1"/>
  <c r="O73" i="17"/>
  <c r="O27" i="14" s="1"/>
  <c r="G74" i="17"/>
  <c r="G28" i="14" s="1"/>
  <c r="H74" i="17"/>
  <c r="H28" i="14" s="1"/>
  <c r="I74" i="17"/>
  <c r="I28" i="14" s="1"/>
  <c r="K74" i="17"/>
  <c r="K28" i="14" s="1"/>
  <c r="L74" i="17"/>
  <c r="L28" i="14" s="1"/>
  <c r="O74" i="17"/>
  <c r="O28" i="14" s="1"/>
  <c r="G75" i="17"/>
  <c r="G29" i="14" s="1"/>
  <c r="H75" i="17"/>
  <c r="H29" i="14" s="1"/>
  <c r="K75" i="17"/>
  <c r="K29" i="14" s="1"/>
  <c r="L75" i="17"/>
  <c r="L29" i="14" s="1"/>
  <c r="O75" i="17"/>
  <c r="O29" i="14" s="1"/>
  <c r="G76" i="17"/>
  <c r="H76" i="17"/>
  <c r="K76" i="17"/>
  <c r="K30" i="14" s="1"/>
  <c r="L76" i="17"/>
  <c r="L30" i="14" s="1"/>
  <c r="O76" i="17"/>
  <c r="O30" i="14" s="1"/>
  <c r="G77" i="17"/>
  <c r="G31" i="14" s="1"/>
  <c r="H77" i="17"/>
  <c r="H31" i="14" s="1"/>
  <c r="K77" i="17"/>
  <c r="K31" i="14" s="1"/>
  <c r="L77" i="17"/>
  <c r="L31" i="14" s="1"/>
  <c r="O77" i="17"/>
  <c r="O31" i="14" s="1"/>
  <c r="P77" i="17"/>
  <c r="P31" i="14" s="1"/>
  <c r="G78" i="17"/>
  <c r="H78" i="17"/>
  <c r="H32" i="14" s="1"/>
  <c r="K78" i="17"/>
  <c r="K32" i="14" s="1"/>
  <c r="L78" i="17"/>
  <c r="L32" i="14" s="1"/>
  <c r="M78" i="17"/>
  <c r="M32" i="14" s="1"/>
  <c r="O78" i="17"/>
  <c r="O32" i="14" s="1"/>
  <c r="G79" i="17"/>
  <c r="H79" i="17"/>
  <c r="K79" i="17"/>
  <c r="K33" i="14" s="1"/>
  <c r="L79" i="17"/>
  <c r="L33" i="14" s="1"/>
  <c r="O79" i="17"/>
  <c r="O33" i="14" s="1"/>
  <c r="G80" i="17"/>
  <c r="G34" i="14" s="1"/>
  <c r="H80" i="17"/>
  <c r="H34" i="14" s="1"/>
  <c r="K80" i="17"/>
  <c r="K34" i="14" s="1"/>
  <c r="L80" i="17"/>
  <c r="L34" i="14" s="1"/>
  <c r="O80" i="17"/>
  <c r="O34" i="14" s="1"/>
  <c r="G81" i="17"/>
  <c r="H81" i="17"/>
  <c r="H36" i="14" s="1"/>
  <c r="K81" i="17"/>
  <c r="K36" i="14" s="1"/>
  <c r="L81" i="17"/>
  <c r="L36" i="14" s="1"/>
  <c r="O81" i="17"/>
  <c r="O36" i="14" s="1"/>
  <c r="G82" i="17"/>
  <c r="G37" i="14" s="1"/>
  <c r="H82" i="17"/>
  <c r="H37" i="14" s="1"/>
  <c r="I82" i="17"/>
  <c r="I37" i="14" s="1"/>
  <c r="K82" i="17"/>
  <c r="K37" i="14" s="1"/>
  <c r="L82" i="17"/>
  <c r="L37" i="14" s="1"/>
  <c r="O82" i="17"/>
  <c r="O37" i="14" s="1"/>
  <c r="G83" i="17"/>
  <c r="G38" i="14" s="1"/>
  <c r="H83" i="17"/>
  <c r="K83" i="17"/>
  <c r="K38" i="14" s="1"/>
  <c r="L83" i="17"/>
  <c r="L38" i="14" s="1"/>
  <c r="O83" i="17"/>
  <c r="O38" i="14" s="1"/>
  <c r="G84" i="17"/>
  <c r="G39" i="14" s="1"/>
  <c r="H84" i="17"/>
  <c r="H39" i="14" s="1"/>
  <c r="K84" i="17"/>
  <c r="K39" i="14" s="1"/>
  <c r="L84" i="17"/>
  <c r="L39" i="14" s="1"/>
  <c r="O84" i="17"/>
  <c r="O39" i="14" s="1"/>
  <c r="G85" i="17"/>
  <c r="H85" i="17"/>
  <c r="H40" i="14" s="1"/>
  <c r="K85" i="17"/>
  <c r="K40" i="14" s="1"/>
  <c r="L85" i="17"/>
  <c r="L40" i="14" s="1"/>
  <c r="O85" i="17"/>
  <c r="O40" i="14" s="1"/>
  <c r="P85" i="17"/>
  <c r="P40" i="14" s="1"/>
  <c r="G86" i="17"/>
  <c r="G41" i="14" s="1"/>
  <c r="H86" i="17"/>
  <c r="H41" i="14" s="1"/>
  <c r="K86" i="17"/>
  <c r="K41" i="14" s="1"/>
  <c r="L86" i="17"/>
  <c r="L41" i="14" s="1"/>
  <c r="O86" i="17"/>
  <c r="O41" i="14" s="1"/>
  <c r="G87" i="17"/>
  <c r="H87" i="17"/>
  <c r="H42" i="14" s="1"/>
  <c r="K87" i="17"/>
  <c r="K42" i="14" s="1"/>
  <c r="L87" i="17"/>
  <c r="L42" i="14" s="1"/>
  <c r="O87" i="17"/>
  <c r="O42" i="14" s="1"/>
  <c r="G88" i="17"/>
  <c r="G43" i="14" s="1"/>
  <c r="H88" i="17"/>
  <c r="H43" i="14" s="1"/>
  <c r="K88" i="17"/>
  <c r="K43" i="14" s="1"/>
  <c r="L88" i="17"/>
  <c r="L43" i="14" s="1"/>
  <c r="O88" i="17"/>
  <c r="O43" i="14" s="1"/>
  <c r="G89" i="17"/>
  <c r="G44" i="14" s="1"/>
  <c r="H89" i="17"/>
  <c r="H44" i="14" s="1"/>
  <c r="K89" i="17"/>
  <c r="K44" i="14" s="1"/>
  <c r="L89" i="17"/>
  <c r="L44" i="14" s="1"/>
  <c r="O89" i="17"/>
  <c r="O44" i="14" s="1"/>
  <c r="G90" i="17"/>
  <c r="H90" i="17"/>
  <c r="I90" i="17"/>
  <c r="I45" i="14" s="1"/>
  <c r="K90" i="17"/>
  <c r="K45" i="14" s="1"/>
  <c r="L90" i="17"/>
  <c r="L45" i="14" s="1"/>
  <c r="O90" i="17"/>
  <c r="O45" i="14" s="1"/>
  <c r="G91" i="17"/>
  <c r="G46" i="14" s="1"/>
  <c r="H91" i="17"/>
  <c r="H46" i="14" s="1"/>
  <c r="K91" i="17"/>
  <c r="K46" i="14" s="1"/>
  <c r="L91" i="17"/>
  <c r="L46" i="14" s="1"/>
  <c r="O91" i="17"/>
  <c r="O46" i="14" s="1"/>
  <c r="G92" i="17"/>
  <c r="G47" i="14" s="1"/>
  <c r="H92" i="17"/>
  <c r="H47" i="14" s="1"/>
  <c r="K92" i="17"/>
  <c r="K47" i="14" s="1"/>
  <c r="L92" i="17"/>
  <c r="L47" i="14" s="1"/>
  <c r="O92" i="17"/>
  <c r="O47" i="14" s="1"/>
  <c r="G93" i="17"/>
  <c r="G48" i="14" s="1"/>
  <c r="H93" i="17"/>
  <c r="H48" i="14" s="1"/>
  <c r="K93" i="17"/>
  <c r="K48" i="14" s="1"/>
  <c r="L93" i="17"/>
  <c r="L48" i="14" s="1"/>
  <c r="O93" i="17"/>
  <c r="O48" i="14" s="1"/>
  <c r="P93" i="17"/>
  <c r="P48" i="14" s="1"/>
  <c r="G94" i="17"/>
  <c r="G49" i="14" s="1"/>
  <c r="H94" i="17"/>
  <c r="H49" i="14" s="1"/>
  <c r="K94" i="17"/>
  <c r="K49" i="14" s="1"/>
  <c r="L94" i="17"/>
  <c r="L49" i="14" s="1"/>
  <c r="O94" i="17"/>
  <c r="O49" i="14" s="1"/>
  <c r="G95" i="17"/>
  <c r="G50" i="14" s="1"/>
  <c r="H95" i="17"/>
  <c r="H50" i="14" s="1"/>
  <c r="K95" i="17"/>
  <c r="K50" i="14" s="1"/>
  <c r="L95" i="17"/>
  <c r="L50" i="14" s="1"/>
  <c r="O95" i="17"/>
  <c r="O50" i="14" s="1"/>
  <c r="G96" i="17"/>
  <c r="G51" i="14" s="1"/>
  <c r="H96" i="17"/>
  <c r="H51" i="14" s="1"/>
  <c r="K96" i="17"/>
  <c r="K51" i="14" s="1"/>
  <c r="L96" i="17"/>
  <c r="L51" i="14" s="1"/>
  <c r="O96" i="17"/>
  <c r="O51" i="14" s="1"/>
  <c r="G97" i="17"/>
  <c r="G52" i="14" s="1"/>
  <c r="H97" i="17"/>
  <c r="K97" i="17"/>
  <c r="K52" i="14" s="1"/>
  <c r="L97" i="17"/>
  <c r="L52" i="14" s="1"/>
  <c r="O97" i="17"/>
  <c r="O52" i="14" s="1"/>
  <c r="G98" i="17"/>
  <c r="G53" i="14" s="1"/>
  <c r="H98" i="17"/>
  <c r="H53" i="14" s="1"/>
  <c r="I98" i="17"/>
  <c r="I53" i="14" s="1"/>
  <c r="K98" i="17"/>
  <c r="K53" i="14" s="1"/>
  <c r="L98" i="17"/>
  <c r="L53" i="14" s="1"/>
  <c r="O98" i="17"/>
  <c r="O53" i="14" s="1"/>
  <c r="G99" i="17"/>
  <c r="G54" i="14" s="1"/>
  <c r="H99" i="17"/>
  <c r="K99" i="17"/>
  <c r="K54" i="14" s="1"/>
  <c r="L99" i="17"/>
  <c r="L54" i="14" s="1"/>
  <c r="O99" i="17"/>
  <c r="O54" i="14" s="1"/>
  <c r="A53" i="17"/>
  <c r="B7" i="14" s="1"/>
  <c r="B56" i="14" s="1"/>
  <c r="B62" i="14" s="1"/>
  <c r="D81" i="17"/>
  <c r="D36" i="14" s="1"/>
  <c r="D82" i="17"/>
  <c r="D37" i="14" s="1"/>
  <c r="D83" i="17"/>
  <c r="D38" i="14" s="1"/>
  <c r="D84" i="17"/>
  <c r="D39" i="14" s="1"/>
  <c r="D85" i="17"/>
  <c r="D40" i="14" s="1"/>
  <c r="D86" i="17"/>
  <c r="D41" i="14" s="1"/>
  <c r="D87" i="17"/>
  <c r="D42" i="14" s="1"/>
  <c r="D88" i="17"/>
  <c r="D43" i="14" s="1"/>
  <c r="D89" i="17"/>
  <c r="D44" i="14" s="1"/>
  <c r="D90" i="17"/>
  <c r="D45" i="14" s="1"/>
  <c r="D91" i="17"/>
  <c r="D46" i="14" s="1"/>
  <c r="D92" i="17"/>
  <c r="D47" i="14" s="1"/>
  <c r="D93" i="17"/>
  <c r="D48" i="14" s="1"/>
  <c r="D94" i="17"/>
  <c r="D49" i="14" s="1"/>
  <c r="D95" i="17"/>
  <c r="D50" i="14" s="1"/>
  <c r="D96" i="17"/>
  <c r="D51" i="14" s="1"/>
  <c r="D97" i="17"/>
  <c r="D52" i="14" s="1"/>
  <c r="D98" i="17"/>
  <c r="D53" i="14" s="1"/>
  <c r="D99" i="17"/>
  <c r="D54" i="14" s="1"/>
  <c r="D70" i="17"/>
  <c r="D24" i="14" s="1"/>
  <c r="F71" i="17"/>
  <c r="F25" i="14" s="1"/>
  <c r="D71" i="17"/>
  <c r="D25" i="14" s="1"/>
  <c r="D72" i="17"/>
  <c r="D26" i="14" s="1"/>
  <c r="D73" i="17"/>
  <c r="D27" i="14" s="1"/>
  <c r="D74" i="17"/>
  <c r="D28" i="14" s="1"/>
  <c r="D76" i="17"/>
  <c r="D30" i="14" s="1"/>
  <c r="D77" i="17"/>
  <c r="D31" i="14" s="1"/>
  <c r="D78" i="17"/>
  <c r="D32" i="14" s="1"/>
  <c r="D79" i="17"/>
  <c r="D33" i="14" s="1"/>
  <c r="D80" i="17"/>
  <c r="D34" i="14" s="1"/>
  <c r="D55" i="17"/>
  <c r="D9" i="14" s="1"/>
  <c r="D56" i="17"/>
  <c r="D10" i="14" s="1"/>
  <c r="D57" i="17"/>
  <c r="D11" i="14" s="1"/>
  <c r="F58" i="17"/>
  <c r="F12" i="14" s="1"/>
  <c r="D58" i="17"/>
  <c r="D12" i="14" s="1"/>
  <c r="D59" i="17"/>
  <c r="D13" i="14" s="1"/>
  <c r="D60" i="17"/>
  <c r="D14" i="14" s="1"/>
  <c r="D61" i="17"/>
  <c r="D15" i="14" s="1"/>
  <c r="D64" i="17"/>
  <c r="D17" i="14" s="1"/>
  <c r="D65" i="17"/>
  <c r="D18" i="14" s="1"/>
  <c r="D66" i="17"/>
  <c r="D19" i="14" s="1"/>
  <c r="D67" i="17"/>
  <c r="D20" i="14" s="1"/>
  <c r="D68" i="17"/>
  <c r="D21" i="14" s="1"/>
  <c r="D69" i="17"/>
  <c r="D22" i="14" s="1"/>
  <c r="E56" i="17"/>
  <c r="E10" i="14" s="1"/>
  <c r="E58" i="17"/>
  <c r="E12" i="14" s="1"/>
  <c r="E60" i="17"/>
  <c r="E14" i="14" s="1"/>
  <c r="E61" i="17"/>
  <c r="E15" i="14" s="1"/>
  <c r="E64" i="17"/>
  <c r="E17" i="14" s="1"/>
  <c r="E66" i="17"/>
  <c r="E19" i="14" s="1"/>
  <c r="F68" i="17"/>
  <c r="F21" i="14" s="1"/>
  <c r="E73" i="17"/>
  <c r="E27" i="14" s="1"/>
  <c r="F74" i="17"/>
  <c r="F28" i="14" s="1"/>
  <c r="E77" i="17"/>
  <c r="E31" i="14" s="1"/>
  <c r="E79" i="17"/>
  <c r="E33" i="14" s="1"/>
  <c r="F83" i="17"/>
  <c r="F38" i="14" s="1"/>
  <c r="E84" i="17"/>
  <c r="E39" i="14" s="1"/>
  <c r="E85" i="17"/>
  <c r="E40" i="14" s="1"/>
  <c r="F87" i="17"/>
  <c r="F42" i="14" s="1"/>
  <c r="E88" i="17"/>
  <c r="E43" i="14" s="1"/>
  <c r="E89" i="17"/>
  <c r="E44" i="14" s="1"/>
  <c r="E91" i="17"/>
  <c r="E46" i="14" s="1"/>
  <c r="E92" i="17"/>
  <c r="E47" i="14" s="1"/>
  <c r="E93" i="17"/>
  <c r="E48" i="14" s="1"/>
  <c r="F95" i="17"/>
  <c r="F50" i="14" s="1"/>
  <c r="E95" i="17"/>
  <c r="E50" i="14" s="1"/>
  <c r="E96" i="17"/>
  <c r="E51" i="14" s="1"/>
  <c r="E97" i="17"/>
  <c r="E52" i="14" s="1"/>
  <c r="F99" i="17"/>
  <c r="F54" i="14" s="1"/>
  <c r="F66" i="17"/>
  <c r="F19" i="14" s="1"/>
  <c r="F56" i="17"/>
  <c r="F10" i="14" s="1"/>
  <c r="F60" i="17"/>
  <c r="F14" i="14" s="1"/>
  <c r="F64" i="17"/>
  <c r="F17" i="14" s="1"/>
  <c r="F77" i="17"/>
  <c r="F31" i="14" s="1"/>
  <c r="F79" i="17"/>
  <c r="F33" i="14" s="1"/>
  <c r="F84" i="17"/>
  <c r="F39" i="14" s="1"/>
  <c r="F85" i="17"/>
  <c r="F40" i="14" s="1"/>
  <c r="F88" i="17"/>
  <c r="F43" i="14" s="1"/>
  <c r="F89" i="17"/>
  <c r="F44" i="14" s="1"/>
  <c r="F92" i="17"/>
  <c r="F47" i="14" s="1"/>
  <c r="F93" i="17"/>
  <c r="F48" i="14" s="1"/>
  <c r="F96" i="17"/>
  <c r="F51" i="14" s="1"/>
  <c r="F97" i="17"/>
  <c r="F52" i="14" s="1"/>
  <c r="G36" i="14"/>
  <c r="G9" i="14"/>
  <c r="G13" i="14"/>
  <c r="G15" i="14"/>
  <c r="G16" i="14"/>
  <c r="G19" i="14"/>
  <c r="G20" i="14"/>
  <c r="G22" i="14"/>
  <c r="G24" i="14"/>
  <c r="G27" i="14"/>
  <c r="G30" i="14"/>
  <c r="G32" i="14"/>
  <c r="G33" i="14"/>
  <c r="G40" i="14"/>
  <c r="G42" i="14"/>
  <c r="G45" i="14"/>
  <c r="H9" i="14"/>
  <c r="H10" i="14"/>
  <c r="H17" i="14"/>
  <c r="H19" i="14"/>
  <c r="H20" i="14"/>
  <c r="H24" i="14"/>
  <c r="H27" i="14"/>
  <c r="H30" i="14"/>
  <c r="H33" i="14"/>
  <c r="H38" i="14"/>
  <c r="H45" i="14"/>
  <c r="H52" i="14"/>
  <c r="H54" i="14"/>
  <c r="C83" i="17"/>
  <c r="C38" i="14" s="1"/>
  <c r="C55" i="17"/>
  <c r="C9" i="14" s="1"/>
  <c r="C56" i="17"/>
  <c r="C10" i="14" s="1"/>
  <c r="C57" i="17"/>
  <c r="C11" i="14" s="1"/>
  <c r="C58" i="17"/>
  <c r="C12" i="14" s="1"/>
  <c r="C59" i="17"/>
  <c r="C13" i="14" s="1"/>
  <c r="C60" i="17"/>
  <c r="C14" i="14" s="1"/>
  <c r="C61" i="17"/>
  <c r="C15" i="14" s="1"/>
  <c r="C62" i="17"/>
  <c r="C16" i="14" s="1"/>
  <c r="C64" i="17"/>
  <c r="C17" i="14" s="1"/>
  <c r="C65" i="17"/>
  <c r="C18" i="14" s="1"/>
  <c r="C66" i="17"/>
  <c r="C19" i="14" s="1"/>
  <c r="C67" i="17"/>
  <c r="C20" i="14" s="1"/>
  <c r="C68" i="17"/>
  <c r="C21" i="14" s="1"/>
  <c r="C69" i="17"/>
  <c r="C22" i="14" s="1"/>
  <c r="C70" i="17"/>
  <c r="C24" i="14" s="1"/>
  <c r="C71" i="17"/>
  <c r="C25" i="14" s="1"/>
  <c r="C72" i="17"/>
  <c r="C26" i="14" s="1"/>
  <c r="C73" i="17"/>
  <c r="C27" i="14" s="1"/>
  <c r="C74" i="17"/>
  <c r="C28" i="14" s="1"/>
  <c r="C75" i="17"/>
  <c r="C29" i="14" s="1"/>
  <c r="C76" i="17"/>
  <c r="C30" i="14" s="1"/>
  <c r="C77" i="17"/>
  <c r="C31" i="14" s="1"/>
  <c r="C78" i="17"/>
  <c r="C32" i="14" s="1"/>
  <c r="C79" i="17"/>
  <c r="C33" i="14" s="1"/>
  <c r="C80" i="17"/>
  <c r="C34" i="14" s="1"/>
  <c r="C81" i="17"/>
  <c r="C36" i="14" s="1"/>
  <c r="C82" i="17"/>
  <c r="C37" i="14" s="1"/>
  <c r="C84" i="17"/>
  <c r="C39" i="14" s="1"/>
  <c r="C85" i="17"/>
  <c r="C40" i="14" s="1"/>
  <c r="C86" i="17"/>
  <c r="C41" i="14" s="1"/>
  <c r="C87" i="17"/>
  <c r="C42" i="14" s="1"/>
  <c r="C88" i="17"/>
  <c r="C43" i="14" s="1"/>
  <c r="C89" i="17"/>
  <c r="C44" i="14" s="1"/>
  <c r="C90" i="17"/>
  <c r="C45" i="14" s="1"/>
  <c r="C91" i="17"/>
  <c r="C46" i="14" s="1"/>
  <c r="C92" i="17"/>
  <c r="C47" i="14" s="1"/>
  <c r="C93" i="17"/>
  <c r="C48" i="14" s="1"/>
  <c r="C94" i="17"/>
  <c r="C49" i="14" s="1"/>
  <c r="C95" i="17"/>
  <c r="C50" i="14" s="1"/>
  <c r="C96" i="17"/>
  <c r="C51" i="14" s="1"/>
  <c r="C97" i="17"/>
  <c r="C52" i="14" s="1"/>
  <c r="C98" i="17"/>
  <c r="C53" i="14" s="1"/>
  <c r="C99" i="17"/>
  <c r="C54" i="14" s="1"/>
  <c r="F54" i="17"/>
  <c r="D54" i="17"/>
  <c r="E54" i="17"/>
  <c r="C54" i="17"/>
  <c r="D117" i="14"/>
  <c r="E117" i="14"/>
  <c r="G117" i="14"/>
  <c r="C117" i="14"/>
  <c r="A54" i="17"/>
  <c r="A98" i="17"/>
  <c r="A99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F117" i="14"/>
  <c r="L57" i="14" l="1"/>
  <c r="K58" i="14"/>
  <c r="O58" i="14"/>
  <c r="L58" i="14"/>
  <c r="V58" i="14"/>
  <c r="V57" i="14"/>
  <c r="K59" i="14"/>
  <c r="V59" i="14"/>
  <c r="O59" i="14"/>
  <c r="R59" i="14"/>
  <c r="O57" i="14"/>
  <c r="L59" i="14"/>
  <c r="K57" i="14"/>
  <c r="R58" i="14"/>
  <c r="R57" i="14"/>
  <c r="H59" i="14"/>
  <c r="U83" i="17"/>
  <c r="U38" i="14" s="1"/>
  <c r="T83" i="17"/>
  <c r="T38" i="14" s="1"/>
  <c r="U74" i="17"/>
  <c r="U28" i="14" s="1"/>
  <c r="U70" i="17"/>
  <c r="U24" i="14" s="1"/>
  <c r="U57" i="17"/>
  <c r="U11" i="14" s="1"/>
  <c r="T57" i="17"/>
  <c r="T11" i="14" s="1"/>
  <c r="U99" i="17"/>
  <c r="U54" i="14" s="1"/>
  <c r="T99" i="17"/>
  <c r="T54" i="14" s="1"/>
  <c r="U98" i="17"/>
  <c r="U53" i="14" s="1"/>
  <c r="U94" i="17"/>
  <c r="U49" i="14" s="1"/>
  <c r="U81" i="17"/>
  <c r="U36" i="14" s="1"/>
  <c r="T81" i="17"/>
  <c r="T36" i="14" s="1"/>
  <c r="U77" i="17"/>
  <c r="U31" i="14" s="1"/>
  <c r="T77" i="17"/>
  <c r="T31" i="14" s="1"/>
  <c r="U72" i="17"/>
  <c r="U26" i="14" s="1"/>
  <c r="U68" i="17"/>
  <c r="U21" i="14" s="1"/>
  <c r="U55" i="17"/>
  <c r="U9" i="14" s="1"/>
  <c r="U73" i="17"/>
  <c r="U27" i="14" s="1"/>
  <c r="T73" i="17"/>
  <c r="T27" i="14" s="1"/>
  <c r="U69" i="17"/>
  <c r="U22" i="14" s="1"/>
  <c r="T69" i="17"/>
  <c r="T22" i="14" s="1"/>
  <c r="U89" i="17"/>
  <c r="U44" i="14" s="1"/>
  <c r="T89" i="17"/>
  <c r="T44" i="14" s="1"/>
  <c r="T85" i="17"/>
  <c r="T40" i="14" s="1"/>
  <c r="U85" i="17"/>
  <c r="U40" i="14" s="1"/>
  <c r="U80" i="17"/>
  <c r="U34" i="14" s="1"/>
  <c r="U91" i="17"/>
  <c r="U46" i="14" s="1"/>
  <c r="T91" i="17"/>
  <c r="T46" i="14" s="1"/>
  <c r="U61" i="17"/>
  <c r="U15" i="14" s="1"/>
  <c r="T61" i="17"/>
  <c r="T15" i="14" s="1"/>
  <c r="U97" i="17"/>
  <c r="U52" i="14" s="1"/>
  <c r="T97" i="17"/>
  <c r="T52" i="14" s="1"/>
  <c r="T93" i="17"/>
  <c r="T48" i="14" s="1"/>
  <c r="U93" i="17"/>
  <c r="U48" i="14" s="1"/>
  <c r="U88" i="17"/>
  <c r="U43" i="14" s="1"/>
  <c r="U71" i="17"/>
  <c r="U25" i="14" s="1"/>
  <c r="U59" i="17"/>
  <c r="U13" i="14" s="1"/>
  <c r="T59" i="17"/>
  <c r="T13" i="14" s="1"/>
  <c r="U65" i="17"/>
  <c r="U18" i="14" s="1"/>
  <c r="T65" i="17"/>
  <c r="T18" i="14" s="1"/>
  <c r="U67" i="17"/>
  <c r="U20" i="14" s="1"/>
  <c r="T67" i="17"/>
  <c r="T20" i="14" s="1"/>
  <c r="U95" i="17"/>
  <c r="U50" i="14" s="1"/>
  <c r="U76" i="17"/>
  <c r="U30" i="14" s="1"/>
  <c r="U84" i="17"/>
  <c r="U39" i="14" s="1"/>
  <c r="U92" i="17"/>
  <c r="U47" i="14" s="1"/>
  <c r="U54" i="17"/>
  <c r="U87" i="17"/>
  <c r="U42" i="14" s="1"/>
  <c r="U75" i="17"/>
  <c r="U29" i="14" s="1"/>
  <c r="T75" i="17"/>
  <c r="T29" i="14" s="1"/>
  <c r="U62" i="17"/>
  <c r="U16" i="14" s="1"/>
  <c r="T96" i="17"/>
  <c r="T51" i="14" s="1"/>
  <c r="S93" i="17"/>
  <c r="S48" i="14" s="1"/>
  <c r="T88" i="17"/>
  <c r="T43" i="14" s="1"/>
  <c r="S85" i="17"/>
  <c r="S40" i="14" s="1"/>
  <c r="T80" i="17"/>
  <c r="T34" i="14" s="1"/>
  <c r="S77" i="17"/>
  <c r="S31" i="14" s="1"/>
  <c r="T72" i="17"/>
  <c r="T26" i="14" s="1"/>
  <c r="S69" i="17"/>
  <c r="S22" i="14" s="1"/>
  <c r="T64" i="17"/>
  <c r="T17" i="14" s="1"/>
  <c r="S61" i="17"/>
  <c r="S15" i="14" s="1"/>
  <c r="T56" i="17"/>
  <c r="T10" i="14" s="1"/>
  <c r="U66" i="17"/>
  <c r="U19" i="14" s="1"/>
  <c r="U58" i="17"/>
  <c r="U12" i="14" s="1"/>
  <c r="S99" i="17"/>
  <c r="S54" i="14" s="1"/>
  <c r="S91" i="17"/>
  <c r="S46" i="14" s="1"/>
  <c r="S83" i="17"/>
  <c r="S38" i="14" s="1"/>
  <c r="S75" i="17"/>
  <c r="S29" i="14" s="1"/>
  <c r="T70" i="17"/>
  <c r="T24" i="14" s="1"/>
  <c r="S67" i="17"/>
  <c r="S20" i="14" s="1"/>
  <c r="T62" i="17"/>
  <c r="T16" i="14" s="1"/>
  <c r="S59" i="17"/>
  <c r="S13" i="14" s="1"/>
  <c r="T54" i="17"/>
  <c r="S89" i="17"/>
  <c r="S44" i="14" s="1"/>
  <c r="T84" i="17"/>
  <c r="T39" i="14" s="1"/>
  <c r="S81" i="17"/>
  <c r="S36" i="14" s="1"/>
  <c r="T76" i="17"/>
  <c r="T30" i="14" s="1"/>
  <c r="S73" i="17"/>
  <c r="S27" i="14" s="1"/>
  <c r="T68" i="17"/>
  <c r="T21" i="14" s="1"/>
  <c r="S65" i="17"/>
  <c r="S18" i="14" s="1"/>
  <c r="T60" i="17"/>
  <c r="T14" i="14" s="1"/>
  <c r="S57" i="17"/>
  <c r="S11" i="14" s="1"/>
  <c r="G59" i="14"/>
  <c r="I96" i="17"/>
  <c r="I51" i="14" s="1"/>
  <c r="M93" i="17"/>
  <c r="M48" i="14" s="1"/>
  <c r="Q88" i="17"/>
  <c r="Q43" i="14" s="1"/>
  <c r="I87" i="17"/>
  <c r="I42" i="14" s="1"/>
  <c r="I77" i="17"/>
  <c r="I31" i="14" s="1"/>
  <c r="I75" i="17"/>
  <c r="I29" i="14" s="1"/>
  <c r="Q61" i="17"/>
  <c r="Q15" i="14" s="1"/>
  <c r="I59" i="17"/>
  <c r="I13" i="14" s="1"/>
  <c r="M56" i="17"/>
  <c r="M10" i="14" s="1"/>
  <c r="I93" i="17"/>
  <c r="I48" i="14" s="1"/>
  <c r="M90" i="17"/>
  <c r="M45" i="14" s="1"/>
  <c r="N90" i="17"/>
  <c r="N45" i="14" s="1"/>
  <c r="M88" i="17"/>
  <c r="M43" i="14" s="1"/>
  <c r="M79" i="17"/>
  <c r="M33" i="14" s="1"/>
  <c r="I70" i="17"/>
  <c r="I24" i="14" s="1"/>
  <c r="N67" i="17"/>
  <c r="N20" i="14" s="1"/>
  <c r="M67" i="17"/>
  <c r="M20" i="14" s="1"/>
  <c r="M61" i="17"/>
  <c r="M15" i="14" s="1"/>
  <c r="I56" i="17"/>
  <c r="I10" i="14" s="1"/>
  <c r="M95" i="17"/>
  <c r="M50" i="14" s="1"/>
  <c r="N95" i="17"/>
  <c r="N50" i="14" s="1"/>
  <c r="I85" i="17"/>
  <c r="I40" i="14" s="1"/>
  <c r="I83" i="17"/>
  <c r="I38" i="14" s="1"/>
  <c r="I79" i="17"/>
  <c r="I33" i="14" s="1"/>
  <c r="M76" i="17"/>
  <c r="M30" i="14" s="1"/>
  <c r="M74" i="17"/>
  <c r="M28" i="14" s="1"/>
  <c r="M72" i="17"/>
  <c r="M26" i="14" s="1"/>
  <c r="I67" i="17"/>
  <c r="I20" i="14" s="1"/>
  <c r="J67" i="17"/>
  <c r="J20" i="14" s="1"/>
  <c r="I61" i="17"/>
  <c r="I15" i="14" s="1"/>
  <c r="M58" i="17"/>
  <c r="M12" i="14" s="1"/>
  <c r="I95" i="17"/>
  <c r="I50" i="14" s="1"/>
  <c r="M92" i="17"/>
  <c r="M47" i="14" s="1"/>
  <c r="I76" i="17"/>
  <c r="I30" i="14" s="1"/>
  <c r="I72" i="17"/>
  <c r="I26" i="14" s="1"/>
  <c r="M69" i="17"/>
  <c r="M22" i="14" s="1"/>
  <c r="N69" i="17"/>
  <c r="N22" i="14" s="1"/>
  <c r="I58" i="17"/>
  <c r="I12" i="14" s="1"/>
  <c r="M55" i="17"/>
  <c r="M9" i="14" s="1"/>
  <c r="I92" i="17"/>
  <c r="I47" i="14" s="1"/>
  <c r="M84" i="17"/>
  <c r="M39" i="14" s="1"/>
  <c r="I81" i="17"/>
  <c r="I36" i="14" s="1"/>
  <c r="I69" i="17"/>
  <c r="I22" i="14" s="1"/>
  <c r="M60" i="17"/>
  <c r="M14" i="14" s="1"/>
  <c r="I55" i="17"/>
  <c r="I9" i="14" s="1"/>
  <c r="M98" i="17"/>
  <c r="M53" i="14" s="1"/>
  <c r="N94" i="17"/>
  <c r="N49" i="14" s="1"/>
  <c r="I86" i="17"/>
  <c r="I41" i="14" s="1"/>
  <c r="I84" i="17"/>
  <c r="I39" i="14" s="1"/>
  <c r="I78" i="17"/>
  <c r="I32" i="14" s="1"/>
  <c r="M71" i="17"/>
  <c r="M25" i="14" s="1"/>
  <c r="N71" i="17"/>
  <c r="N25" i="14" s="1"/>
  <c r="J60" i="17"/>
  <c r="J14" i="14" s="1"/>
  <c r="I60" i="17"/>
  <c r="I14" i="14" s="1"/>
  <c r="M57" i="17"/>
  <c r="M11" i="14" s="1"/>
  <c r="M80" i="17"/>
  <c r="M34" i="14" s="1"/>
  <c r="N80" i="17"/>
  <c r="N34" i="14" s="1"/>
  <c r="N73" i="17"/>
  <c r="N27" i="14" s="1"/>
  <c r="M73" i="17"/>
  <c r="M27" i="14" s="1"/>
  <c r="I71" i="17"/>
  <c r="I25" i="14" s="1"/>
  <c r="M68" i="17"/>
  <c r="M21" i="14" s="1"/>
  <c r="N68" i="17"/>
  <c r="N21" i="14" s="1"/>
  <c r="J57" i="17"/>
  <c r="J11" i="14" s="1"/>
  <c r="I57" i="17"/>
  <c r="I11" i="14" s="1"/>
  <c r="M87" i="17"/>
  <c r="M42" i="14" s="1"/>
  <c r="M66" i="17"/>
  <c r="M19" i="14" s="1"/>
  <c r="M82" i="17"/>
  <c r="M37" i="14" s="1"/>
  <c r="M54" i="17"/>
  <c r="M85" i="17"/>
  <c r="M40" i="14" s="1"/>
  <c r="M64" i="17"/>
  <c r="M17" i="14" s="1"/>
  <c r="N78" i="17"/>
  <c r="N32" i="14" s="1"/>
  <c r="M75" i="17"/>
  <c r="M29" i="14" s="1"/>
  <c r="M83" i="17"/>
  <c r="M38" i="14" s="1"/>
  <c r="M99" i="17"/>
  <c r="M54" i="14" s="1"/>
  <c r="M65" i="17"/>
  <c r="M18" i="14" s="1"/>
  <c r="M81" i="17"/>
  <c r="M36" i="14" s="1"/>
  <c r="M97" i="17"/>
  <c r="M52" i="14" s="1"/>
  <c r="J98" i="17"/>
  <c r="J53" i="14" s="1"/>
  <c r="I94" i="17"/>
  <c r="I49" i="14" s="1"/>
  <c r="N91" i="17"/>
  <c r="N46" i="14" s="1"/>
  <c r="M91" i="17"/>
  <c r="M46" i="14" s="1"/>
  <c r="N89" i="17"/>
  <c r="N44" i="14" s="1"/>
  <c r="M89" i="17"/>
  <c r="M44" i="14" s="1"/>
  <c r="M94" i="17"/>
  <c r="M49" i="14" s="1"/>
  <c r="M62" i="17"/>
  <c r="M16" i="14" s="1"/>
  <c r="M96" i="17"/>
  <c r="M51" i="14" s="1"/>
  <c r="N96" i="17"/>
  <c r="N51" i="14" s="1"/>
  <c r="I91" i="17"/>
  <c r="I46" i="14" s="1"/>
  <c r="I89" i="17"/>
  <c r="I44" i="14" s="1"/>
  <c r="J82" i="17"/>
  <c r="J37" i="14" s="1"/>
  <c r="I80" i="17"/>
  <c r="I34" i="14" s="1"/>
  <c r="M77" i="17"/>
  <c r="M31" i="14" s="1"/>
  <c r="N77" i="17"/>
  <c r="N31" i="14" s="1"/>
  <c r="I68" i="17"/>
  <c r="I21" i="14" s="1"/>
  <c r="J66" i="17"/>
  <c r="J19" i="14" s="1"/>
  <c r="N59" i="17"/>
  <c r="N13" i="14" s="1"/>
  <c r="M59" i="17"/>
  <c r="M13" i="14" s="1"/>
  <c r="I64" i="17"/>
  <c r="I17" i="14" s="1"/>
  <c r="I88" i="17"/>
  <c r="I43" i="14" s="1"/>
  <c r="I99" i="17"/>
  <c r="I54" i="14" s="1"/>
  <c r="I54" i="17"/>
  <c r="I62" i="17"/>
  <c r="I16" i="14" s="1"/>
  <c r="I65" i="17"/>
  <c r="I18" i="14" s="1"/>
  <c r="I73" i="17"/>
  <c r="I27" i="14" s="1"/>
  <c r="I97" i="17"/>
  <c r="I52" i="14" s="1"/>
  <c r="P96" i="17"/>
  <c r="P51" i="14" s="1"/>
  <c r="P88" i="17"/>
  <c r="P43" i="14" s="1"/>
  <c r="P80" i="17"/>
  <c r="P34" i="14" s="1"/>
  <c r="P72" i="17"/>
  <c r="P26" i="14" s="1"/>
  <c r="P64" i="17"/>
  <c r="P17" i="14" s="1"/>
  <c r="P56" i="17"/>
  <c r="P10" i="14" s="1"/>
  <c r="Q94" i="17"/>
  <c r="Q49" i="14" s="1"/>
  <c r="Q83" i="17"/>
  <c r="Q38" i="14" s="1"/>
  <c r="Q75" i="17"/>
  <c r="Q29" i="14" s="1"/>
  <c r="Q74" i="17"/>
  <c r="Q28" i="14" s="1"/>
  <c r="Q73" i="17"/>
  <c r="Q27" i="14" s="1"/>
  <c r="Q65" i="17"/>
  <c r="Q18" i="14" s="1"/>
  <c r="Q62" i="17"/>
  <c r="Q16" i="14" s="1"/>
  <c r="Q54" i="17"/>
  <c r="H57" i="14"/>
  <c r="H58" i="14"/>
  <c r="C59" i="14"/>
  <c r="C57" i="14"/>
  <c r="F73" i="17"/>
  <c r="F27" i="14" s="1"/>
  <c r="F61" i="17"/>
  <c r="F15" i="14" s="1"/>
  <c r="E99" i="17"/>
  <c r="E54" i="14" s="1"/>
  <c r="F72" i="17"/>
  <c r="F26" i="14" s="1"/>
  <c r="E72" i="17"/>
  <c r="E26" i="14" s="1"/>
  <c r="E68" i="17"/>
  <c r="E21" i="14" s="1"/>
  <c r="F59" i="17"/>
  <c r="F13" i="14" s="1"/>
  <c r="E59" i="17"/>
  <c r="E13" i="14" s="1"/>
  <c r="F80" i="17"/>
  <c r="F34" i="14" s="1"/>
  <c r="E80" i="17"/>
  <c r="E34" i="14" s="1"/>
  <c r="C58" i="14"/>
  <c r="E71" i="17"/>
  <c r="E25" i="14" s="1"/>
  <c r="F67" i="17"/>
  <c r="F20" i="14" s="1"/>
  <c r="E67" i="17"/>
  <c r="E20" i="14" s="1"/>
  <c r="F81" i="17"/>
  <c r="F36" i="14" s="1"/>
  <c r="E81" i="17"/>
  <c r="E36" i="14" s="1"/>
  <c r="D62" i="17"/>
  <c r="D16" i="14" s="1"/>
  <c r="D57" i="14" s="1"/>
  <c r="D75" i="17"/>
  <c r="D29" i="14" s="1"/>
  <c r="D58" i="14" s="1"/>
  <c r="E98" i="17"/>
  <c r="E53" i="14" s="1"/>
  <c r="F98" i="17"/>
  <c r="F53" i="14" s="1"/>
  <c r="F94" i="17"/>
  <c r="F49" i="14" s="1"/>
  <c r="E94" i="17"/>
  <c r="E49" i="14" s="1"/>
  <c r="E87" i="17"/>
  <c r="E42" i="14" s="1"/>
  <c r="E83" i="17"/>
  <c r="E38" i="14" s="1"/>
  <c r="E74" i="17"/>
  <c r="E28" i="14" s="1"/>
  <c r="E90" i="17"/>
  <c r="E45" i="14" s="1"/>
  <c r="F90" i="17"/>
  <c r="F45" i="14" s="1"/>
  <c r="F86" i="17"/>
  <c r="F41" i="14" s="1"/>
  <c r="E86" i="17"/>
  <c r="E41" i="14" s="1"/>
  <c r="E76" i="17"/>
  <c r="E30" i="14" s="1"/>
  <c r="F76" i="17"/>
  <c r="F30" i="14" s="1"/>
  <c r="G57" i="14"/>
  <c r="D59" i="14"/>
  <c r="G58" i="14"/>
  <c r="F91" i="17"/>
  <c r="F46" i="14" s="1"/>
  <c r="E82" i="17"/>
  <c r="E37" i="14" s="1"/>
  <c r="F82" i="17"/>
  <c r="F37" i="14" s="1"/>
  <c r="E55" i="17"/>
  <c r="E9" i="14" s="1"/>
  <c r="F55" i="17"/>
  <c r="F9" i="14" s="1"/>
  <c r="V65" i="14" l="1"/>
  <c r="H65" i="14"/>
  <c r="K60" i="14"/>
  <c r="K101" i="14" s="1"/>
  <c r="T58" i="14"/>
  <c r="L65" i="14"/>
  <c r="P58" i="14"/>
  <c r="P64" i="14" s="1"/>
  <c r="O60" i="14"/>
  <c r="O86" i="14" s="1"/>
  <c r="K73" i="14"/>
  <c r="T57" i="14"/>
  <c r="P57" i="14"/>
  <c r="T59" i="14"/>
  <c r="U58" i="14"/>
  <c r="K65" i="14"/>
  <c r="I58" i="14"/>
  <c r="M59" i="14"/>
  <c r="I57" i="14"/>
  <c r="U57" i="14"/>
  <c r="L60" i="14"/>
  <c r="K97" i="14"/>
  <c r="S57" i="14"/>
  <c r="L63" i="14"/>
  <c r="L64" i="14"/>
  <c r="K109" i="14"/>
  <c r="U59" i="14"/>
  <c r="K64" i="14"/>
  <c r="K63" i="14"/>
  <c r="S58" i="14"/>
  <c r="R64" i="14"/>
  <c r="R66" i="14" s="1"/>
  <c r="R63" i="14"/>
  <c r="P59" i="14"/>
  <c r="K113" i="14"/>
  <c r="I59" i="14"/>
  <c r="R65" i="14"/>
  <c r="O64" i="14"/>
  <c r="O66" i="14" s="1"/>
  <c r="O63" i="14"/>
  <c r="K85" i="14"/>
  <c r="M57" i="14"/>
  <c r="M58" i="14"/>
  <c r="S59" i="14"/>
  <c r="S65" i="14" s="1"/>
  <c r="R60" i="14"/>
  <c r="O65" i="14"/>
  <c r="K106" i="14"/>
  <c r="V60" i="14"/>
  <c r="V64" i="14"/>
  <c r="V63" i="14"/>
  <c r="G65" i="14"/>
  <c r="H64" i="14"/>
  <c r="Q84" i="17"/>
  <c r="Q39" i="14" s="1"/>
  <c r="Q95" i="17"/>
  <c r="Q50" i="14" s="1"/>
  <c r="J54" i="17"/>
  <c r="J90" i="17"/>
  <c r="J45" i="14" s="1"/>
  <c r="J62" i="17"/>
  <c r="J16" i="14" s="1"/>
  <c r="Q77" i="17"/>
  <c r="Q31" i="14" s="1"/>
  <c r="J86" i="17"/>
  <c r="J41" i="14" s="1"/>
  <c r="J65" i="17"/>
  <c r="J18" i="14" s="1"/>
  <c r="N70" i="17"/>
  <c r="N24" i="14" s="1"/>
  <c r="N93" i="17"/>
  <c r="N48" i="14" s="1"/>
  <c r="Q86" i="17"/>
  <c r="Q41" i="14" s="1"/>
  <c r="Q97" i="17"/>
  <c r="Q52" i="14" s="1"/>
  <c r="J68" i="17"/>
  <c r="J21" i="14" s="1"/>
  <c r="J89" i="17"/>
  <c r="J44" i="14" s="1"/>
  <c r="Q64" i="17"/>
  <c r="Q17" i="14" s="1"/>
  <c r="J92" i="17"/>
  <c r="J47" i="14" s="1"/>
  <c r="J72" i="17"/>
  <c r="J26" i="14" s="1"/>
  <c r="J95" i="17"/>
  <c r="J50" i="14" s="1"/>
  <c r="Q69" i="17"/>
  <c r="Q22" i="14" s="1"/>
  <c r="J79" i="17"/>
  <c r="J33" i="14" s="1"/>
  <c r="J99" i="17"/>
  <c r="J54" i="14" s="1"/>
  <c r="J70" i="17"/>
  <c r="J24" i="14" s="1"/>
  <c r="J75" i="17"/>
  <c r="J29" i="14" s="1"/>
  <c r="H63" i="14"/>
  <c r="Q55" i="17"/>
  <c r="Q9" i="14" s="1"/>
  <c r="Q66" i="17"/>
  <c r="Q19" i="14" s="1"/>
  <c r="Q76" i="17"/>
  <c r="Q30" i="14" s="1"/>
  <c r="Q87" i="17"/>
  <c r="Q42" i="14" s="1"/>
  <c r="Q98" i="17"/>
  <c r="Q53" i="14" s="1"/>
  <c r="J73" i="17"/>
  <c r="J27" i="14" s="1"/>
  <c r="J91" i="17"/>
  <c r="J46" i="14" s="1"/>
  <c r="N98" i="17"/>
  <c r="N53" i="14" s="1"/>
  <c r="J69" i="17"/>
  <c r="J22" i="14" s="1"/>
  <c r="J97" i="17"/>
  <c r="J52" i="14" s="1"/>
  <c r="N58" i="17"/>
  <c r="N12" i="14" s="1"/>
  <c r="N72" i="17"/>
  <c r="N26" i="14" s="1"/>
  <c r="J83" i="17"/>
  <c r="J38" i="14" s="1"/>
  <c r="J56" i="17"/>
  <c r="J10" i="14" s="1"/>
  <c r="Q72" i="17"/>
  <c r="Q26" i="14" s="1"/>
  <c r="J93" i="17"/>
  <c r="J48" i="14" s="1"/>
  <c r="J96" i="17"/>
  <c r="J51" i="14" s="1"/>
  <c r="Q57" i="17"/>
  <c r="Q11" i="14" s="1"/>
  <c r="Q67" i="17"/>
  <c r="Q20" i="14" s="1"/>
  <c r="Q78" i="17"/>
  <c r="Q32" i="14" s="1"/>
  <c r="Q89" i="17"/>
  <c r="Q44" i="14" s="1"/>
  <c r="Q99" i="17"/>
  <c r="Q54" i="14" s="1"/>
  <c r="Q96" i="17"/>
  <c r="Q51" i="14" s="1"/>
  <c r="J78" i="17"/>
  <c r="J32" i="14" s="1"/>
  <c r="N55" i="17"/>
  <c r="N9" i="14" s="1"/>
  <c r="J74" i="17"/>
  <c r="J28" i="14" s="1"/>
  <c r="N79" i="17"/>
  <c r="N33" i="14" s="1"/>
  <c r="N56" i="17"/>
  <c r="N10" i="14" s="1"/>
  <c r="Q58" i="17"/>
  <c r="Q12" i="14" s="1"/>
  <c r="Q68" i="17"/>
  <c r="Q21" i="14" s="1"/>
  <c r="Q79" i="17"/>
  <c r="Q33" i="14" s="1"/>
  <c r="Q90" i="17"/>
  <c r="Q45" i="14" s="1"/>
  <c r="Q56" i="17"/>
  <c r="Q10" i="14" s="1"/>
  <c r="Q93" i="17"/>
  <c r="Q48" i="14" s="1"/>
  <c r="Q80" i="17"/>
  <c r="Q34" i="14" s="1"/>
  <c r="N74" i="17"/>
  <c r="N28" i="14" s="1"/>
  <c r="N61" i="17"/>
  <c r="N15" i="14" s="1"/>
  <c r="J77" i="17"/>
  <c r="J31" i="14" s="1"/>
  <c r="H60" i="14"/>
  <c r="H97" i="14" s="1"/>
  <c r="Q59" i="17"/>
  <c r="Q13" i="14" s="1"/>
  <c r="Q70" i="17"/>
  <c r="Q24" i="14" s="1"/>
  <c r="Q81" i="17"/>
  <c r="Q36" i="14" s="1"/>
  <c r="Q91" i="17"/>
  <c r="Q46" i="14" s="1"/>
  <c r="J80" i="17"/>
  <c r="J34" i="14" s="1"/>
  <c r="J71" i="17"/>
  <c r="J25" i="14" s="1"/>
  <c r="N57" i="17"/>
  <c r="N11" i="14" s="1"/>
  <c r="J55" i="17"/>
  <c r="J9" i="14" s="1"/>
  <c r="J81" i="17"/>
  <c r="J36" i="14" s="1"/>
  <c r="J58" i="17"/>
  <c r="J12" i="14" s="1"/>
  <c r="J76" i="17"/>
  <c r="J30" i="14" s="1"/>
  <c r="J61" i="17"/>
  <c r="J15" i="14" s="1"/>
  <c r="J85" i="17"/>
  <c r="J40" i="14" s="1"/>
  <c r="N88" i="17"/>
  <c r="N43" i="14" s="1"/>
  <c r="J59" i="17"/>
  <c r="J13" i="14" s="1"/>
  <c r="Q85" i="17"/>
  <c r="Q40" i="14" s="1"/>
  <c r="Q60" i="17"/>
  <c r="Q14" i="14" s="1"/>
  <c r="Q71" i="17"/>
  <c r="Q25" i="14" s="1"/>
  <c r="Q82" i="17"/>
  <c r="Q37" i="14" s="1"/>
  <c r="Q92" i="17"/>
  <c r="Q47" i="14" s="1"/>
  <c r="J94" i="17"/>
  <c r="J49" i="14" s="1"/>
  <c r="N65" i="17"/>
  <c r="N18" i="14" s="1"/>
  <c r="N81" i="17"/>
  <c r="N36" i="14" s="1"/>
  <c r="N97" i="17"/>
  <c r="N52" i="14" s="1"/>
  <c r="N87" i="17"/>
  <c r="N42" i="14" s="1"/>
  <c r="N66" i="17"/>
  <c r="N19" i="14" s="1"/>
  <c r="N82" i="17"/>
  <c r="N37" i="14" s="1"/>
  <c r="N85" i="17"/>
  <c r="N40" i="14" s="1"/>
  <c r="N64" i="17"/>
  <c r="N17" i="14" s="1"/>
  <c r="N54" i="17"/>
  <c r="N62" i="17"/>
  <c r="N16" i="14" s="1"/>
  <c r="N86" i="17"/>
  <c r="N41" i="14" s="1"/>
  <c r="N83" i="17"/>
  <c r="N38" i="14" s="1"/>
  <c r="N75" i="17"/>
  <c r="N29" i="14" s="1"/>
  <c r="N99" i="17"/>
  <c r="N54" i="14" s="1"/>
  <c r="J84" i="17"/>
  <c r="J39" i="14" s="1"/>
  <c r="N60" i="17"/>
  <c r="N14" i="14" s="1"/>
  <c r="N84" i="17"/>
  <c r="N39" i="14" s="1"/>
  <c r="N92" i="17"/>
  <c r="N47" i="14" s="1"/>
  <c r="J64" i="17"/>
  <c r="J17" i="14" s="1"/>
  <c r="N76" i="17"/>
  <c r="N30" i="14" s="1"/>
  <c r="J88" i="17"/>
  <c r="J43" i="14" s="1"/>
  <c r="J87" i="17"/>
  <c r="J42" i="14" s="1"/>
  <c r="D63" i="14"/>
  <c r="D64" i="14"/>
  <c r="E59" i="14"/>
  <c r="D60" i="14"/>
  <c r="F59" i="14"/>
  <c r="F78" i="17"/>
  <c r="F32" i="14" s="1"/>
  <c r="E78" i="17"/>
  <c r="E32" i="14" s="1"/>
  <c r="C63" i="14"/>
  <c r="C64" i="14"/>
  <c r="G63" i="14"/>
  <c r="G64" i="14"/>
  <c r="E65" i="17"/>
  <c r="E18" i="14" s="1"/>
  <c r="F65" i="17"/>
  <c r="F18" i="14" s="1"/>
  <c r="C60" i="14"/>
  <c r="F70" i="17"/>
  <c r="F24" i="14" s="1"/>
  <c r="E70" i="17"/>
  <c r="E24" i="14" s="1"/>
  <c r="E69" i="17"/>
  <c r="E22" i="14" s="1"/>
  <c r="F69" i="17"/>
  <c r="F22" i="14" s="1"/>
  <c r="E75" i="17"/>
  <c r="E29" i="14" s="1"/>
  <c r="F75" i="17"/>
  <c r="F29" i="14" s="1"/>
  <c r="H113" i="14"/>
  <c r="C65" i="14"/>
  <c r="G60" i="14"/>
  <c r="F57" i="17"/>
  <c r="F11" i="14" s="1"/>
  <c r="E57" i="17"/>
  <c r="E11" i="14" s="1"/>
  <c r="D65" i="14"/>
  <c r="E62" i="17"/>
  <c r="E16" i="14" s="1"/>
  <c r="F62" i="17"/>
  <c r="F16" i="14" s="1"/>
  <c r="L66" i="14" l="1"/>
  <c r="T64" i="14"/>
  <c r="K94" i="14"/>
  <c r="K71" i="14"/>
  <c r="K115" i="14"/>
  <c r="K90" i="14"/>
  <c r="K75" i="14"/>
  <c r="K107" i="14"/>
  <c r="K105" i="14"/>
  <c r="K82" i="14"/>
  <c r="K80" i="14"/>
  <c r="K66" i="14"/>
  <c r="K91" i="14"/>
  <c r="K103" i="14"/>
  <c r="K87" i="14"/>
  <c r="K93" i="14"/>
  <c r="K108" i="14"/>
  <c r="K95" i="14"/>
  <c r="K70" i="14"/>
  <c r="K89" i="14"/>
  <c r="G66" i="14"/>
  <c r="K83" i="14"/>
  <c r="P65" i="14"/>
  <c r="P66" i="14" s="1"/>
  <c r="K110" i="14"/>
  <c r="K92" i="14"/>
  <c r="K74" i="14"/>
  <c r="K104" i="14"/>
  <c r="K98" i="14"/>
  <c r="K114" i="14"/>
  <c r="V66" i="14"/>
  <c r="K102" i="14"/>
  <c r="K99" i="14"/>
  <c r="K112" i="14"/>
  <c r="K111" i="14"/>
  <c r="K77" i="14"/>
  <c r="K88" i="14"/>
  <c r="K79" i="14"/>
  <c r="H66" i="14"/>
  <c r="K86" i="14"/>
  <c r="K81" i="14"/>
  <c r="K78" i="14"/>
  <c r="K76" i="14"/>
  <c r="O91" i="14"/>
  <c r="U65" i="14"/>
  <c r="O85" i="14"/>
  <c r="O101" i="14"/>
  <c r="H88" i="14"/>
  <c r="H99" i="14"/>
  <c r="I65" i="14"/>
  <c r="O89" i="14"/>
  <c r="O105" i="14"/>
  <c r="O77" i="14"/>
  <c r="O83" i="14"/>
  <c r="O80" i="14"/>
  <c r="O99" i="14"/>
  <c r="O100" i="14"/>
  <c r="O73" i="14"/>
  <c r="O81" i="14"/>
  <c r="O92" i="14"/>
  <c r="O98" i="14"/>
  <c r="O71" i="14"/>
  <c r="O74" i="14"/>
  <c r="O75" i="14"/>
  <c r="O95" i="14"/>
  <c r="O114" i="14"/>
  <c r="O102" i="14"/>
  <c r="O90" i="14"/>
  <c r="O111" i="14"/>
  <c r="O113" i="14"/>
  <c r="O70" i="14"/>
  <c r="O97" i="14"/>
  <c r="O107" i="14"/>
  <c r="O106" i="14"/>
  <c r="O88" i="14"/>
  <c r="O87" i="14"/>
  <c r="O112" i="14"/>
  <c r="O72" i="14"/>
  <c r="O108" i="14"/>
  <c r="O115" i="14"/>
  <c r="O82" i="14"/>
  <c r="O76" i="14"/>
  <c r="O79" i="14"/>
  <c r="O93" i="14"/>
  <c r="O78" i="14"/>
  <c r="O103" i="14"/>
  <c r="O109" i="14"/>
  <c r="K100" i="14"/>
  <c r="K72" i="14"/>
  <c r="T65" i="14"/>
  <c r="T66" i="14" s="1"/>
  <c r="O104" i="14"/>
  <c r="O94" i="14"/>
  <c r="O110" i="14"/>
  <c r="M63" i="14"/>
  <c r="M65" i="14"/>
  <c r="N58" i="14"/>
  <c r="Q58" i="14"/>
  <c r="N57" i="14"/>
  <c r="Q57" i="14"/>
  <c r="T60" i="14"/>
  <c r="J59" i="14"/>
  <c r="M60" i="14"/>
  <c r="J57" i="14"/>
  <c r="S64" i="14"/>
  <c r="S66" i="14" s="1"/>
  <c r="S63" i="14"/>
  <c r="L95" i="14"/>
  <c r="L77" i="14"/>
  <c r="L108" i="14"/>
  <c r="L98" i="14"/>
  <c r="L90" i="14"/>
  <c r="L109" i="14"/>
  <c r="L91" i="14"/>
  <c r="L115" i="14"/>
  <c r="L74" i="14"/>
  <c r="L105" i="14"/>
  <c r="L82" i="14"/>
  <c r="L94" i="14"/>
  <c r="L87" i="14"/>
  <c r="L83" i="14"/>
  <c r="L88" i="14"/>
  <c r="L113" i="14"/>
  <c r="L79" i="14"/>
  <c r="L106" i="14"/>
  <c r="L92" i="14"/>
  <c r="L110" i="14"/>
  <c r="L85" i="14"/>
  <c r="L103" i="14"/>
  <c r="L80" i="14"/>
  <c r="L76" i="14"/>
  <c r="L112" i="14"/>
  <c r="L107" i="14"/>
  <c r="L81" i="14"/>
  <c r="L89" i="14"/>
  <c r="L73" i="14"/>
  <c r="L100" i="14"/>
  <c r="L101" i="14"/>
  <c r="L70" i="14"/>
  <c r="L104" i="14"/>
  <c r="L78" i="14"/>
  <c r="L86" i="14"/>
  <c r="L72" i="14"/>
  <c r="L75" i="14"/>
  <c r="L102" i="14"/>
  <c r="L114" i="14"/>
  <c r="L97" i="14"/>
  <c r="L71" i="14"/>
  <c r="L111" i="14"/>
  <c r="L99" i="14"/>
  <c r="L93" i="14"/>
  <c r="U60" i="14"/>
  <c r="I60" i="14"/>
  <c r="I64" i="14"/>
  <c r="I66" i="14" s="1"/>
  <c r="I63" i="14"/>
  <c r="U63" i="14"/>
  <c r="U64" i="14"/>
  <c r="U66" i="14" s="1"/>
  <c r="P63" i="14"/>
  <c r="P60" i="14"/>
  <c r="V71" i="14"/>
  <c r="V81" i="14"/>
  <c r="V90" i="14"/>
  <c r="V86" i="14"/>
  <c r="V106" i="14"/>
  <c r="V77" i="14"/>
  <c r="V91" i="14"/>
  <c r="V70" i="14"/>
  <c r="V87" i="14"/>
  <c r="V103" i="14"/>
  <c r="V82" i="14"/>
  <c r="V98" i="14"/>
  <c r="V76" i="14"/>
  <c r="V107" i="14"/>
  <c r="V92" i="14"/>
  <c r="V88" i="14"/>
  <c r="V85" i="14"/>
  <c r="V95" i="14"/>
  <c r="V101" i="14"/>
  <c r="V79" i="14"/>
  <c r="V89" i="14"/>
  <c r="V115" i="14"/>
  <c r="V97" i="14"/>
  <c r="V112" i="14"/>
  <c r="V93" i="14"/>
  <c r="V104" i="14"/>
  <c r="V113" i="14"/>
  <c r="V80" i="14"/>
  <c r="V94" i="14"/>
  <c r="V74" i="14"/>
  <c r="V109" i="14"/>
  <c r="V100" i="14"/>
  <c r="V78" i="14"/>
  <c r="V110" i="14"/>
  <c r="V99" i="14"/>
  <c r="V108" i="14"/>
  <c r="V75" i="14"/>
  <c r="V111" i="14"/>
  <c r="V114" i="14"/>
  <c r="V72" i="14"/>
  <c r="V83" i="14"/>
  <c r="V73" i="14"/>
  <c r="V105" i="14"/>
  <c r="V102" i="14"/>
  <c r="J58" i="14"/>
  <c r="N59" i="14"/>
  <c r="S60" i="14"/>
  <c r="R83" i="14"/>
  <c r="R109" i="14"/>
  <c r="R79" i="14"/>
  <c r="R107" i="14"/>
  <c r="R103" i="14"/>
  <c r="R100" i="14"/>
  <c r="R78" i="14"/>
  <c r="R72" i="14"/>
  <c r="R101" i="14"/>
  <c r="R111" i="14"/>
  <c r="R76" i="14"/>
  <c r="R112" i="14"/>
  <c r="R70" i="14"/>
  <c r="R110" i="14"/>
  <c r="R74" i="14"/>
  <c r="R89" i="14"/>
  <c r="R115" i="14"/>
  <c r="R97" i="14"/>
  <c r="R73" i="14"/>
  <c r="R99" i="14"/>
  <c r="R114" i="14"/>
  <c r="R77" i="14"/>
  <c r="R71" i="14"/>
  <c r="R106" i="14"/>
  <c r="R104" i="14"/>
  <c r="R85" i="14"/>
  <c r="R92" i="14"/>
  <c r="R82" i="14"/>
  <c r="R87" i="14"/>
  <c r="R113" i="14"/>
  <c r="R94" i="14"/>
  <c r="R90" i="14"/>
  <c r="R91" i="14"/>
  <c r="R95" i="14"/>
  <c r="R102" i="14"/>
  <c r="R75" i="14"/>
  <c r="R108" i="14"/>
  <c r="R88" i="14"/>
  <c r="R80" i="14"/>
  <c r="R98" i="14"/>
  <c r="R105" i="14"/>
  <c r="R81" i="14"/>
  <c r="R86" i="14"/>
  <c r="R93" i="14"/>
  <c r="Q59" i="14"/>
  <c r="M64" i="14"/>
  <c r="T63" i="14"/>
  <c r="H106" i="14"/>
  <c r="H78" i="14"/>
  <c r="H74" i="14"/>
  <c r="H112" i="14"/>
  <c r="H75" i="14"/>
  <c r="H90" i="14"/>
  <c r="H101" i="14"/>
  <c r="H105" i="14"/>
  <c r="H114" i="14"/>
  <c r="H72" i="14"/>
  <c r="H111" i="14"/>
  <c r="H107" i="14"/>
  <c r="H104" i="14"/>
  <c r="H79" i="14"/>
  <c r="H98" i="14"/>
  <c r="H95" i="14"/>
  <c r="H93" i="14"/>
  <c r="H85" i="14"/>
  <c r="H115" i="14"/>
  <c r="H77" i="14"/>
  <c r="H92" i="14"/>
  <c r="H83" i="14"/>
  <c r="H76" i="14"/>
  <c r="H103" i="14"/>
  <c r="H86" i="14"/>
  <c r="H89" i="14"/>
  <c r="H82" i="14"/>
  <c r="H87" i="14"/>
  <c r="E57" i="14"/>
  <c r="E65" i="14" s="1"/>
  <c r="H100" i="14"/>
  <c r="H94" i="14"/>
  <c r="H71" i="14"/>
  <c r="H91" i="14"/>
  <c r="H110" i="14"/>
  <c r="H109" i="14"/>
  <c r="H80" i="14"/>
  <c r="H70" i="14"/>
  <c r="H108" i="14"/>
  <c r="H73" i="14"/>
  <c r="H102" i="14"/>
  <c r="H81" i="14"/>
  <c r="F58" i="14"/>
  <c r="E58" i="14"/>
  <c r="C66" i="14"/>
  <c r="G106" i="14"/>
  <c r="G114" i="14"/>
  <c r="G77" i="14"/>
  <c r="G80" i="14"/>
  <c r="G98" i="14"/>
  <c r="G107" i="14"/>
  <c r="G92" i="14"/>
  <c r="G73" i="14"/>
  <c r="G95" i="14"/>
  <c r="G70" i="14"/>
  <c r="G74" i="14"/>
  <c r="G81" i="14"/>
  <c r="G103" i="14"/>
  <c r="G109" i="14"/>
  <c r="G115" i="14"/>
  <c r="G93" i="14"/>
  <c r="G100" i="14"/>
  <c r="G111" i="14"/>
  <c r="G72" i="14"/>
  <c r="G88" i="14"/>
  <c r="G105" i="14"/>
  <c r="G79" i="14"/>
  <c r="G89" i="14"/>
  <c r="G97" i="14"/>
  <c r="G101" i="14"/>
  <c r="G113" i="14"/>
  <c r="G86" i="14"/>
  <c r="G85" i="14"/>
  <c r="G87" i="14"/>
  <c r="G108" i="14"/>
  <c r="G90" i="14"/>
  <c r="G78" i="14"/>
  <c r="G91" i="14"/>
  <c r="G71" i="14"/>
  <c r="G99" i="14"/>
  <c r="G94" i="14"/>
  <c r="G102" i="14"/>
  <c r="G82" i="14"/>
  <c r="G75" i="14"/>
  <c r="G104" i="14"/>
  <c r="G112" i="14"/>
  <c r="G110" i="14"/>
  <c r="G83" i="14"/>
  <c r="G76" i="14"/>
  <c r="D88" i="14"/>
  <c r="D98" i="14"/>
  <c r="D81" i="14"/>
  <c r="D83" i="14"/>
  <c r="D112" i="14"/>
  <c r="D111" i="14"/>
  <c r="D85" i="14"/>
  <c r="D74" i="14"/>
  <c r="D102" i="14"/>
  <c r="D103" i="14"/>
  <c r="D108" i="14"/>
  <c r="D113" i="14"/>
  <c r="D76" i="14"/>
  <c r="D78" i="14"/>
  <c r="D115" i="14"/>
  <c r="D95" i="14"/>
  <c r="D86" i="14"/>
  <c r="D82" i="14"/>
  <c r="D73" i="14"/>
  <c r="D107" i="14"/>
  <c r="D97" i="14"/>
  <c r="D89" i="14"/>
  <c r="D110" i="14"/>
  <c r="D114" i="14"/>
  <c r="D109" i="14"/>
  <c r="D99" i="14"/>
  <c r="D70" i="14"/>
  <c r="D106" i="14"/>
  <c r="D101" i="14"/>
  <c r="D104" i="14"/>
  <c r="D92" i="14"/>
  <c r="D93" i="14"/>
  <c r="D79" i="14"/>
  <c r="D75" i="14"/>
  <c r="D91" i="14"/>
  <c r="D105" i="14"/>
  <c r="D87" i="14"/>
  <c r="D100" i="14"/>
  <c r="D72" i="14"/>
  <c r="D71" i="14"/>
  <c r="D80" i="14"/>
  <c r="D94" i="14"/>
  <c r="C87" i="14"/>
  <c r="C72" i="14"/>
  <c r="C80" i="14"/>
  <c r="C98" i="14"/>
  <c r="C89" i="14"/>
  <c r="C73" i="14"/>
  <c r="C100" i="14"/>
  <c r="C110" i="14"/>
  <c r="C90" i="14"/>
  <c r="C82" i="14"/>
  <c r="C101" i="14"/>
  <c r="C112" i="14"/>
  <c r="C91" i="14"/>
  <c r="C75" i="14"/>
  <c r="C104" i="14"/>
  <c r="C94" i="14"/>
  <c r="C77" i="14"/>
  <c r="C102" i="14"/>
  <c r="C76" i="14"/>
  <c r="C71" i="14"/>
  <c r="C78" i="14"/>
  <c r="C85" i="14"/>
  <c r="C79" i="14"/>
  <c r="C95" i="14"/>
  <c r="C109" i="14"/>
  <c r="C92" i="14"/>
  <c r="C99" i="14"/>
  <c r="C108" i="14"/>
  <c r="C81" i="14"/>
  <c r="C103" i="14"/>
  <c r="C111" i="14"/>
  <c r="C115" i="14"/>
  <c r="C88" i="14"/>
  <c r="C70" i="14"/>
  <c r="C106" i="14"/>
  <c r="C86" i="14"/>
  <c r="C83" i="14"/>
  <c r="C93" i="14"/>
  <c r="C97" i="14"/>
  <c r="C113" i="14"/>
  <c r="C74" i="14"/>
  <c r="C114" i="14"/>
  <c r="C107" i="14"/>
  <c r="C105" i="14"/>
  <c r="D66" i="14"/>
  <c r="D77" i="14"/>
  <c r="D90" i="14"/>
  <c r="F57" i="14"/>
  <c r="H120" i="14" l="1"/>
  <c r="M66" i="14"/>
  <c r="O119" i="14"/>
  <c r="K120" i="14"/>
  <c r="K119" i="14"/>
  <c r="V120" i="14"/>
  <c r="R118" i="14"/>
  <c r="G119" i="14"/>
  <c r="L120" i="14"/>
  <c r="L118" i="14"/>
  <c r="H119" i="14"/>
  <c r="R120" i="14"/>
  <c r="R119" i="14"/>
  <c r="O120" i="14"/>
  <c r="K118" i="14"/>
  <c r="V119" i="14"/>
  <c r="O118" i="14"/>
  <c r="V118" i="14"/>
  <c r="L119" i="14"/>
  <c r="Q65" i="14"/>
  <c r="N65" i="14"/>
  <c r="J65" i="14"/>
  <c r="N60" i="14"/>
  <c r="N64" i="14"/>
  <c r="N66" i="14" s="1"/>
  <c r="N63" i="14"/>
  <c r="Q64" i="14"/>
  <c r="Q63" i="14"/>
  <c r="J64" i="14"/>
  <c r="J63" i="14"/>
  <c r="Q60" i="14"/>
  <c r="S87" i="14"/>
  <c r="S113" i="14"/>
  <c r="S112" i="14"/>
  <c r="S102" i="14"/>
  <c r="S114" i="14"/>
  <c r="S100" i="14"/>
  <c r="S78" i="14"/>
  <c r="S110" i="14"/>
  <c r="S98" i="14"/>
  <c r="S93" i="14"/>
  <c r="S86" i="14"/>
  <c r="S73" i="14"/>
  <c r="S80" i="14"/>
  <c r="S103" i="14"/>
  <c r="S104" i="14"/>
  <c r="S70" i="14"/>
  <c r="S85" i="14"/>
  <c r="S75" i="14"/>
  <c r="S111" i="14"/>
  <c r="S89" i="14"/>
  <c r="S77" i="14"/>
  <c r="S95" i="14"/>
  <c r="S91" i="14"/>
  <c r="S71" i="14"/>
  <c r="S108" i="14"/>
  <c r="S106" i="14"/>
  <c r="S82" i="14"/>
  <c r="S94" i="14"/>
  <c r="S107" i="14"/>
  <c r="S105" i="14"/>
  <c r="S83" i="14"/>
  <c r="S115" i="14"/>
  <c r="S99" i="14"/>
  <c r="S92" i="14"/>
  <c r="S79" i="14"/>
  <c r="S74" i="14"/>
  <c r="S101" i="14"/>
  <c r="S88" i="14"/>
  <c r="S97" i="14"/>
  <c r="S109" i="14"/>
  <c r="S72" i="14"/>
  <c r="S81" i="14"/>
  <c r="S76" i="14"/>
  <c r="S90" i="14"/>
  <c r="I98" i="14"/>
  <c r="I106" i="14"/>
  <c r="I80" i="14"/>
  <c r="I89" i="14"/>
  <c r="I114" i="14"/>
  <c r="I86" i="14"/>
  <c r="I71" i="14"/>
  <c r="I82" i="14"/>
  <c r="I103" i="14"/>
  <c r="I105" i="14"/>
  <c r="I111" i="14"/>
  <c r="I75" i="14"/>
  <c r="I77" i="14"/>
  <c r="I92" i="14"/>
  <c r="I109" i="14"/>
  <c r="I79" i="14"/>
  <c r="I112" i="14"/>
  <c r="I87" i="14"/>
  <c r="I91" i="14"/>
  <c r="I94" i="14"/>
  <c r="I90" i="14"/>
  <c r="I72" i="14"/>
  <c r="I99" i="14"/>
  <c r="I73" i="14"/>
  <c r="I104" i="14"/>
  <c r="I93" i="14"/>
  <c r="I76" i="14"/>
  <c r="I85" i="14"/>
  <c r="I115" i="14"/>
  <c r="I70" i="14"/>
  <c r="I95" i="14"/>
  <c r="I81" i="14"/>
  <c r="I88" i="14"/>
  <c r="I100" i="14"/>
  <c r="I102" i="14"/>
  <c r="I110" i="14"/>
  <c r="I108" i="14"/>
  <c r="I101" i="14"/>
  <c r="I83" i="14"/>
  <c r="I113" i="14"/>
  <c r="I97" i="14"/>
  <c r="I74" i="14"/>
  <c r="I78" i="14"/>
  <c r="I107" i="14"/>
  <c r="M107" i="14"/>
  <c r="M93" i="14"/>
  <c r="M85" i="14"/>
  <c r="M102" i="14"/>
  <c r="M95" i="14"/>
  <c r="M97" i="14"/>
  <c r="M104" i="14"/>
  <c r="M99" i="14"/>
  <c r="M76" i="14"/>
  <c r="M81" i="14"/>
  <c r="M74" i="14"/>
  <c r="M108" i="14"/>
  <c r="M82" i="14"/>
  <c r="M115" i="14"/>
  <c r="M106" i="14"/>
  <c r="M103" i="14"/>
  <c r="M90" i="14"/>
  <c r="M71" i="14"/>
  <c r="M94" i="14"/>
  <c r="M78" i="14"/>
  <c r="M114" i="14"/>
  <c r="M72" i="14"/>
  <c r="M75" i="14"/>
  <c r="M80" i="14"/>
  <c r="M109" i="14"/>
  <c r="M110" i="14"/>
  <c r="M73" i="14"/>
  <c r="M79" i="14"/>
  <c r="M101" i="14"/>
  <c r="M91" i="14"/>
  <c r="M83" i="14"/>
  <c r="M88" i="14"/>
  <c r="M86" i="14"/>
  <c r="M87" i="14"/>
  <c r="M77" i="14"/>
  <c r="M92" i="14"/>
  <c r="M112" i="14"/>
  <c r="M105" i="14"/>
  <c r="M111" i="14"/>
  <c r="M70" i="14"/>
  <c r="M100" i="14"/>
  <c r="M113" i="14"/>
  <c r="M98" i="14"/>
  <c r="M89" i="14"/>
  <c r="P113" i="14"/>
  <c r="P88" i="14"/>
  <c r="P86" i="14"/>
  <c r="P106" i="14"/>
  <c r="P114" i="14"/>
  <c r="P102" i="14"/>
  <c r="P75" i="14"/>
  <c r="P105" i="14"/>
  <c r="P107" i="14"/>
  <c r="P110" i="14"/>
  <c r="P103" i="14"/>
  <c r="P101" i="14"/>
  <c r="P90" i="14"/>
  <c r="P77" i="14"/>
  <c r="P109" i="14"/>
  <c r="P72" i="14"/>
  <c r="P94" i="14"/>
  <c r="P76" i="14"/>
  <c r="P91" i="14"/>
  <c r="P92" i="14"/>
  <c r="P79" i="14"/>
  <c r="P111" i="14"/>
  <c r="P82" i="14"/>
  <c r="P97" i="14"/>
  <c r="P108" i="14"/>
  <c r="P74" i="14"/>
  <c r="P80" i="14"/>
  <c r="P100" i="14"/>
  <c r="P70" i="14"/>
  <c r="P89" i="14"/>
  <c r="P115" i="14"/>
  <c r="P85" i="14"/>
  <c r="P93" i="14"/>
  <c r="P81" i="14"/>
  <c r="P73" i="14"/>
  <c r="P99" i="14"/>
  <c r="P83" i="14"/>
  <c r="P98" i="14"/>
  <c r="P112" i="14"/>
  <c r="P104" i="14"/>
  <c r="P95" i="14"/>
  <c r="P71" i="14"/>
  <c r="P87" i="14"/>
  <c r="P78" i="14"/>
  <c r="T89" i="14"/>
  <c r="T103" i="14"/>
  <c r="T80" i="14"/>
  <c r="T106" i="14"/>
  <c r="T108" i="14"/>
  <c r="T86" i="14"/>
  <c r="T94" i="14"/>
  <c r="T114" i="14"/>
  <c r="T98" i="14"/>
  <c r="T110" i="14"/>
  <c r="T102" i="14"/>
  <c r="T70" i="14"/>
  <c r="T73" i="14"/>
  <c r="T93" i="14"/>
  <c r="T111" i="14"/>
  <c r="T100" i="14"/>
  <c r="T75" i="14"/>
  <c r="T79" i="14"/>
  <c r="T82" i="14"/>
  <c r="T115" i="14"/>
  <c r="T104" i="14"/>
  <c r="T112" i="14"/>
  <c r="T113" i="14"/>
  <c r="T77" i="14"/>
  <c r="T74" i="14"/>
  <c r="T81" i="14"/>
  <c r="T71" i="14"/>
  <c r="T78" i="14"/>
  <c r="T99" i="14"/>
  <c r="T76" i="14"/>
  <c r="T107" i="14"/>
  <c r="T109" i="14"/>
  <c r="T87" i="14"/>
  <c r="T101" i="14"/>
  <c r="T90" i="14"/>
  <c r="T97" i="14"/>
  <c r="T105" i="14"/>
  <c r="T91" i="14"/>
  <c r="T92" i="14"/>
  <c r="T83" i="14"/>
  <c r="T88" i="14"/>
  <c r="T85" i="14"/>
  <c r="T72" i="14"/>
  <c r="T95" i="14"/>
  <c r="F60" i="14"/>
  <c r="F90" i="14" s="1"/>
  <c r="U99" i="14"/>
  <c r="U78" i="14"/>
  <c r="U71" i="14"/>
  <c r="U102" i="14"/>
  <c r="U93" i="14"/>
  <c r="U112" i="14"/>
  <c r="U75" i="14"/>
  <c r="U98" i="14"/>
  <c r="U106" i="14"/>
  <c r="U94" i="14"/>
  <c r="U104" i="14"/>
  <c r="U88" i="14"/>
  <c r="U97" i="14"/>
  <c r="U108" i="14"/>
  <c r="U74" i="14"/>
  <c r="U91" i="14"/>
  <c r="U83" i="14"/>
  <c r="U107" i="14"/>
  <c r="U110" i="14"/>
  <c r="U76" i="14"/>
  <c r="U86" i="14"/>
  <c r="U101" i="14"/>
  <c r="U80" i="14"/>
  <c r="U109" i="14"/>
  <c r="U105" i="14"/>
  <c r="U103" i="14"/>
  <c r="U77" i="14"/>
  <c r="U89" i="14"/>
  <c r="U85" i="14"/>
  <c r="U90" i="14"/>
  <c r="U73" i="14"/>
  <c r="U70" i="14"/>
  <c r="U79" i="14"/>
  <c r="U87" i="14"/>
  <c r="U92" i="14"/>
  <c r="U100" i="14"/>
  <c r="U81" i="14"/>
  <c r="U114" i="14"/>
  <c r="U113" i="14"/>
  <c r="U115" i="14"/>
  <c r="U72" i="14"/>
  <c r="U111" i="14"/>
  <c r="U95" i="14"/>
  <c r="U82" i="14"/>
  <c r="J60" i="14"/>
  <c r="G118" i="14"/>
  <c r="G120" i="14"/>
  <c r="H118" i="14"/>
  <c r="D118" i="14"/>
  <c r="F65" i="14"/>
  <c r="F63" i="14"/>
  <c r="F64" i="14"/>
  <c r="C120" i="14"/>
  <c r="D119" i="14"/>
  <c r="C119" i="14"/>
  <c r="C118" i="14"/>
  <c r="D120" i="14"/>
  <c r="E64" i="14"/>
  <c r="E66" i="14" s="1"/>
  <c r="E63" i="14"/>
  <c r="E60" i="14"/>
  <c r="K121" i="14" l="1"/>
  <c r="R121" i="14"/>
  <c r="F66" i="14"/>
  <c r="C121" i="14"/>
  <c r="F105" i="14"/>
  <c r="U118" i="14"/>
  <c r="I119" i="14"/>
  <c r="S119" i="14"/>
  <c r="T120" i="14"/>
  <c r="F114" i="14"/>
  <c r="S120" i="14"/>
  <c r="F106" i="14"/>
  <c r="P119" i="14"/>
  <c r="U120" i="14"/>
  <c r="I120" i="14"/>
  <c r="F78" i="14"/>
  <c r="J66" i="14"/>
  <c r="M120" i="14"/>
  <c r="F80" i="14"/>
  <c r="F83" i="14"/>
  <c r="P120" i="14"/>
  <c r="S118" i="14"/>
  <c r="U119" i="14"/>
  <c r="T119" i="14"/>
  <c r="P118" i="14"/>
  <c r="M119" i="14"/>
  <c r="F92" i="14"/>
  <c r="Q66" i="14"/>
  <c r="V121" i="14"/>
  <c r="L121" i="14"/>
  <c r="F71" i="14"/>
  <c r="H121" i="14"/>
  <c r="M118" i="14"/>
  <c r="I118" i="14"/>
  <c r="O121" i="14"/>
  <c r="T118" i="14"/>
  <c r="F102" i="14"/>
  <c r="F75" i="14"/>
  <c r="F79" i="14"/>
  <c r="F103" i="14"/>
  <c r="F111" i="14"/>
  <c r="F77" i="14"/>
  <c r="F107" i="14"/>
  <c r="F73" i="14"/>
  <c r="F85" i="14"/>
  <c r="F76" i="14"/>
  <c r="F89" i="14"/>
  <c r="F115" i="14"/>
  <c r="F100" i="14"/>
  <c r="F91" i="14"/>
  <c r="F109" i="14"/>
  <c r="F82" i="14"/>
  <c r="F97" i="14"/>
  <c r="F110" i="14"/>
  <c r="F88" i="14"/>
  <c r="F99" i="14"/>
  <c r="F74" i="14"/>
  <c r="F95" i="14"/>
  <c r="F104" i="14"/>
  <c r="F112" i="14"/>
  <c r="F93" i="14"/>
  <c r="F81" i="14"/>
  <c r="F70" i="14"/>
  <c r="F94" i="14"/>
  <c r="F86" i="14"/>
  <c r="F108" i="14"/>
  <c r="F87" i="14"/>
  <c r="F98" i="14"/>
  <c r="F101" i="14"/>
  <c r="F113" i="14"/>
  <c r="F72" i="14"/>
  <c r="J80" i="14"/>
  <c r="J75" i="14"/>
  <c r="J114" i="14"/>
  <c r="J72" i="14"/>
  <c r="J81" i="14"/>
  <c r="J98" i="14"/>
  <c r="J112" i="14"/>
  <c r="J103" i="14"/>
  <c r="J97" i="14"/>
  <c r="J102" i="14"/>
  <c r="J71" i="14"/>
  <c r="J95" i="14"/>
  <c r="J106" i="14"/>
  <c r="J83" i="14"/>
  <c r="J76" i="14"/>
  <c r="J70" i="14"/>
  <c r="J88" i="14"/>
  <c r="J104" i="14"/>
  <c r="J99" i="14"/>
  <c r="J91" i="14"/>
  <c r="J78" i="14"/>
  <c r="J108" i="14"/>
  <c r="J90" i="14"/>
  <c r="J79" i="14"/>
  <c r="J73" i="14"/>
  <c r="J89" i="14"/>
  <c r="J100" i="14"/>
  <c r="J93" i="14"/>
  <c r="J74" i="14"/>
  <c r="J85" i="14"/>
  <c r="J115" i="14"/>
  <c r="J87" i="14"/>
  <c r="J111" i="14"/>
  <c r="J109" i="14"/>
  <c r="J113" i="14"/>
  <c r="J105" i="14"/>
  <c r="J82" i="14"/>
  <c r="J110" i="14"/>
  <c r="J107" i="14"/>
  <c r="J92" i="14"/>
  <c r="J86" i="14"/>
  <c r="J77" i="14"/>
  <c r="J101" i="14"/>
  <c r="J94" i="14"/>
  <c r="Q90" i="14"/>
  <c r="Q76" i="14"/>
  <c r="Q89" i="14"/>
  <c r="Q104" i="14"/>
  <c r="Q77" i="14"/>
  <c r="Q88" i="14"/>
  <c r="Q79" i="14"/>
  <c r="Q99" i="14"/>
  <c r="Q110" i="14"/>
  <c r="Q107" i="14"/>
  <c r="Q100" i="14"/>
  <c r="Q108" i="14"/>
  <c r="Q81" i="14"/>
  <c r="Q105" i="14"/>
  <c r="Q95" i="14"/>
  <c r="Q86" i="14"/>
  <c r="Q74" i="14"/>
  <c r="Q93" i="14"/>
  <c r="Q82" i="14"/>
  <c r="Q78" i="14"/>
  <c r="Q83" i="14"/>
  <c r="Q106" i="14"/>
  <c r="Q94" i="14"/>
  <c r="Q102" i="14"/>
  <c r="Q114" i="14"/>
  <c r="Q75" i="14"/>
  <c r="Q70" i="14"/>
  <c r="Q109" i="14"/>
  <c r="Q91" i="14"/>
  <c r="Q112" i="14"/>
  <c r="Q98" i="14"/>
  <c r="Q80" i="14"/>
  <c r="Q111" i="14"/>
  <c r="Q73" i="14"/>
  <c r="Q85" i="14"/>
  <c r="Q87" i="14"/>
  <c r="Q97" i="14"/>
  <c r="Q103" i="14"/>
  <c r="Q113" i="14"/>
  <c r="Q101" i="14"/>
  <c r="Q115" i="14"/>
  <c r="Q71" i="14"/>
  <c r="Q72" i="14"/>
  <c r="Q92" i="14"/>
  <c r="N82" i="14"/>
  <c r="N105" i="14"/>
  <c r="N93" i="14"/>
  <c r="N92" i="14"/>
  <c r="N86" i="14"/>
  <c r="N110" i="14"/>
  <c r="N111" i="14"/>
  <c r="N88" i="14"/>
  <c r="N112" i="14"/>
  <c r="N95" i="14"/>
  <c r="N81" i="14"/>
  <c r="N83" i="14"/>
  <c r="N74" i="14"/>
  <c r="N106" i="14"/>
  <c r="N107" i="14"/>
  <c r="N103" i="14"/>
  <c r="N75" i="14"/>
  <c r="N90" i="14"/>
  <c r="N71" i="14"/>
  <c r="N113" i="14"/>
  <c r="N89" i="14"/>
  <c r="N94" i="14"/>
  <c r="N78" i="14"/>
  <c r="N97" i="14"/>
  <c r="N73" i="14"/>
  <c r="N115" i="14"/>
  <c r="N109" i="14"/>
  <c r="N87" i="14"/>
  <c r="N102" i="14"/>
  <c r="N79" i="14"/>
  <c r="N101" i="14"/>
  <c r="N70" i="14"/>
  <c r="N80" i="14"/>
  <c r="N72" i="14"/>
  <c r="N77" i="14"/>
  <c r="N104" i="14"/>
  <c r="N91" i="14"/>
  <c r="N98" i="14"/>
  <c r="N85" i="14"/>
  <c r="N114" i="14"/>
  <c r="N108" i="14"/>
  <c r="N100" i="14"/>
  <c r="N76" i="14"/>
  <c r="N99" i="14"/>
  <c r="G121" i="14"/>
  <c r="E108" i="14"/>
  <c r="E78" i="14"/>
  <c r="E76" i="14"/>
  <c r="E113" i="14"/>
  <c r="E71" i="14"/>
  <c r="E92" i="14"/>
  <c r="E73" i="14"/>
  <c r="E107" i="14"/>
  <c r="E88" i="14"/>
  <c r="E80" i="14"/>
  <c r="E104" i="14"/>
  <c r="E112" i="14"/>
  <c r="E105" i="14"/>
  <c r="E94" i="14"/>
  <c r="E111" i="14"/>
  <c r="E100" i="14"/>
  <c r="E75" i="14"/>
  <c r="E109" i="14"/>
  <c r="E101" i="14"/>
  <c r="E91" i="14"/>
  <c r="E110" i="14"/>
  <c r="E114" i="14"/>
  <c r="E98" i="14"/>
  <c r="E82" i="14"/>
  <c r="E70" i="14"/>
  <c r="E103" i="14"/>
  <c r="E106" i="14"/>
  <c r="E86" i="14"/>
  <c r="E74" i="14"/>
  <c r="E102" i="14"/>
  <c r="E115" i="14"/>
  <c r="E97" i="14"/>
  <c r="E81" i="14"/>
  <c r="E89" i="14"/>
  <c r="E95" i="14"/>
  <c r="E99" i="14"/>
  <c r="E87" i="14"/>
  <c r="E83" i="14"/>
  <c r="E77" i="14"/>
  <c r="E90" i="14"/>
  <c r="E85" i="14"/>
  <c r="E79" i="14"/>
  <c r="E93" i="14"/>
  <c r="E72" i="14"/>
  <c r="D121" i="14"/>
  <c r="F120" i="14" l="1"/>
  <c r="S121" i="14"/>
  <c r="U121" i="14"/>
  <c r="Q119" i="14"/>
  <c r="Q118" i="14"/>
  <c r="F119" i="14"/>
  <c r="N119" i="14"/>
  <c r="J120" i="14"/>
  <c r="M121" i="14"/>
  <c r="J119" i="14"/>
  <c r="T121" i="14"/>
  <c r="Q120" i="14"/>
  <c r="N118" i="14"/>
  <c r="N120" i="14"/>
  <c r="I121" i="14"/>
  <c r="J118" i="14"/>
  <c r="F118" i="14"/>
  <c r="P121" i="14"/>
  <c r="E119" i="14"/>
  <c r="E118" i="14"/>
  <c r="E120" i="14"/>
  <c r="Q121" i="14" l="1"/>
  <c r="F121" i="14"/>
  <c r="N121" i="14"/>
  <c r="J121" i="14"/>
  <c r="E121" i="14"/>
</calcChain>
</file>

<file path=xl/sharedStrings.xml><?xml version="1.0" encoding="utf-8"?>
<sst xmlns="http://schemas.openxmlformats.org/spreadsheetml/2006/main" count="438" uniqueCount="198">
  <si>
    <t>Relative quantification of total fatty acids profil</t>
  </si>
  <si>
    <t>Matrix:</t>
  </si>
  <si>
    <t>Normalize:</t>
  </si>
  <si>
    <t>SAFA</t>
  </si>
  <si>
    <t>L_C8_0</t>
  </si>
  <si>
    <t>L_C10_0</t>
  </si>
  <si>
    <t>L_C11_0</t>
  </si>
  <si>
    <t>L_C12_0</t>
  </si>
  <si>
    <t>L_C13_0</t>
  </si>
  <si>
    <t>L_C14_0</t>
  </si>
  <si>
    <t>L_C15_0</t>
  </si>
  <si>
    <t>L_C16_0</t>
  </si>
  <si>
    <t>L_C17_0</t>
  </si>
  <si>
    <t>L_C18_0</t>
  </si>
  <si>
    <t>L_C20_0</t>
  </si>
  <si>
    <t>L_C21_0</t>
  </si>
  <si>
    <t>L_C22_0</t>
  </si>
  <si>
    <t>L_C23_0</t>
  </si>
  <si>
    <t>L_C24_0</t>
  </si>
  <si>
    <t>MAFA</t>
  </si>
  <si>
    <t>L_C14_1w7</t>
  </si>
  <si>
    <t>L_C15_1w7</t>
  </si>
  <si>
    <t>L_C16_1w9</t>
  </si>
  <si>
    <t>L_C16_1w7</t>
  </si>
  <si>
    <t>L_C17_1</t>
  </si>
  <si>
    <t>L_C18_1w9c</t>
  </si>
  <si>
    <t>L_C18_1w9t</t>
  </si>
  <si>
    <t>L_C18_1w7c</t>
  </si>
  <si>
    <t>L_C20_1w9</t>
  </si>
  <si>
    <t>L_C22_1w9</t>
  </si>
  <si>
    <t>L_C24_1</t>
  </si>
  <si>
    <t>PUFA</t>
  </si>
  <si>
    <t>L_C16_2w6</t>
  </si>
  <si>
    <t>L_C16_2w4</t>
  </si>
  <si>
    <t>L_C16_3</t>
  </si>
  <si>
    <t>L_C16_4w3</t>
  </si>
  <si>
    <t>L_C18_2w6c</t>
  </si>
  <si>
    <t>L_C18_2w6t</t>
  </si>
  <si>
    <t>L_C18_3w6</t>
  </si>
  <si>
    <t>L_C18_3w3</t>
  </si>
  <si>
    <t>L_C18_4w3</t>
  </si>
  <si>
    <t>L_C20_2w6</t>
  </si>
  <si>
    <t>L_C20_3w3</t>
  </si>
  <si>
    <t>L_C20_3w6</t>
  </si>
  <si>
    <t>L_C20_4w6</t>
  </si>
  <si>
    <t>L_C20_5w3</t>
  </si>
  <si>
    <t>L_C22_2w6</t>
  </si>
  <si>
    <t>L_C22_3w3</t>
  </si>
  <si>
    <t>L_C22_4w6</t>
  </si>
  <si>
    <t>L_C22_5w3</t>
  </si>
  <si>
    <t>L_C22_6w3</t>
  </si>
  <si>
    <t>Saturated (SAFA)</t>
  </si>
  <si>
    <t>Mono-insaturated (MUFA)</t>
  </si>
  <si>
    <t>Poly-insaturated (PUFA)</t>
  </si>
  <si>
    <t>Total</t>
  </si>
  <si>
    <t>MUFA/PUFA</t>
  </si>
  <si>
    <t>MUFA/SAFA</t>
  </si>
  <si>
    <t>PUFA/SAFA</t>
  </si>
  <si>
    <t>(MAFA+PUFA)/SAFA</t>
  </si>
  <si>
    <t>%</t>
  </si>
  <si>
    <t>Saturated</t>
  </si>
  <si>
    <t>Mono-insaturated</t>
  </si>
  <si>
    <t>Poly-insaturated</t>
  </si>
  <si>
    <t>Total (check)</t>
  </si>
  <si>
    <t>Sample name (list)</t>
  </si>
  <si>
    <t>Sample name (analysis)</t>
  </si>
  <si>
    <t>L_C19_0</t>
  </si>
  <si>
    <t>Tissue weight / Cells number</t>
  </si>
  <si>
    <t>million</t>
  </si>
  <si>
    <t>Protein weight</t>
  </si>
  <si>
    <t>µg</t>
  </si>
  <si>
    <t>Fluid volume</t>
  </si>
  <si>
    <t>µl</t>
  </si>
  <si>
    <t>CHEBI</t>
  </si>
  <si>
    <t>InChiKEY</t>
  </si>
  <si>
    <t>InChi</t>
  </si>
  <si>
    <t>WWZKQHOCKIZLMA-UHFFFAOYSA-N</t>
  </si>
  <si>
    <t>InChI=1S/C8H16O2/c1-2-3-4-5-6-7-8(9)10/h2-7H2,1H3,(H,9,10)</t>
  </si>
  <si>
    <t>GHVNFZFCNZKVNT-UHFFFAOYSA-N</t>
  </si>
  <si>
    <t>InChI=1S/C10H20O2/c1-2-3-4-5-6-7-8-9-10(11)12/h2-9H2,1H3,(H,11,12)</t>
  </si>
  <si>
    <t>ZDPHROOEEOARMN-UHFFFAOYSA-N</t>
  </si>
  <si>
    <t>InChI=1S/C11H22O2/c1-2-3-4-5-6-7-8-9-10-11(12)13/h2-10H2,1H3,(H,12,13)</t>
  </si>
  <si>
    <t>POULHZVOKOAJMA-UHFFFAOYSA-N</t>
  </si>
  <si>
    <t>InChI=1S/C12H24O2/c1-2-3-4-5-6-7-8-9-10-11-12(13)14/h2-11H2,1H3,(H,13,14)</t>
  </si>
  <si>
    <t>SZHOJFHSIKHZHA-UHFFFAOYSA-N</t>
  </si>
  <si>
    <t>InChI=1S/C13H26O2/c1-2-3-4-5-6-7-8-9-10-11-12-13(14)15/h2-12H2,1H3,(H,14,15)</t>
  </si>
  <si>
    <t>TUNFSRHWOTWDNC-UHFFFAOYSA-N</t>
  </si>
  <si>
    <t>InChI=1S/C14H28O2/c1-2-3-4-5-6-7-8-9-10-11-12-13-14(15)16/h2-13H2,1H3,(H,15,16)</t>
  </si>
  <si>
    <t>WQEPLUUGTLDZJY-UHFFFAOYSA-N</t>
  </si>
  <si>
    <t>InChI=1S/C15H30O2/c1-2-3-4-5-6-7-8-9-10-11-12-13-14-15(16)17/h2-14H2,1H3,(H,16,17)</t>
  </si>
  <si>
    <t>IPCSVZSSVZVIGE-UHFFFAOYSA-N</t>
  </si>
  <si>
    <t>InChI=1S/C16H32O2/c1-2-3-4-5-6-7-8-9-10-11-12-13-14-15-16(17)18/h2-15H2,1H3,(H,17,18)</t>
  </si>
  <si>
    <t>KEMQGTRYUADPNZ-UHFFFAOYSA-N</t>
  </si>
  <si>
    <t>InChI=1S/C17H34O2/c1-2-3-4-5-6-7-8-9-10-11-12-13-14-15-16-17(18)19/h2-16H2,1H3,(H,18,19)</t>
  </si>
  <si>
    <t>QIQXTHQIDYTFRH-UHFFFAOYSA-N</t>
  </si>
  <si>
    <t>InChI=1S/C18H36O2/c1-2-3-4-5-6-7-8-9-10-11-12-13-14-15-16-17-18(19)20/h2-17H2,1H3,(H,19,20)</t>
  </si>
  <si>
    <t>ISYWECDDZWTKFF-UHFFFAOYSA-N</t>
  </si>
  <si>
    <t>InChI=1S/C19H38O2/c1-2-3-4-5-6-7-8-9-10-11-12-13-14-15-16-17-18-19(20)21/h2-18H2,1H3,(H,20,21)</t>
  </si>
  <si>
    <t>VKOBVWXKNCXXDE-UHFFFAOYSA-N</t>
  </si>
  <si>
    <t>InChI=1S/C20H40O2/c1-2-3-4-5-6-7-8-9-10-11-12-13-14-15-16-17-18-19-20(21)22/h2-19H2,1H3,(H,21,22)</t>
  </si>
  <si>
    <t>CKDDRHZIAZRDBW-UHFFFAOYSA-N</t>
  </si>
  <si>
    <t>InChI=1S/C21H42O2/c1-2-3-4-5-6-7-8-9-10-11-12-13-14-15-16-17-18-19-20-21(22)23/h2-20H2,1H3,(H,22,23)</t>
  </si>
  <si>
    <t>UKMSUNONTOPOIO-UHFFFAOYSA-N</t>
  </si>
  <si>
    <t>InChI=1S/C22H44O2/c1-2-3-4-5-6-7-8-9-10-11-12-13-14-15-16-17-18-19-20-21-22(23)24/h2-21H2,1H3,(H,23,24)</t>
  </si>
  <si>
    <t>XEZVDURJDFGERA-UHFFFAOYSA-N</t>
  </si>
  <si>
    <t>InChI=1S/C23H46O2/c1-2-3-4-5-6-7-8-9-10-11-12-13-14-15-16-17-18-19-20-21-22-23(24)25/h2-22H2,1H3,(H,24,25)</t>
  </si>
  <si>
    <t>QZZGJDVWLFXDLK-UHFFFAOYSA-N</t>
  </si>
  <si>
    <t>InChI=1S/C24H48O2/c1-2-3-4-5-6-7-8-9-10-11-12-13-14-15-16-17-18-19-20-21-22-23-24(25)26/h2-23H2,1H3,(H,25,26)</t>
  </si>
  <si>
    <t>ZVXDGKJSUPWREP-FPLPWBNLSA-N</t>
  </si>
  <si>
    <t>InChI=1S/C14H26O2/c1-2-3-4-5-6-7-8-9-10-11-12-13-14(15)16/h7-8H,2-6,9-13H2,1H3,(H,15,16)/b8-7-</t>
  </si>
  <si>
    <t>IVTCJQZAGWTMBZ-LTKCOYKYSA-N</t>
  </si>
  <si>
    <t>InChI=1S/C16H24O2/c1-2-3-4-5-6-7-8-9-10-11-12-13-14-15-16(17)18/h3-4,6-7,9-10,12-13H,2,5,8,11,14-15H2,1H3,(H,17,18)/b4-3-,7-6-,10-9-,13-12-</t>
  </si>
  <si>
    <t>SECPZKHBENQXJG-FPLPWBNLSA-N</t>
  </si>
  <si>
    <t>InChI=1S/C16H30O2/c1-2-3-4-5-6-7-8-9-10-11-12-13-14-15-16(17)18/h7-8H,2-6,9-15H2,1H3,(H,17,18)/b8-7-</t>
  </si>
  <si>
    <t>EQPPMHVWECSIRJ-UHFFFAOYSA-N</t>
  </si>
  <si>
    <t>InChI=1S/C18H34O2/c1-2-3-4-5-6-7-8-9-10-11-12-13-14-15-16-17-18(19)20/h9-10H,2-8,11-17H2,1H3,(H,19,20)</t>
  </si>
  <si>
    <t>EQPPMHVWECSIRJ-MDEDMXLPSA-N</t>
  </si>
  <si>
    <t>InChI=1S/C18H34O2/c1-2-3-4-5-6-7-8-9-10-11-12-13-14-15-16-17-18(19)20/h9-10H,2-8,11-17H2,1H3,(H,19,20)/b10-9+</t>
  </si>
  <si>
    <t>UWHZIFQPPBDJPM-BQYQJAHWSA-N</t>
  </si>
  <si>
    <t>InChI=1S/C18H34O2/c1-2-3-4-5-6-7-8-9-10-11-12-13-14-15-16-17-18(19)20/h7-8H,2-6,9-17H2,1H3,(H,19,20)/b8-7+</t>
  </si>
  <si>
    <t>BITHHVVYSMSWAG-KTKRTIGZSA-N</t>
  </si>
  <si>
    <t>InChI=1S/C20H38O2/c1-2-3-4-5-6-7-8-9-10-11-12-13-14-15-16-17-18-19-20(21)22/h9-10H,2-8,11-19H2,1H3,(H,21,22)/b10-9-</t>
  </si>
  <si>
    <t>DPUOLQHDNGRHBS-KTKRTIGESA-N</t>
  </si>
  <si>
    <t>InChI=1S/C22H42O2/c1-2-3-4-5-6-7-8-9-10-11-12-13-14-15-16-17-18-19-20-21-22(23)24/h9-10H,2-8,11-21H2,1H3,(H,23,24)/b10-9-</t>
  </si>
  <si>
    <t>SBEXLJDCZSJDLW-YSTUJMKBSA-N</t>
  </si>
  <si>
    <t>InChI=1S/C16H26O2/c1-2-3-4-5-6-7-8-9-10-11-12-13-14-15-16(17)18/h4-5,7-8,10-11H,2-3,6,9,12-15H2,1H3,(H,17,18)/b5-4-,8-7-,11-10-</t>
  </si>
  <si>
    <t>OYHQOLUKZRVURQ-HZJYTTRNSA-N</t>
  </si>
  <si>
    <t>InChI=1S/C18H32O2/c1-2-3-4-5-6-7-8-9-10-11-12-13-14-15-16-17-18(19)20/h6-7,9-10H,2-5,8,11-17H2,1H3,(H,19,20)/b7-6-,10-9-</t>
  </si>
  <si>
    <t>GKJZMAHZJGSBKD-NMMTYZSQSA-N</t>
  </si>
  <si>
    <t>InChI=1S/C18H32O2/c1-2-3-4-5-6-7-8-9-10-11-12-13-14-15-16-17-18(19)20/h6-9H,2-5,10-17H2,1H3,(H,19,20)/b7-6-,9-8+</t>
  </si>
  <si>
    <t>VZCCETWTMQHEPK-QNEBEIHSSA-N</t>
  </si>
  <si>
    <t>InChI=1S/C18H30O2/c1-2-3-4-5-6-7-8-9-10-11-12-13-14-15-16-17-18(19)20/h6-7,9-10,12-13H,2-5,8,11,14-17H2,1H3,(H,19,20)/b7-6-,10-9-,13-12-</t>
  </si>
  <si>
    <t>DTOSIQBPPRVQHS-PDBXOOCHSA-N</t>
  </si>
  <si>
    <t>InChI=1S/C18H30O2/c1-2-3-4-5-6-7-8-9-10-11-12-13-14-15-16-17-18(19)20/h3-4,6-7,9-10H,2,5,8,11-17H2,1H3,(H,19,20)/b4-3-,7-6-,10-9-</t>
  </si>
  <si>
    <t>JIWBIWFOSCKQMA-LTKCOYKYSA-N</t>
  </si>
  <si>
    <t>InChI=1S/C18H28O2/c1-2-3-4-5-6-7-8-9-10-11-12-13-14-15-16-17-18(19)20/h3-4,6-7,9-10,12-13H,2,5,8,11,14-17H2,1H3,(H,19,20)/b4-3-,7-6-,10-9-,13-12-</t>
  </si>
  <si>
    <t>XSXIVVECUAHUJO-AVQMFFATSA-N</t>
  </si>
  <si>
    <t>InChI=1S/C20H36O2/c1-2-3-4-5-6-7-8-9-10-11-12-13-14-15-16-17-18-19-20(21)22/h6-7,9-10H,2-5,8,11-19H2,1H3,(H,21,22)/b7-6+,10-9+</t>
  </si>
  <si>
    <t>AHANXAKGNAKFSK-IUQGRGSQSA-N</t>
  </si>
  <si>
    <t>InChI=1S/C20H34O2/c1-2-3-4-5-6-7-8-9-10-11-12-13-14-15-16-17-18-19-20(21)22/h3-4,6-7,9-10H,2,5,8,11-19H2,1H3,(H,21,22)/b4-3+,7-6+,10-9+</t>
  </si>
  <si>
    <t>YZXBAPSDXZZRGB-DOFZRALJSA-N</t>
  </si>
  <si>
    <t>InChI=1S/C20H32O2/c1-2-3-4-5-6-7-8-9-10-11-12-13-14-15-16-17-18-19-20(21)22/h6-7,9-10,12-13,15-16H,2-5,8,11,14,17-19H2,1H3,(H,21,22)/b7-6-,10-9-,13-12-,16-15-</t>
  </si>
  <si>
    <t>JAZBEHYOTPTENJ-JLNKQSITSA-N</t>
  </si>
  <si>
    <t>InChI=1S/C20H30O2/c1-2-3-4-5-6-7-8-9-10-11-12-13-14-15-16-17-18-19-20(21)22/h3-4,6-7,9-10,12-13,15-16H,2,5,8,11,14,17-19H2,1H3,(H,21,22)/b4-3-,7-6-,10-9-,13-12-,16-15-</t>
  </si>
  <si>
    <t>HVGREDASOHMCSK-HEJYTTRNSA-N</t>
  </si>
  <si>
    <t>InChI=1S/C22H40O2/c1-2-3-4-5-6-7-8-9-10-11-12-13-14-15-16-17-18-19-20-21-22(23)24/h6-7,9-10H,2-5,8,11-21H2,1H3,(H,23,24)/b7-6-,10-9-</t>
  </si>
  <si>
    <t>WBBQTNCISCKUMU-PDBXOOCHSA-N</t>
  </si>
  <si>
    <t>InChI=1S/C22H38O2/c1-2-3-4-5-6-7-8-9-10-11-12-13-14-15-16-17-18-19-20-21-22(23)24/h3-4,6-7,9-10H,2,5,8,11-21H2,1H3,(H,23,24)/b4-3-,7-6-,10-9-</t>
  </si>
  <si>
    <t>TWSWSIQAPQLDBP-DOFZRALJSA-N</t>
  </si>
  <si>
    <t>InChI=1S/C22H36O2/c1-2-3-4-5-6-7-8-9-10-11-12-13-14-15-16-17-18-19-20-21-22(23)24/h6-7,9-10,12-13,15-16H,2-5,8,11,14,17-21H2,1H3,(H,23,24)/b7-6-,10-9-,13-12-,16-15-</t>
  </si>
  <si>
    <t>YUFFSWGQGVEMMI-JLNKQSITSA-N</t>
  </si>
  <si>
    <t>InChI=1S/C22H34O2/c1-2-3-4-5-6-7-8-9-10-11-12-13-14-15-16-17-18-19-20-21-22(23)24/h3-4,6-7,9-10,12-13,15-16H,2,5,8,11,14,17-21H2,1H3,(H,23,24)/p-1/b4-3-,7-6-,10-9-,13-12-,16-15-</t>
  </si>
  <si>
    <t>MBMBGCFOFBJSGT-KUBAVDMBSA-N</t>
  </si>
  <si>
    <t>InChI=1S/C22H32O2/c1-2-3-4-5-6-7-8-9-10-11-12-13-14-15-16-17-18-19-20-21-22(23)24/h3-4,6-7,9-10,12-13,15-16,18-19H,2,5,8,11,14,17,20-21H2,1H3,(H,23,24)/b4-3-,7-6-,10-9-,13-12-,16-15-,19-18-</t>
  </si>
  <si>
    <t>250528DMI_AGT_ 1</t>
  </si>
  <si>
    <t>250528DMI_AGT_ 2</t>
  </si>
  <si>
    <t>250528DMI_AGT_ 3</t>
  </si>
  <si>
    <t>250528DMI_AGT_ 4</t>
  </si>
  <si>
    <t>250528DMI_AGT_ 5</t>
  </si>
  <si>
    <t>250528DMI_AGT_ 6</t>
  </si>
  <si>
    <t>250528DMI_AGT_ 7</t>
  </si>
  <si>
    <t>250528DMI_AGT_ 8</t>
  </si>
  <si>
    <t>250528DMI_AGT_ 9</t>
  </si>
  <si>
    <t>250528DMI_AGT_ 10</t>
  </si>
  <si>
    <t>250528DMI_AGT_ 11</t>
  </si>
  <si>
    <t>250528DMI_AGT_ 12</t>
  </si>
  <si>
    <t>250528DMI_AGT_ 13</t>
  </si>
  <si>
    <t>250528DMI_AGT_ 14</t>
  </si>
  <si>
    <t>250528DMI_AGT_ 15</t>
  </si>
  <si>
    <t>250528DMI_AGT_ 16</t>
  </si>
  <si>
    <t>250528DMI_AGT_ 17</t>
  </si>
  <si>
    <t>250528DMI_AGT_ 18</t>
  </si>
  <si>
    <t>250528DMI_AGT_ 19</t>
  </si>
  <si>
    <t>250528DMI_AGT_ 20</t>
  </si>
  <si>
    <t>-</t>
  </si>
  <si>
    <t>JV-015-RAN-IC-M2</t>
  </si>
  <si>
    <t>BS-007-RAN-01-M3</t>
  </si>
  <si>
    <t>BS-007-RAN-02-M3</t>
  </si>
  <si>
    <t>KT-004-SOC-16-M1</t>
  </si>
  <si>
    <t>BS-135-RAN-IC-M3</t>
  </si>
  <si>
    <t>JV-070-DAV-07-M3</t>
  </si>
  <si>
    <t>BS-129-RAT-10-M5</t>
  </si>
  <si>
    <t>JV-036-SOC-10-M2</t>
  </si>
  <si>
    <t>BS-126-RAT-05-M2</t>
  </si>
  <si>
    <t>JV-017-RAN-10-M3</t>
  </si>
  <si>
    <t>JV-070-DAV-04-M1</t>
  </si>
  <si>
    <t>BS-356-RAN-03-M4</t>
  </si>
  <si>
    <t>JV-090-MIN-IC-M4</t>
  </si>
  <si>
    <t>BS-391-RAN-06-M2</t>
  </si>
  <si>
    <t>JV-061-MIN-03-M5</t>
  </si>
  <si>
    <t>JV-070-MIN-01-M1</t>
  </si>
  <si>
    <t>KT-004-SOC-14-M1</t>
  </si>
  <si>
    <t>JV-089-SOC-04-M1</t>
  </si>
  <si>
    <t>BS-472-RAT-01-M1</t>
  </si>
  <si>
    <t>BS-172-RAT-10-M3</t>
  </si>
  <si>
    <t>Fluid</t>
  </si>
  <si>
    <t>Volume</t>
  </si>
  <si>
    <t>moyenne _C17_0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</si>
</sst>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color rgb="FF000000"/>
      <name val="Microsoft Sans Serif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</font>
    <font>
      <sz val="11"/>
      <color indexed="64"/>
      <name val="Calibri"/>
      <family val="2"/>
      <scheme val="minor"/>
    </font>
    <font>
      <sz val="11"/>
      <name val="Calibri"/>
      <family val="2"/>
      <charset val="1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9" fontId="1" fillId="0" borderId="0" applyBorder="0" applyProtection="0"/>
    <xf numFmtId="0" fontId="10" fillId="0" borderId="0"/>
    <xf numFmtId="9" fontId="17" fillId="0" borderId="0" applyFont="0" applyFill="0" applyBorder="0" applyAlignment="0" applyProtection="0"/>
  </cellStyleXfs>
  <cellXfs count="67">
    <xf numFmtId="0" fontId="0" fillId="0" borderId="0" xfId="0"/>
    <xf numFmtId="0" fontId="2" fillId="0" borderId="6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5" fillId="0" borderId="5" xfId="1" applyNumberFormat="1" applyFont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4" fontId="2" fillId="5" borderId="4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0" fontId="13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9" borderId="0" xfId="0" applyFill="1"/>
    <xf numFmtId="0" fontId="13" fillId="9" borderId="0" xfId="0" applyFont="1" applyFill="1"/>
    <xf numFmtId="0" fontId="14" fillId="9" borderId="0" xfId="0" applyFont="1" applyFill="1"/>
    <xf numFmtId="0" fontId="15" fillId="9" borderId="0" xfId="0" applyFont="1" applyFill="1"/>
    <xf numFmtId="0" fontId="8" fillId="10" borderId="0" xfId="0" applyFont="1" applyFill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15" fillId="4" borderId="0" xfId="0" applyFont="1" applyFill="1"/>
    <xf numFmtId="0" fontId="2" fillId="0" borderId="8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" fontId="5" fillId="0" borderId="6" xfId="1" applyNumberFormat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164" fontId="0" fillId="0" borderId="0" xfId="0" applyNumberFormat="1" applyFill="1" applyAlignment="1">
      <alignment horizontal="center" vertical="center"/>
    </xf>
    <xf numFmtId="0" fontId="11" fillId="0" borderId="13" xfId="0" applyFont="1" applyFill="1" applyBorder="1" applyAlignment="1">
      <alignment vertical="center"/>
    </xf>
    <xf numFmtId="0" fontId="11" fillId="0" borderId="14" xfId="0" applyFont="1" applyFill="1" applyBorder="1" applyAlignment="1">
      <alignment vertical="center"/>
    </xf>
    <xf numFmtId="9" fontId="5" fillId="0" borderId="5" xfId="4" applyFont="1" applyBorder="1" applyAlignment="1">
      <alignment horizontal="center" vertical="center"/>
    </xf>
    <xf numFmtId="9" fontId="2" fillId="5" borderId="4" xfId="4" applyFont="1" applyFill="1" applyBorder="1" applyAlignment="1">
      <alignment horizontal="center" vertical="center"/>
    </xf>
    <xf numFmtId="9" fontId="5" fillId="0" borderId="6" xfId="4" applyFont="1" applyBorder="1" applyAlignment="1">
      <alignment horizontal="center" vertical="center"/>
    </xf>
    <xf numFmtId="9" fontId="5" fillId="0" borderId="11" xfId="4" applyFont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5">
    <cellStyle name="Normal" xfId="0" builtinId="0"/>
    <cellStyle name="Normal 2" xfId="1"/>
    <cellStyle name="Normal 3" xfId="3"/>
    <cellStyle name="Pourcentage" xfId="4" builtinId="5"/>
    <cellStyle name="Pourcentage 2" xfId="2"/>
  </cellStyles>
  <dxfs count="0"/>
  <tableStyles count="0" defaultTableStyle="TableStyleMedium2" defaultPivotStyle="PivotStyleLight16"/>
  <colors>
    <mruColors>
      <color rgb="FFFFC1C1"/>
      <color rgb="FFFEBABA"/>
      <color rgb="FFFF8F8F"/>
      <color rgb="FF1548A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aire brute standard L_C17_0</a:t>
            </a:r>
            <a:endParaRPr lang="fr-F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Results!$B$125:$U$125</c:f>
              <c:strCache>
                <c:ptCount val="20"/>
                <c:pt idx="0">
                  <c:v>JV-015-RAN-IC-M2</c:v>
                </c:pt>
                <c:pt idx="1">
                  <c:v>BS-007-RAN-01-M3</c:v>
                </c:pt>
                <c:pt idx="2">
                  <c:v>BS-007-RAN-02-M3</c:v>
                </c:pt>
                <c:pt idx="3">
                  <c:v>KT-004-SOC-16-M1</c:v>
                </c:pt>
                <c:pt idx="4">
                  <c:v>BS-135-RAN-IC-M3</c:v>
                </c:pt>
                <c:pt idx="5">
                  <c:v>JV-070-DAV-07-M3</c:v>
                </c:pt>
                <c:pt idx="6">
                  <c:v>BS-129-RAT-10-M5</c:v>
                </c:pt>
                <c:pt idx="7">
                  <c:v>JV-036-SOC-10-M2</c:v>
                </c:pt>
                <c:pt idx="8">
                  <c:v>BS-126-RAT-05-M2</c:v>
                </c:pt>
                <c:pt idx="9">
                  <c:v>JV-017-RAN-10-M3</c:v>
                </c:pt>
                <c:pt idx="10">
                  <c:v>JV-070-DAV-04-M1</c:v>
                </c:pt>
                <c:pt idx="11">
                  <c:v>BS-356-RAN-03-M4</c:v>
                </c:pt>
                <c:pt idx="12">
                  <c:v>JV-090-MIN-IC-M4</c:v>
                </c:pt>
                <c:pt idx="13">
                  <c:v>BS-391-RAN-06-M2</c:v>
                </c:pt>
                <c:pt idx="14">
                  <c:v>JV-061-MIN-03-M5</c:v>
                </c:pt>
                <c:pt idx="15">
                  <c:v>JV-070-MIN-01-M1</c:v>
                </c:pt>
                <c:pt idx="16">
                  <c:v>KT-004-SOC-14-M1</c:v>
                </c:pt>
                <c:pt idx="17">
                  <c:v>JV-089-SOC-04-M1</c:v>
                </c:pt>
                <c:pt idx="18">
                  <c:v>BS-472-RAT-01-M1</c:v>
                </c:pt>
                <c:pt idx="19">
                  <c:v>BS-172-RAT-10-M3</c:v>
                </c:pt>
              </c:strCache>
            </c:strRef>
          </c:cat>
          <c:val>
            <c:numRef>
              <c:f>Results!$B$126:$U$126</c:f>
              <c:numCache>
                <c:formatCode>General</c:formatCode>
                <c:ptCount val="20"/>
                <c:pt idx="0">
                  <c:v>0.17550440333333306</c:v>
                </c:pt>
                <c:pt idx="1">
                  <c:v>0.19152890916666765</c:v>
                </c:pt>
                <c:pt idx="2">
                  <c:v>0.17026601416666898</c:v>
                </c:pt>
                <c:pt idx="3">
                  <c:v>0.14258109347773074</c:v>
                </c:pt>
                <c:pt idx="4">
                  <c:v>0.19375300499999959</c:v>
                </c:pt>
                <c:pt idx="5">
                  <c:v>0.29781269750000039</c:v>
                </c:pt>
                <c:pt idx="6">
                  <c:v>0.26662024166666853</c:v>
                </c:pt>
                <c:pt idx="7">
                  <c:v>0.19931433666666587</c:v>
                </c:pt>
                <c:pt idx="8">
                  <c:v>0.25353875166666606</c:v>
                </c:pt>
                <c:pt idx="9">
                  <c:v>0.218580316666666</c:v>
                </c:pt>
                <c:pt idx="10">
                  <c:v>0.18749275677061306</c:v>
                </c:pt>
                <c:pt idx="11">
                  <c:v>0.24308561749999891</c:v>
                </c:pt>
                <c:pt idx="12">
                  <c:v>0.18965130166666544</c:v>
                </c:pt>
                <c:pt idx="13">
                  <c:v>0.10512871250000044</c:v>
                </c:pt>
                <c:pt idx="14">
                  <c:v>0.26024184666666672</c:v>
                </c:pt>
                <c:pt idx="15">
                  <c:v>0.25003897666666663</c:v>
                </c:pt>
                <c:pt idx="16">
                  <c:v>0.25586134916666836</c:v>
                </c:pt>
                <c:pt idx="17">
                  <c:v>0.21407768499999902</c:v>
                </c:pt>
                <c:pt idx="18">
                  <c:v>0.18282958333333577</c:v>
                </c:pt>
                <c:pt idx="19">
                  <c:v>0.23358931000000105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6-40A5-8F4B-DDF3BD3C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622975"/>
        <c:axId val="540632959"/>
      </c:barChart>
      <c:catAx>
        <c:axId val="54062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32959"/>
        <c:crosses val="autoZero"/>
        <c:auto val="1"/>
        <c:lblAlgn val="ctr"/>
        <c:lblOffset val="100"/>
        <c:noMultiLvlLbl val="0"/>
      </c:catAx>
      <c:valAx>
        <c:axId val="540632959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2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1462766</xdr:colOff>
      <xdr:row>130</xdr:row>
      <xdr:rowOff>138791</xdr:rowOff>
    </xdr:from>
    <xdr:to>
      <xdr:col>6</xdr:col>
      <xdr:colOff>27214</xdr:colOff>
      <xdr:row>154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5377EC5-FC9B-4543-A191-058B6DB23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3</xdr:col>
      <xdr:colOff>9525</xdr:colOff>
      <xdr:row>15</xdr:row>
      <xdr:rowOff>9525</xdr:rowOff>
    </xdr:to>
    <xdr:pic>
      <xdr:nvPicPr>
        <xdr:cNvPr id="2" name="Image 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15</xdr:row>
      <xdr:rowOff>0</xdr:rowOff>
    </xdr:from>
    <xdr:to>
      <xdr:col>3</xdr:col>
      <xdr:colOff>28575</xdr:colOff>
      <xdr:row>15</xdr:row>
      <xdr:rowOff>9525</xdr:rowOff>
    </xdr:to>
    <xdr:pic>
      <xdr:nvPicPr>
        <xdr:cNvPr id="3" name="Image 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15</xdr:row>
      <xdr:rowOff>0</xdr:rowOff>
    </xdr:from>
    <xdr:to>
      <xdr:col>3</xdr:col>
      <xdr:colOff>47625</xdr:colOff>
      <xdr:row>15</xdr:row>
      <xdr:rowOff>9525</xdr:rowOff>
    </xdr:to>
    <xdr:pic>
      <xdr:nvPicPr>
        <xdr:cNvPr id="4" name="Image 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15</xdr:row>
      <xdr:rowOff>0</xdr:rowOff>
    </xdr:from>
    <xdr:to>
      <xdr:col>3</xdr:col>
      <xdr:colOff>66675</xdr:colOff>
      <xdr:row>15</xdr:row>
      <xdr:rowOff>9525</xdr:rowOff>
    </xdr:to>
    <xdr:pic>
      <xdr:nvPicPr>
        <xdr:cNvPr id="5" name="Image 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15</xdr:row>
      <xdr:rowOff>0</xdr:rowOff>
    </xdr:from>
    <xdr:to>
      <xdr:col>3</xdr:col>
      <xdr:colOff>85725</xdr:colOff>
      <xdr:row>15</xdr:row>
      <xdr:rowOff>9525</xdr:rowOff>
    </xdr:to>
    <xdr:pic>
      <xdr:nvPicPr>
        <xdr:cNvPr id="6" name="Image 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15</xdr:row>
      <xdr:rowOff>0</xdr:rowOff>
    </xdr:from>
    <xdr:to>
      <xdr:col>3</xdr:col>
      <xdr:colOff>104775</xdr:colOff>
      <xdr:row>15</xdr:row>
      <xdr:rowOff>9525</xdr:rowOff>
    </xdr:to>
    <xdr:pic>
      <xdr:nvPicPr>
        <xdr:cNvPr id="7" name="Image 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5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15</xdr:row>
      <xdr:rowOff>0</xdr:rowOff>
    </xdr:from>
    <xdr:to>
      <xdr:col>3</xdr:col>
      <xdr:colOff>123825</xdr:colOff>
      <xdr:row>15</xdr:row>
      <xdr:rowOff>9525</xdr:rowOff>
    </xdr:to>
    <xdr:pic>
      <xdr:nvPicPr>
        <xdr:cNvPr id="8" name="Image 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15</xdr:row>
      <xdr:rowOff>0</xdr:rowOff>
    </xdr:from>
    <xdr:to>
      <xdr:col>3</xdr:col>
      <xdr:colOff>142875</xdr:colOff>
      <xdr:row>15</xdr:row>
      <xdr:rowOff>9525</xdr:rowOff>
    </xdr:to>
    <xdr:pic>
      <xdr:nvPicPr>
        <xdr:cNvPr id="9" name="Image 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3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15</xdr:row>
      <xdr:rowOff>0</xdr:rowOff>
    </xdr:from>
    <xdr:to>
      <xdr:col>3</xdr:col>
      <xdr:colOff>161925</xdr:colOff>
      <xdr:row>15</xdr:row>
      <xdr:rowOff>9525</xdr:rowOff>
    </xdr:to>
    <xdr:pic>
      <xdr:nvPicPr>
        <xdr:cNvPr id="10" name="Image 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15</xdr:row>
      <xdr:rowOff>0</xdr:rowOff>
    </xdr:from>
    <xdr:to>
      <xdr:col>3</xdr:col>
      <xdr:colOff>180975</xdr:colOff>
      <xdr:row>15</xdr:row>
      <xdr:rowOff>9525</xdr:rowOff>
    </xdr:to>
    <xdr:pic>
      <xdr:nvPicPr>
        <xdr:cNvPr id="11" name="Image 1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2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15</xdr:row>
      <xdr:rowOff>0</xdr:rowOff>
    </xdr:from>
    <xdr:to>
      <xdr:col>3</xdr:col>
      <xdr:colOff>200025</xdr:colOff>
      <xdr:row>15</xdr:row>
      <xdr:rowOff>9525</xdr:rowOff>
    </xdr:to>
    <xdr:pic>
      <xdr:nvPicPr>
        <xdr:cNvPr id="12" name="Image 1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11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15</xdr:row>
      <xdr:rowOff>0</xdr:rowOff>
    </xdr:from>
    <xdr:to>
      <xdr:col>3</xdr:col>
      <xdr:colOff>219075</xdr:colOff>
      <xdr:row>15</xdr:row>
      <xdr:rowOff>9525</xdr:rowOff>
    </xdr:to>
    <xdr:pic>
      <xdr:nvPicPr>
        <xdr:cNvPr id="13" name="Image 1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01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15</xdr:row>
      <xdr:rowOff>0</xdr:rowOff>
    </xdr:from>
    <xdr:to>
      <xdr:col>3</xdr:col>
      <xdr:colOff>238125</xdr:colOff>
      <xdr:row>15</xdr:row>
      <xdr:rowOff>9525</xdr:rowOff>
    </xdr:to>
    <xdr:pic>
      <xdr:nvPicPr>
        <xdr:cNvPr id="14" name="Image 1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15</xdr:row>
      <xdr:rowOff>0</xdr:rowOff>
    </xdr:from>
    <xdr:to>
      <xdr:col>3</xdr:col>
      <xdr:colOff>257175</xdr:colOff>
      <xdr:row>15</xdr:row>
      <xdr:rowOff>9525</xdr:rowOff>
    </xdr:to>
    <xdr:pic>
      <xdr:nvPicPr>
        <xdr:cNvPr id="15" name="Image 1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15</xdr:row>
      <xdr:rowOff>0</xdr:rowOff>
    </xdr:from>
    <xdr:to>
      <xdr:col>3</xdr:col>
      <xdr:colOff>276225</xdr:colOff>
      <xdr:row>15</xdr:row>
      <xdr:rowOff>9525</xdr:rowOff>
    </xdr:to>
    <xdr:pic>
      <xdr:nvPicPr>
        <xdr:cNvPr id="16" name="Image 1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15</xdr:row>
      <xdr:rowOff>0</xdr:rowOff>
    </xdr:from>
    <xdr:to>
      <xdr:col>3</xdr:col>
      <xdr:colOff>295275</xdr:colOff>
      <xdr:row>15</xdr:row>
      <xdr:rowOff>9525</xdr:rowOff>
    </xdr:to>
    <xdr:pic>
      <xdr:nvPicPr>
        <xdr:cNvPr id="17" name="Image 1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63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15</xdr:row>
      <xdr:rowOff>0</xdr:rowOff>
    </xdr:from>
    <xdr:to>
      <xdr:col>3</xdr:col>
      <xdr:colOff>314325</xdr:colOff>
      <xdr:row>15</xdr:row>
      <xdr:rowOff>9525</xdr:rowOff>
    </xdr:to>
    <xdr:pic>
      <xdr:nvPicPr>
        <xdr:cNvPr id="18" name="Image 1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15</xdr:row>
      <xdr:rowOff>0</xdr:rowOff>
    </xdr:from>
    <xdr:to>
      <xdr:col>3</xdr:col>
      <xdr:colOff>333375</xdr:colOff>
      <xdr:row>15</xdr:row>
      <xdr:rowOff>9525</xdr:rowOff>
    </xdr:to>
    <xdr:pic>
      <xdr:nvPicPr>
        <xdr:cNvPr id="19" name="Image 1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44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15</xdr:row>
      <xdr:rowOff>0</xdr:rowOff>
    </xdr:from>
    <xdr:to>
      <xdr:col>3</xdr:col>
      <xdr:colOff>352425</xdr:colOff>
      <xdr:row>15</xdr:row>
      <xdr:rowOff>9525</xdr:rowOff>
    </xdr:to>
    <xdr:pic>
      <xdr:nvPicPr>
        <xdr:cNvPr id="20" name="Image 1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15</xdr:row>
      <xdr:rowOff>0</xdr:rowOff>
    </xdr:from>
    <xdr:to>
      <xdr:col>3</xdr:col>
      <xdr:colOff>371475</xdr:colOff>
      <xdr:row>15</xdr:row>
      <xdr:rowOff>9525</xdr:rowOff>
    </xdr:to>
    <xdr:pic>
      <xdr:nvPicPr>
        <xdr:cNvPr id="21" name="Image 2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025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15</xdr:row>
      <xdr:rowOff>0</xdr:rowOff>
    </xdr:from>
    <xdr:to>
      <xdr:col>3</xdr:col>
      <xdr:colOff>390525</xdr:colOff>
      <xdr:row>15</xdr:row>
      <xdr:rowOff>9525</xdr:rowOff>
    </xdr:to>
    <xdr:pic>
      <xdr:nvPicPr>
        <xdr:cNvPr id="22" name="Image 2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15</xdr:row>
      <xdr:rowOff>0</xdr:rowOff>
    </xdr:from>
    <xdr:to>
      <xdr:col>3</xdr:col>
      <xdr:colOff>409575</xdr:colOff>
      <xdr:row>15</xdr:row>
      <xdr:rowOff>9525</xdr:rowOff>
    </xdr:to>
    <xdr:pic>
      <xdr:nvPicPr>
        <xdr:cNvPr id="23" name="Image 2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0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15</xdr:row>
      <xdr:rowOff>0</xdr:rowOff>
    </xdr:from>
    <xdr:to>
      <xdr:col>3</xdr:col>
      <xdr:colOff>428625</xdr:colOff>
      <xdr:row>15</xdr:row>
      <xdr:rowOff>9525</xdr:rowOff>
    </xdr:to>
    <xdr:pic>
      <xdr:nvPicPr>
        <xdr:cNvPr id="24" name="Image 2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59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15</xdr:row>
      <xdr:rowOff>0</xdr:rowOff>
    </xdr:from>
    <xdr:to>
      <xdr:col>3</xdr:col>
      <xdr:colOff>447675</xdr:colOff>
      <xdr:row>15</xdr:row>
      <xdr:rowOff>9525</xdr:rowOff>
    </xdr:to>
    <xdr:pic>
      <xdr:nvPicPr>
        <xdr:cNvPr id="25" name="Image 2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15</xdr:row>
      <xdr:rowOff>0</xdr:rowOff>
    </xdr:from>
    <xdr:to>
      <xdr:col>3</xdr:col>
      <xdr:colOff>466725</xdr:colOff>
      <xdr:row>15</xdr:row>
      <xdr:rowOff>9525</xdr:rowOff>
    </xdr:to>
    <xdr:pic>
      <xdr:nvPicPr>
        <xdr:cNvPr id="26" name="Image 2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7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15</xdr:row>
      <xdr:rowOff>0</xdr:rowOff>
    </xdr:from>
    <xdr:to>
      <xdr:col>3</xdr:col>
      <xdr:colOff>485775</xdr:colOff>
      <xdr:row>15</xdr:row>
      <xdr:rowOff>9525</xdr:rowOff>
    </xdr:to>
    <xdr:pic>
      <xdr:nvPicPr>
        <xdr:cNvPr id="27" name="Image 2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6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15</xdr:row>
      <xdr:rowOff>0</xdr:rowOff>
    </xdr:from>
    <xdr:to>
      <xdr:col>3</xdr:col>
      <xdr:colOff>504825</xdr:colOff>
      <xdr:row>15</xdr:row>
      <xdr:rowOff>9525</xdr:rowOff>
    </xdr:to>
    <xdr:pic>
      <xdr:nvPicPr>
        <xdr:cNvPr id="28" name="Image 2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5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15</xdr:row>
      <xdr:rowOff>0</xdr:rowOff>
    </xdr:from>
    <xdr:to>
      <xdr:col>3</xdr:col>
      <xdr:colOff>523875</xdr:colOff>
      <xdr:row>15</xdr:row>
      <xdr:rowOff>9525</xdr:rowOff>
    </xdr:to>
    <xdr:pic>
      <xdr:nvPicPr>
        <xdr:cNvPr id="29" name="Image 2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4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15</xdr:row>
      <xdr:rowOff>0</xdr:rowOff>
    </xdr:from>
    <xdr:to>
      <xdr:col>3</xdr:col>
      <xdr:colOff>542925</xdr:colOff>
      <xdr:row>15</xdr:row>
      <xdr:rowOff>9525</xdr:rowOff>
    </xdr:to>
    <xdr:pic>
      <xdr:nvPicPr>
        <xdr:cNvPr id="30" name="Image 2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15</xdr:row>
      <xdr:rowOff>0</xdr:rowOff>
    </xdr:from>
    <xdr:to>
      <xdr:col>3</xdr:col>
      <xdr:colOff>561975</xdr:colOff>
      <xdr:row>15</xdr:row>
      <xdr:rowOff>9525</xdr:rowOff>
    </xdr:to>
    <xdr:pic>
      <xdr:nvPicPr>
        <xdr:cNvPr id="31" name="Image 3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9525</xdr:colOff>
      <xdr:row>47</xdr:row>
      <xdr:rowOff>9525</xdr:rowOff>
    </xdr:to>
    <xdr:pic>
      <xdr:nvPicPr>
        <xdr:cNvPr id="32" name="Image 3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47</xdr:row>
      <xdr:rowOff>0</xdr:rowOff>
    </xdr:from>
    <xdr:to>
      <xdr:col>3</xdr:col>
      <xdr:colOff>28575</xdr:colOff>
      <xdr:row>47</xdr:row>
      <xdr:rowOff>9525</xdr:rowOff>
    </xdr:to>
    <xdr:pic>
      <xdr:nvPicPr>
        <xdr:cNvPr id="33" name="Image 3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47</xdr:row>
      <xdr:rowOff>0</xdr:rowOff>
    </xdr:from>
    <xdr:to>
      <xdr:col>3</xdr:col>
      <xdr:colOff>47625</xdr:colOff>
      <xdr:row>47</xdr:row>
      <xdr:rowOff>9525</xdr:rowOff>
    </xdr:to>
    <xdr:pic>
      <xdr:nvPicPr>
        <xdr:cNvPr id="34" name="Image 3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47</xdr:row>
      <xdr:rowOff>0</xdr:rowOff>
    </xdr:from>
    <xdr:to>
      <xdr:col>3</xdr:col>
      <xdr:colOff>66675</xdr:colOff>
      <xdr:row>47</xdr:row>
      <xdr:rowOff>9525</xdr:rowOff>
    </xdr:to>
    <xdr:pic>
      <xdr:nvPicPr>
        <xdr:cNvPr id="35" name="Image 3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47</xdr:row>
      <xdr:rowOff>0</xdr:rowOff>
    </xdr:from>
    <xdr:to>
      <xdr:col>3</xdr:col>
      <xdr:colOff>85725</xdr:colOff>
      <xdr:row>47</xdr:row>
      <xdr:rowOff>9525</xdr:rowOff>
    </xdr:to>
    <xdr:pic>
      <xdr:nvPicPr>
        <xdr:cNvPr id="36" name="Image 3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47</xdr:row>
      <xdr:rowOff>0</xdr:rowOff>
    </xdr:from>
    <xdr:to>
      <xdr:col>3</xdr:col>
      <xdr:colOff>104775</xdr:colOff>
      <xdr:row>47</xdr:row>
      <xdr:rowOff>9525</xdr:rowOff>
    </xdr:to>
    <xdr:pic>
      <xdr:nvPicPr>
        <xdr:cNvPr id="37" name="Image 3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47</xdr:row>
      <xdr:rowOff>0</xdr:rowOff>
    </xdr:from>
    <xdr:to>
      <xdr:col>3</xdr:col>
      <xdr:colOff>123825</xdr:colOff>
      <xdr:row>47</xdr:row>
      <xdr:rowOff>9525</xdr:rowOff>
    </xdr:to>
    <xdr:pic>
      <xdr:nvPicPr>
        <xdr:cNvPr id="38" name="Image 3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47</xdr:row>
      <xdr:rowOff>0</xdr:rowOff>
    </xdr:from>
    <xdr:to>
      <xdr:col>3</xdr:col>
      <xdr:colOff>142875</xdr:colOff>
      <xdr:row>47</xdr:row>
      <xdr:rowOff>9525</xdr:rowOff>
    </xdr:to>
    <xdr:pic>
      <xdr:nvPicPr>
        <xdr:cNvPr id="39" name="Image 3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47</xdr:row>
      <xdr:rowOff>0</xdr:rowOff>
    </xdr:from>
    <xdr:to>
      <xdr:col>3</xdr:col>
      <xdr:colOff>161925</xdr:colOff>
      <xdr:row>47</xdr:row>
      <xdr:rowOff>9525</xdr:rowOff>
    </xdr:to>
    <xdr:pic>
      <xdr:nvPicPr>
        <xdr:cNvPr id="40" name="Image 3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47</xdr:row>
      <xdr:rowOff>0</xdr:rowOff>
    </xdr:from>
    <xdr:to>
      <xdr:col>3</xdr:col>
      <xdr:colOff>180975</xdr:colOff>
      <xdr:row>47</xdr:row>
      <xdr:rowOff>9525</xdr:rowOff>
    </xdr:to>
    <xdr:pic>
      <xdr:nvPicPr>
        <xdr:cNvPr id="41" name="Image 4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20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47</xdr:row>
      <xdr:rowOff>0</xdr:rowOff>
    </xdr:from>
    <xdr:to>
      <xdr:col>3</xdr:col>
      <xdr:colOff>200025</xdr:colOff>
      <xdr:row>47</xdr:row>
      <xdr:rowOff>9525</xdr:rowOff>
    </xdr:to>
    <xdr:pic>
      <xdr:nvPicPr>
        <xdr:cNvPr id="42" name="Image 4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47</xdr:row>
      <xdr:rowOff>0</xdr:rowOff>
    </xdr:from>
    <xdr:to>
      <xdr:col>3</xdr:col>
      <xdr:colOff>219075</xdr:colOff>
      <xdr:row>47</xdr:row>
      <xdr:rowOff>9525</xdr:rowOff>
    </xdr:to>
    <xdr:pic>
      <xdr:nvPicPr>
        <xdr:cNvPr id="43" name="Image 4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47</xdr:row>
      <xdr:rowOff>0</xdr:rowOff>
    </xdr:from>
    <xdr:to>
      <xdr:col>3</xdr:col>
      <xdr:colOff>238125</xdr:colOff>
      <xdr:row>47</xdr:row>
      <xdr:rowOff>9525</xdr:rowOff>
    </xdr:to>
    <xdr:pic>
      <xdr:nvPicPr>
        <xdr:cNvPr id="44" name="Image 4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2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47</xdr:row>
      <xdr:rowOff>0</xdr:rowOff>
    </xdr:from>
    <xdr:to>
      <xdr:col>3</xdr:col>
      <xdr:colOff>257175</xdr:colOff>
      <xdr:row>47</xdr:row>
      <xdr:rowOff>9525</xdr:rowOff>
    </xdr:to>
    <xdr:pic>
      <xdr:nvPicPr>
        <xdr:cNvPr id="45" name="Image 4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47</xdr:row>
      <xdr:rowOff>0</xdr:rowOff>
    </xdr:from>
    <xdr:to>
      <xdr:col>3</xdr:col>
      <xdr:colOff>276225</xdr:colOff>
      <xdr:row>47</xdr:row>
      <xdr:rowOff>9525</xdr:rowOff>
    </xdr:to>
    <xdr:pic>
      <xdr:nvPicPr>
        <xdr:cNvPr id="46" name="Image 4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47</xdr:row>
      <xdr:rowOff>0</xdr:rowOff>
    </xdr:from>
    <xdr:to>
      <xdr:col>3</xdr:col>
      <xdr:colOff>295275</xdr:colOff>
      <xdr:row>47</xdr:row>
      <xdr:rowOff>9525</xdr:rowOff>
    </xdr:to>
    <xdr:pic>
      <xdr:nvPicPr>
        <xdr:cNvPr id="47" name="Image 4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63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47</xdr:row>
      <xdr:rowOff>0</xdr:rowOff>
    </xdr:from>
    <xdr:to>
      <xdr:col>3</xdr:col>
      <xdr:colOff>314325</xdr:colOff>
      <xdr:row>47</xdr:row>
      <xdr:rowOff>9525</xdr:rowOff>
    </xdr:to>
    <xdr:pic>
      <xdr:nvPicPr>
        <xdr:cNvPr id="48" name="Image 4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47</xdr:row>
      <xdr:rowOff>0</xdr:rowOff>
    </xdr:from>
    <xdr:to>
      <xdr:col>3</xdr:col>
      <xdr:colOff>333375</xdr:colOff>
      <xdr:row>47</xdr:row>
      <xdr:rowOff>9525</xdr:rowOff>
    </xdr:to>
    <xdr:pic>
      <xdr:nvPicPr>
        <xdr:cNvPr id="49" name="Image 4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47</xdr:row>
      <xdr:rowOff>0</xdr:rowOff>
    </xdr:from>
    <xdr:to>
      <xdr:col>3</xdr:col>
      <xdr:colOff>352425</xdr:colOff>
      <xdr:row>47</xdr:row>
      <xdr:rowOff>9525</xdr:rowOff>
    </xdr:to>
    <xdr:pic>
      <xdr:nvPicPr>
        <xdr:cNvPr id="50" name="Image 4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47</xdr:row>
      <xdr:rowOff>0</xdr:rowOff>
    </xdr:from>
    <xdr:to>
      <xdr:col>3</xdr:col>
      <xdr:colOff>371475</xdr:colOff>
      <xdr:row>47</xdr:row>
      <xdr:rowOff>9525</xdr:rowOff>
    </xdr:to>
    <xdr:pic>
      <xdr:nvPicPr>
        <xdr:cNvPr id="51" name="Image 5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9525</xdr:colOff>
      <xdr:row>44</xdr:row>
      <xdr:rowOff>9525</xdr:rowOff>
    </xdr:to>
    <xdr:pic>
      <xdr:nvPicPr>
        <xdr:cNvPr id="52" name="Image 5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44</xdr:row>
      <xdr:rowOff>0</xdr:rowOff>
    </xdr:from>
    <xdr:to>
      <xdr:col>3</xdr:col>
      <xdr:colOff>28575</xdr:colOff>
      <xdr:row>44</xdr:row>
      <xdr:rowOff>9525</xdr:rowOff>
    </xdr:to>
    <xdr:pic>
      <xdr:nvPicPr>
        <xdr:cNvPr id="53" name="Image 5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44</xdr:row>
      <xdr:rowOff>0</xdr:rowOff>
    </xdr:from>
    <xdr:to>
      <xdr:col>3</xdr:col>
      <xdr:colOff>47625</xdr:colOff>
      <xdr:row>44</xdr:row>
      <xdr:rowOff>9525</xdr:rowOff>
    </xdr:to>
    <xdr:pic>
      <xdr:nvPicPr>
        <xdr:cNvPr id="54" name="Image 5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44</xdr:row>
      <xdr:rowOff>0</xdr:rowOff>
    </xdr:from>
    <xdr:to>
      <xdr:col>3</xdr:col>
      <xdr:colOff>66675</xdr:colOff>
      <xdr:row>44</xdr:row>
      <xdr:rowOff>9525</xdr:rowOff>
    </xdr:to>
    <xdr:pic>
      <xdr:nvPicPr>
        <xdr:cNvPr id="55" name="Image 5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44</xdr:row>
      <xdr:rowOff>0</xdr:rowOff>
    </xdr:from>
    <xdr:to>
      <xdr:col>3</xdr:col>
      <xdr:colOff>85725</xdr:colOff>
      <xdr:row>44</xdr:row>
      <xdr:rowOff>9525</xdr:rowOff>
    </xdr:to>
    <xdr:pic>
      <xdr:nvPicPr>
        <xdr:cNvPr id="56" name="Image 5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44</xdr:row>
      <xdr:rowOff>0</xdr:rowOff>
    </xdr:from>
    <xdr:to>
      <xdr:col>3</xdr:col>
      <xdr:colOff>104775</xdr:colOff>
      <xdr:row>44</xdr:row>
      <xdr:rowOff>9525</xdr:rowOff>
    </xdr:to>
    <xdr:pic>
      <xdr:nvPicPr>
        <xdr:cNvPr id="57" name="Image 5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44</xdr:row>
      <xdr:rowOff>0</xdr:rowOff>
    </xdr:from>
    <xdr:to>
      <xdr:col>3</xdr:col>
      <xdr:colOff>123825</xdr:colOff>
      <xdr:row>44</xdr:row>
      <xdr:rowOff>9525</xdr:rowOff>
    </xdr:to>
    <xdr:pic>
      <xdr:nvPicPr>
        <xdr:cNvPr id="58" name="Image 5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44</xdr:row>
      <xdr:rowOff>0</xdr:rowOff>
    </xdr:from>
    <xdr:to>
      <xdr:col>3</xdr:col>
      <xdr:colOff>142875</xdr:colOff>
      <xdr:row>44</xdr:row>
      <xdr:rowOff>9525</xdr:rowOff>
    </xdr:to>
    <xdr:pic>
      <xdr:nvPicPr>
        <xdr:cNvPr id="59" name="Image 5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44</xdr:row>
      <xdr:rowOff>0</xdr:rowOff>
    </xdr:from>
    <xdr:to>
      <xdr:col>3</xdr:col>
      <xdr:colOff>161925</xdr:colOff>
      <xdr:row>44</xdr:row>
      <xdr:rowOff>9525</xdr:rowOff>
    </xdr:to>
    <xdr:pic>
      <xdr:nvPicPr>
        <xdr:cNvPr id="60" name="Image 5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44</xdr:row>
      <xdr:rowOff>0</xdr:rowOff>
    </xdr:from>
    <xdr:to>
      <xdr:col>3</xdr:col>
      <xdr:colOff>180975</xdr:colOff>
      <xdr:row>44</xdr:row>
      <xdr:rowOff>9525</xdr:rowOff>
    </xdr:to>
    <xdr:pic>
      <xdr:nvPicPr>
        <xdr:cNvPr id="61" name="Image 6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44</xdr:row>
      <xdr:rowOff>0</xdr:rowOff>
    </xdr:from>
    <xdr:to>
      <xdr:col>3</xdr:col>
      <xdr:colOff>200025</xdr:colOff>
      <xdr:row>44</xdr:row>
      <xdr:rowOff>9525</xdr:rowOff>
    </xdr:to>
    <xdr:pic>
      <xdr:nvPicPr>
        <xdr:cNvPr id="62" name="Image 6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44</xdr:row>
      <xdr:rowOff>0</xdr:rowOff>
    </xdr:from>
    <xdr:to>
      <xdr:col>3</xdr:col>
      <xdr:colOff>219075</xdr:colOff>
      <xdr:row>44</xdr:row>
      <xdr:rowOff>9525</xdr:rowOff>
    </xdr:to>
    <xdr:pic>
      <xdr:nvPicPr>
        <xdr:cNvPr id="63" name="Image 6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44</xdr:row>
      <xdr:rowOff>0</xdr:rowOff>
    </xdr:from>
    <xdr:to>
      <xdr:col>3</xdr:col>
      <xdr:colOff>238125</xdr:colOff>
      <xdr:row>44</xdr:row>
      <xdr:rowOff>9525</xdr:rowOff>
    </xdr:to>
    <xdr:pic>
      <xdr:nvPicPr>
        <xdr:cNvPr id="64" name="Image 6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44</xdr:row>
      <xdr:rowOff>0</xdr:rowOff>
    </xdr:from>
    <xdr:to>
      <xdr:col>3</xdr:col>
      <xdr:colOff>257175</xdr:colOff>
      <xdr:row>44</xdr:row>
      <xdr:rowOff>9525</xdr:rowOff>
    </xdr:to>
    <xdr:pic>
      <xdr:nvPicPr>
        <xdr:cNvPr id="65" name="Image 6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44</xdr:row>
      <xdr:rowOff>0</xdr:rowOff>
    </xdr:from>
    <xdr:to>
      <xdr:col>3</xdr:col>
      <xdr:colOff>276225</xdr:colOff>
      <xdr:row>44</xdr:row>
      <xdr:rowOff>9525</xdr:rowOff>
    </xdr:to>
    <xdr:pic>
      <xdr:nvPicPr>
        <xdr:cNvPr id="66" name="Image 6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44</xdr:row>
      <xdr:rowOff>0</xdr:rowOff>
    </xdr:from>
    <xdr:to>
      <xdr:col>3</xdr:col>
      <xdr:colOff>295275</xdr:colOff>
      <xdr:row>44</xdr:row>
      <xdr:rowOff>9525</xdr:rowOff>
    </xdr:to>
    <xdr:pic>
      <xdr:nvPicPr>
        <xdr:cNvPr id="67" name="Image 6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44</xdr:row>
      <xdr:rowOff>0</xdr:rowOff>
    </xdr:from>
    <xdr:to>
      <xdr:col>3</xdr:col>
      <xdr:colOff>314325</xdr:colOff>
      <xdr:row>44</xdr:row>
      <xdr:rowOff>9525</xdr:rowOff>
    </xdr:to>
    <xdr:pic>
      <xdr:nvPicPr>
        <xdr:cNvPr id="68" name="Image 6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44</xdr:row>
      <xdr:rowOff>0</xdr:rowOff>
    </xdr:from>
    <xdr:to>
      <xdr:col>3</xdr:col>
      <xdr:colOff>333375</xdr:colOff>
      <xdr:row>44</xdr:row>
      <xdr:rowOff>9525</xdr:rowOff>
    </xdr:to>
    <xdr:pic>
      <xdr:nvPicPr>
        <xdr:cNvPr id="69" name="Image 6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44</xdr:row>
      <xdr:rowOff>0</xdr:rowOff>
    </xdr:from>
    <xdr:to>
      <xdr:col>3</xdr:col>
      <xdr:colOff>352425</xdr:colOff>
      <xdr:row>44</xdr:row>
      <xdr:rowOff>9525</xdr:rowOff>
    </xdr:to>
    <xdr:pic>
      <xdr:nvPicPr>
        <xdr:cNvPr id="70" name="Image 6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44</xdr:row>
      <xdr:rowOff>0</xdr:rowOff>
    </xdr:from>
    <xdr:to>
      <xdr:col>3</xdr:col>
      <xdr:colOff>371475</xdr:colOff>
      <xdr:row>44</xdr:row>
      <xdr:rowOff>9525</xdr:rowOff>
    </xdr:to>
    <xdr:pic>
      <xdr:nvPicPr>
        <xdr:cNvPr id="71" name="Image 7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44</xdr:row>
      <xdr:rowOff>0</xdr:rowOff>
    </xdr:from>
    <xdr:to>
      <xdr:col>3</xdr:col>
      <xdr:colOff>390525</xdr:colOff>
      <xdr:row>44</xdr:row>
      <xdr:rowOff>9525</xdr:rowOff>
    </xdr:to>
    <xdr:pic>
      <xdr:nvPicPr>
        <xdr:cNvPr id="72" name="Image 7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44</xdr:row>
      <xdr:rowOff>0</xdr:rowOff>
    </xdr:from>
    <xdr:to>
      <xdr:col>3</xdr:col>
      <xdr:colOff>409575</xdr:colOff>
      <xdr:row>44</xdr:row>
      <xdr:rowOff>9525</xdr:rowOff>
    </xdr:to>
    <xdr:pic>
      <xdr:nvPicPr>
        <xdr:cNvPr id="73" name="Image 7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44</xdr:row>
      <xdr:rowOff>0</xdr:rowOff>
    </xdr:from>
    <xdr:to>
      <xdr:col>3</xdr:col>
      <xdr:colOff>428625</xdr:colOff>
      <xdr:row>44</xdr:row>
      <xdr:rowOff>9525</xdr:rowOff>
    </xdr:to>
    <xdr:pic>
      <xdr:nvPicPr>
        <xdr:cNvPr id="74" name="Image 7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44</xdr:row>
      <xdr:rowOff>0</xdr:rowOff>
    </xdr:from>
    <xdr:to>
      <xdr:col>3</xdr:col>
      <xdr:colOff>447675</xdr:colOff>
      <xdr:row>44</xdr:row>
      <xdr:rowOff>9525</xdr:rowOff>
    </xdr:to>
    <xdr:pic>
      <xdr:nvPicPr>
        <xdr:cNvPr id="75" name="Image 7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44</xdr:row>
      <xdr:rowOff>0</xdr:rowOff>
    </xdr:from>
    <xdr:to>
      <xdr:col>3</xdr:col>
      <xdr:colOff>466725</xdr:colOff>
      <xdr:row>44</xdr:row>
      <xdr:rowOff>9525</xdr:rowOff>
    </xdr:to>
    <xdr:pic>
      <xdr:nvPicPr>
        <xdr:cNvPr id="76" name="Image 7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44</xdr:row>
      <xdr:rowOff>0</xdr:rowOff>
    </xdr:from>
    <xdr:to>
      <xdr:col>3</xdr:col>
      <xdr:colOff>485775</xdr:colOff>
      <xdr:row>44</xdr:row>
      <xdr:rowOff>9525</xdr:rowOff>
    </xdr:to>
    <xdr:pic>
      <xdr:nvPicPr>
        <xdr:cNvPr id="77" name="Image 7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44</xdr:row>
      <xdr:rowOff>0</xdr:rowOff>
    </xdr:from>
    <xdr:to>
      <xdr:col>3</xdr:col>
      <xdr:colOff>504825</xdr:colOff>
      <xdr:row>44</xdr:row>
      <xdr:rowOff>9525</xdr:rowOff>
    </xdr:to>
    <xdr:pic>
      <xdr:nvPicPr>
        <xdr:cNvPr id="78" name="Image 7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44</xdr:row>
      <xdr:rowOff>0</xdr:rowOff>
    </xdr:from>
    <xdr:to>
      <xdr:col>3</xdr:col>
      <xdr:colOff>523875</xdr:colOff>
      <xdr:row>44</xdr:row>
      <xdr:rowOff>9525</xdr:rowOff>
    </xdr:to>
    <xdr:pic>
      <xdr:nvPicPr>
        <xdr:cNvPr id="79" name="Image 7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44</xdr:row>
      <xdr:rowOff>0</xdr:rowOff>
    </xdr:from>
    <xdr:to>
      <xdr:col>3</xdr:col>
      <xdr:colOff>542925</xdr:colOff>
      <xdr:row>44</xdr:row>
      <xdr:rowOff>9525</xdr:rowOff>
    </xdr:to>
    <xdr:pic>
      <xdr:nvPicPr>
        <xdr:cNvPr id="80" name="Image 7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44</xdr:row>
      <xdr:rowOff>0</xdr:rowOff>
    </xdr:from>
    <xdr:to>
      <xdr:col>3</xdr:col>
      <xdr:colOff>561975</xdr:colOff>
      <xdr:row>44</xdr:row>
      <xdr:rowOff>9525</xdr:rowOff>
    </xdr:to>
    <xdr:pic>
      <xdr:nvPicPr>
        <xdr:cNvPr id="81" name="Image 8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44</xdr:row>
      <xdr:rowOff>0</xdr:rowOff>
    </xdr:from>
    <xdr:to>
      <xdr:col>3</xdr:col>
      <xdr:colOff>581025</xdr:colOff>
      <xdr:row>44</xdr:row>
      <xdr:rowOff>9525</xdr:rowOff>
    </xdr:to>
    <xdr:pic>
      <xdr:nvPicPr>
        <xdr:cNvPr id="82" name="Image 8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590550</xdr:colOff>
      <xdr:row>44</xdr:row>
      <xdr:rowOff>0</xdr:rowOff>
    </xdr:from>
    <xdr:to>
      <xdr:col>3</xdr:col>
      <xdr:colOff>600075</xdr:colOff>
      <xdr:row>44</xdr:row>
      <xdr:rowOff>9525</xdr:rowOff>
    </xdr:to>
    <xdr:pic>
      <xdr:nvPicPr>
        <xdr:cNvPr id="83" name="Image 8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44</xdr:row>
      <xdr:rowOff>0</xdr:rowOff>
    </xdr:from>
    <xdr:to>
      <xdr:col>3</xdr:col>
      <xdr:colOff>619125</xdr:colOff>
      <xdr:row>44</xdr:row>
      <xdr:rowOff>9525</xdr:rowOff>
    </xdr:to>
    <xdr:pic>
      <xdr:nvPicPr>
        <xdr:cNvPr id="84" name="Image 8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628650</xdr:colOff>
      <xdr:row>44</xdr:row>
      <xdr:rowOff>0</xdr:rowOff>
    </xdr:from>
    <xdr:to>
      <xdr:col>3</xdr:col>
      <xdr:colOff>638175</xdr:colOff>
      <xdr:row>44</xdr:row>
      <xdr:rowOff>9525</xdr:rowOff>
    </xdr:to>
    <xdr:pic>
      <xdr:nvPicPr>
        <xdr:cNvPr id="85" name="Image 8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44</xdr:row>
      <xdr:rowOff>0</xdr:rowOff>
    </xdr:from>
    <xdr:to>
      <xdr:col>3</xdr:col>
      <xdr:colOff>657225</xdr:colOff>
      <xdr:row>44</xdr:row>
      <xdr:rowOff>9525</xdr:rowOff>
    </xdr:to>
    <xdr:pic>
      <xdr:nvPicPr>
        <xdr:cNvPr id="86" name="Image 8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666750</xdr:colOff>
      <xdr:row>44</xdr:row>
      <xdr:rowOff>0</xdr:rowOff>
    </xdr:from>
    <xdr:to>
      <xdr:col>3</xdr:col>
      <xdr:colOff>676275</xdr:colOff>
      <xdr:row>44</xdr:row>
      <xdr:rowOff>9525</xdr:rowOff>
    </xdr:to>
    <xdr:pic>
      <xdr:nvPicPr>
        <xdr:cNvPr id="87" name="Image 8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685800</xdr:colOff>
      <xdr:row>44</xdr:row>
      <xdr:rowOff>0</xdr:rowOff>
    </xdr:from>
    <xdr:to>
      <xdr:col>3</xdr:col>
      <xdr:colOff>695325</xdr:colOff>
      <xdr:row>44</xdr:row>
      <xdr:rowOff>9525</xdr:rowOff>
    </xdr:to>
    <xdr:pic>
      <xdr:nvPicPr>
        <xdr:cNvPr id="88" name="Image 8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9525</xdr:colOff>
      <xdr:row>31</xdr:row>
      <xdr:rowOff>9525</xdr:rowOff>
    </xdr:to>
    <xdr:pic>
      <xdr:nvPicPr>
        <xdr:cNvPr id="89" name="Image 8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31</xdr:row>
      <xdr:rowOff>0</xdr:rowOff>
    </xdr:from>
    <xdr:to>
      <xdr:col>3</xdr:col>
      <xdr:colOff>28575</xdr:colOff>
      <xdr:row>31</xdr:row>
      <xdr:rowOff>9525</xdr:rowOff>
    </xdr:to>
    <xdr:pic>
      <xdr:nvPicPr>
        <xdr:cNvPr id="90" name="Image 8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31</xdr:row>
      <xdr:rowOff>0</xdr:rowOff>
    </xdr:from>
    <xdr:to>
      <xdr:col>3</xdr:col>
      <xdr:colOff>47625</xdr:colOff>
      <xdr:row>31</xdr:row>
      <xdr:rowOff>9525</xdr:rowOff>
    </xdr:to>
    <xdr:pic>
      <xdr:nvPicPr>
        <xdr:cNvPr id="91" name="Image 9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31</xdr:row>
      <xdr:rowOff>0</xdr:rowOff>
    </xdr:from>
    <xdr:to>
      <xdr:col>3</xdr:col>
      <xdr:colOff>66675</xdr:colOff>
      <xdr:row>31</xdr:row>
      <xdr:rowOff>9525</xdr:rowOff>
    </xdr:to>
    <xdr:pic>
      <xdr:nvPicPr>
        <xdr:cNvPr id="92" name="Image 9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31</xdr:row>
      <xdr:rowOff>0</xdr:rowOff>
    </xdr:from>
    <xdr:to>
      <xdr:col>3</xdr:col>
      <xdr:colOff>85725</xdr:colOff>
      <xdr:row>31</xdr:row>
      <xdr:rowOff>9525</xdr:rowOff>
    </xdr:to>
    <xdr:pic>
      <xdr:nvPicPr>
        <xdr:cNvPr id="93" name="Image 9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31</xdr:row>
      <xdr:rowOff>0</xdr:rowOff>
    </xdr:from>
    <xdr:to>
      <xdr:col>3</xdr:col>
      <xdr:colOff>104775</xdr:colOff>
      <xdr:row>31</xdr:row>
      <xdr:rowOff>9525</xdr:rowOff>
    </xdr:to>
    <xdr:pic>
      <xdr:nvPicPr>
        <xdr:cNvPr id="94" name="Image 9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31</xdr:row>
      <xdr:rowOff>0</xdr:rowOff>
    </xdr:from>
    <xdr:to>
      <xdr:col>3</xdr:col>
      <xdr:colOff>123825</xdr:colOff>
      <xdr:row>31</xdr:row>
      <xdr:rowOff>9525</xdr:rowOff>
    </xdr:to>
    <xdr:pic>
      <xdr:nvPicPr>
        <xdr:cNvPr id="95" name="Image 9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31</xdr:row>
      <xdr:rowOff>0</xdr:rowOff>
    </xdr:from>
    <xdr:to>
      <xdr:col>3</xdr:col>
      <xdr:colOff>142875</xdr:colOff>
      <xdr:row>31</xdr:row>
      <xdr:rowOff>9525</xdr:rowOff>
    </xdr:to>
    <xdr:pic>
      <xdr:nvPicPr>
        <xdr:cNvPr id="96" name="Image 9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31</xdr:row>
      <xdr:rowOff>0</xdr:rowOff>
    </xdr:from>
    <xdr:to>
      <xdr:col>3</xdr:col>
      <xdr:colOff>161925</xdr:colOff>
      <xdr:row>31</xdr:row>
      <xdr:rowOff>9525</xdr:rowOff>
    </xdr:to>
    <xdr:pic>
      <xdr:nvPicPr>
        <xdr:cNvPr id="97" name="Image 9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31</xdr:row>
      <xdr:rowOff>0</xdr:rowOff>
    </xdr:from>
    <xdr:to>
      <xdr:col>3</xdr:col>
      <xdr:colOff>180975</xdr:colOff>
      <xdr:row>31</xdr:row>
      <xdr:rowOff>9525</xdr:rowOff>
    </xdr:to>
    <xdr:pic>
      <xdr:nvPicPr>
        <xdr:cNvPr id="98" name="Image 9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31</xdr:row>
      <xdr:rowOff>0</xdr:rowOff>
    </xdr:from>
    <xdr:to>
      <xdr:col>3</xdr:col>
      <xdr:colOff>200025</xdr:colOff>
      <xdr:row>31</xdr:row>
      <xdr:rowOff>9525</xdr:rowOff>
    </xdr:to>
    <xdr:pic>
      <xdr:nvPicPr>
        <xdr:cNvPr id="99" name="Image 9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31</xdr:row>
      <xdr:rowOff>0</xdr:rowOff>
    </xdr:from>
    <xdr:to>
      <xdr:col>3</xdr:col>
      <xdr:colOff>219075</xdr:colOff>
      <xdr:row>31</xdr:row>
      <xdr:rowOff>9525</xdr:rowOff>
    </xdr:to>
    <xdr:pic>
      <xdr:nvPicPr>
        <xdr:cNvPr id="100" name="Image 9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31</xdr:row>
      <xdr:rowOff>0</xdr:rowOff>
    </xdr:from>
    <xdr:to>
      <xdr:col>3</xdr:col>
      <xdr:colOff>238125</xdr:colOff>
      <xdr:row>31</xdr:row>
      <xdr:rowOff>9525</xdr:rowOff>
    </xdr:to>
    <xdr:pic>
      <xdr:nvPicPr>
        <xdr:cNvPr id="101" name="Image 10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31</xdr:row>
      <xdr:rowOff>0</xdr:rowOff>
    </xdr:from>
    <xdr:to>
      <xdr:col>3</xdr:col>
      <xdr:colOff>257175</xdr:colOff>
      <xdr:row>31</xdr:row>
      <xdr:rowOff>9525</xdr:rowOff>
    </xdr:to>
    <xdr:pic>
      <xdr:nvPicPr>
        <xdr:cNvPr id="102" name="Image 10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31</xdr:row>
      <xdr:rowOff>0</xdr:rowOff>
    </xdr:from>
    <xdr:to>
      <xdr:col>3</xdr:col>
      <xdr:colOff>276225</xdr:colOff>
      <xdr:row>31</xdr:row>
      <xdr:rowOff>9525</xdr:rowOff>
    </xdr:to>
    <xdr:pic>
      <xdr:nvPicPr>
        <xdr:cNvPr id="103" name="Image 10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31</xdr:row>
      <xdr:rowOff>0</xdr:rowOff>
    </xdr:from>
    <xdr:to>
      <xdr:col>3</xdr:col>
      <xdr:colOff>295275</xdr:colOff>
      <xdr:row>31</xdr:row>
      <xdr:rowOff>9525</xdr:rowOff>
    </xdr:to>
    <xdr:pic>
      <xdr:nvPicPr>
        <xdr:cNvPr id="104" name="Image 10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31</xdr:row>
      <xdr:rowOff>0</xdr:rowOff>
    </xdr:from>
    <xdr:to>
      <xdr:col>3</xdr:col>
      <xdr:colOff>314325</xdr:colOff>
      <xdr:row>31</xdr:row>
      <xdr:rowOff>9525</xdr:rowOff>
    </xdr:to>
    <xdr:pic>
      <xdr:nvPicPr>
        <xdr:cNvPr id="105" name="Image 10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31</xdr:row>
      <xdr:rowOff>0</xdr:rowOff>
    </xdr:from>
    <xdr:to>
      <xdr:col>3</xdr:col>
      <xdr:colOff>333375</xdr:colOff>
      <xdr:row>31</xdr:row>
      <xdr:rowOff>9525</xdr:rowOff>
    </xdr:to>
    <xdr:pic>
      <xdr:nvPicPr>
        <xdr:cNvPr id="106" name="Image 10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31</xdr:row>
      <xdr:rowOff>0</xdr:rowOff>
    </xdr:from>
    <xdr:to>
      <xdr:col>3</xdr:col>
      <xdr:colOff>352425</xdr:colOff>
      <xdr:row>31</xdr:row>
      <xdr:rowOff>9525</xdr:rowOff>
    </xdr:to>
    <xdr:pic>
      <xdr:nvPicPr>
        <xdr:cNvPr id="107" name="Image 10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31</xdr:row>
      <xdr:rowOff>0</xdr:rowOff>
    </xdr:from>
    <xdr:to>
      <xdr:col>3</xdr:col>
      <xdr:colOff>371475</xdr:colOff>
      <xdr:row>31</xdr:row>
      <xdr:rowOff>9525</xdr:rowOff>
    </xdr:to>
    <xdr:pic>
      <xdr:nvPicPr>
        <xdr:cNvPr id="108" name="Image 10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31</xdr:row>
      <xdr:rowOff>0</xdr:rowOff>
    </xdr:from>
    <xdr:to>
      <xdr:col>3</xdr:col>
      <xdr:colOff>390525</xdr:colOff>
      <xdr:row>31</xdr:row>
      <xdr:rowOff>9525</xdr:rowOff>
    </xdr:to>
    <xdr:pic>
      <xdr:nvPicPr>
        <xdr:cNvPr id="109" name="Image 10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31</xdr:row>
      <xdr:rowOff>0</xdr:rowOff>
    </xdr:from>
    <xdr:to>
      <xdr:col>3</xdr:col>
      <xdr:colOff>409575</xdr:colOff>
      <xdr:row>31</xdr:row>
      <xdr:rowOff>9525</xdr:rowOff>
    </xdr:to>
    <xdr:pic>
      <xdr:nvPicPr>
        <xdr:cNvPr id="110" name="Image 10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31</xdr:row>
      <xdr:rowOff>0</xdr:rowOff>
    </xdr:from>
    <xdr:to>
      <xdr:col>3</xdr:col>
      <xdr:colOff>428625</xdr:colOff>
      <xdr:row>31</xdr:row>
      <xdr:rowOff>9525</xdr:rowOff>
    </xdr:to>
    <xdr:pic>
      <xdr:nvPicPr>
        <xdr:cNvPr id="111" name="Image 11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31</xdr:row>
      <xdr:rowOff>0</xdr:rowOff>
    </xdr:from>
    <xdr:to>
      <xdr:col>3</xdr:col>
      <xdr:colOff>447675</xdr:colOff>
      <xdr:row>31</xdr:row>
      <xdr:rowOff>9525</xdr:rowOff>
    </xdr:to>
    <xdr:pic>
      <xdr:nvPicPr>
        <xdr:cNvPr id="112" name="Image 11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31</xdr:row>
      <xdr:rowOff>0</xdr:rowOff>
    </xdr:from>
    <xdr:to>
      <xdr:col>3</xdr:col>
      <xdr:colOff>466725</xdr:colOff>
      <xdr:row>31</xdr:row>
      <xdr:rowOff>9525</xdr:rowOff>
    </xdr:to>
    <xdr:pic>
      <xdr:nvPicPr>
        <xdr:cNvPr id="113" name="Image 11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31</xdr:row>
      <xdr:rowOff>0</xdr:rowOff>
    </xdr:from>
    <xdr:to>
      <xdr:col>3</xdr:col>
      <xdr:colOff>485775</xdr:colOff>
      <xdr:row>31</xdr:row>
      <xdr:rowOff>9525</xdr:rowOff>
    </xdr:to>
    <xdr:pic>
      <xdr:nvPicPr>
        <xdr:cNvPr id="114" name="Image 11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31</xdr:row>
      <xdr:rowOff>0</xdr:rowOff>
    </xdr:from>
    <xdr:to>
      <xdr:col>3</xdr:col>
      <xdr:colOff>504825</xdr:colOff>
      <xdr:row>31</xdr:row>
      <xdr:rowOff>9525</xdr:rowOff>
    </xdr:to>
    <xdr:pic>
      <xdr:nvPicPr>
        <xdr:cNvPr id="115" name="Image 11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31</xdr:row>
      <xdr:rowOff>0</xdr:rowOff>
    </xdr:from>
    <xdr:to>
      <xdr:col>3</xdr:col>
      <xdr:colOff>523875</xdr:colOff>
      <xdr:row>31</xdr:row>
      <xdr:rowOff>9525</xdr:rowOff>
    </xdr:to>
    <xdr:pic>
      <xdr:nvPicPr>
        <xdr:cNvPr id="116" name="Image 11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679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</xdr:colOff>
      <xdr:row>19</xdr:row>
      <xdr:rowOff>9525</xdr:rowOff>
    </xdr:to>
    <xdr:pic>
      <xdr:nvPicPr>
        <xdr:cNvPr id="117" name="Image 11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19</xdr:row>
      <xdr:rowOff>0</xdr:rowOff>
    </xdr:from>
    <xdr:to>
      <xdr:col>3</xdr:col>
      <xdr:colOff>28575</xdr:colOff>
      <xdr:row>19</xdr:row>
      <xdr:rowOff>9525</xdr:rowOff>
    </xdr:to>
    <xdr:pic>
      <xdr:nvPicPr>
        <xdr:cNvPr id="118" name="Image 11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19</xdr:row>
      <xdr:rowOff>0</xdr:rowOff>
    </xdr:from>
    <xdr:to>
      <xdr:col>3</xdr:col>
      <xdr:colOff>47625</xdr:colOff>
      <xdr:row>19</xdr:row>
      <xdr:rowOff>9525</xdr:rowOff>
    </xdr:to>
    <xdr:pic>
      <xdr:nvPicPr>
        <xdr:cNvPr id="119" name="Image 11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19</xdr:row>
      <xdr:rowOff>0</xdr:rowOff>
    </xdr:from>
    <xdr:to>
      <xdr:col>3</xdr:col>
      <xdr:colOff>66675</xdr:colOff>
      <xdr:row>19</xdr:row>
      <xdr:rowOff>9525</xdr:rowOff>
    </xdr:to>
    <xdr:pic>
      <xdr:nvPicPr>
        <xdr:cNvPr id="120" name="Image 11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19</xdr:row>
      <xdr:rowOff>0</xdr:rowOff>
    </xdr:from>
    <xdr:to>
      <xdr:col>3</xdr:col>
      <xdr:colOff>85725</xdr:colOff>
      <xdr:row>19</xdr:row>
      <xdr:rowOff>9525</xdr:rowOff>
    </xdr:to>
    <xdr:pic>
      <xdr:nvPicPr>
        <xdr:cNvPr id="121" name="Image 12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19</xdr:row>
      <xdr:rowOff>0</xdr:rowOff>
    </xdr:from>
    <xdr:to>
      <xdr:col>3</xdr:col>
      <xdr:colOff>104775</xdr:colOff>
      <xdr:row>19</xdr:row>
      <xdr:rowOff>9525</xdr:rowOff>
    </xdr:to>
    <xdr:pic>
      <xdr:nvPicPr>
        <xdr:cNvPr id="122" name="Image 12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19</xdr:row>
      <xdr:rowOff>0</xdr:rowOff>
    </xdr:from>
    <xdr:to>
      <xdr:col>3</xdr:col>
      <xdr:colOff>123825</xdr:colOff>
      <xdr:row>19</xdr:row>
      <xdr:rowOff>9525</xdr:rowOff>
    </xdr:to>
    <xdr:pic>
      <xdr:nvPicPr>
        <xdr:cNvPr id="123" name="Image 12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19</xdr:row>
      <xdr:rowOff>0</xdr:rowOff>
    </xdr:from>
    <xdr:to>
      <xdr:col>3</xdr:col>
      <xdr:colOff>142875</xdr:colOff>
      <xdr:row>19</xdr:row>
      <xdr:rowOff>9525</xdr:rowOff>
    </xdr:to>
    <xdr:pic>
      <xdr:nvPicPr>
        <xdr:cNvPr id="124" name="Image 12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161925</xdr:colOff>
      <xdr:row>19</xdr:row>
      <xdr:rowOff>9525</xdr:rowOff>
    </xdr:to>
    <xdr:pic>
      <xdr:nvPicPr>
        <xdr:cNvPr id="125" name="Image 12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19</xdr:row>
      <xdr:rowOff>0</xdr:rowOff>
    </xdr:from>
    <xdr:to>
      <xdr:col>3</xdr:col>
      <xdr:colOff>180975</xdr:colOff>
      <xdr:row>19</xdr:row>
      <xdr:rowOff>9525</xdr:rowOff>
    </xdr:to>
    <xdr:pic>
      <xdr:nvPicPr>
        <xdr:cNvPr id="126" name="Image 12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19</xdr:row>
      <xdr:rowOff>0</xdr:rowOff>
    </xdr:from>
    <xdr:to>
      <xdr:col>3</xdr:col>
      <xdr:colOff>200025</xdr:colOff>
      <xdr:row>19</xdr:row>
      <xdr:rowOff>9525</xdr:rowOff>
    </xdr:to>
    <xdr:pic>
      <xdr:nvPicPr>
        <xdr:cNvPr id="127" name="Image 12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19</xdr:row>
      <xdr:rowOff>0</xdr:rowOff>
    </xdr:from>
    <xdr:to>
      <xdr:col>3</xdr:col>
      <xdr:colOff>219075</xdr:colOff>
      <xdr:row>19</xdr:row>
      <xdr:rowOff>9525</xdr:rowOff>
    </xdr:to>
    <xdr:pic>
      <xdr:nvPicPr>
        <xdr:cNvPr id="128" name="Image 12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19</xdr:row>
      <xdr:rowOff>0</xdr:rowOff>
    </xdr:from>
    <xdr:to>
      <xdr:col>3</xdr:col>
      <xdr:colOff>238125</xdr:colOff>
      <xdr:row>19</xdr:row>
      <xdr:rowOff>9525</xdr:rowOff>
    </xdr:to>
    <xdr:pic>
      <xdr:nvPicPr>
        <xdr:cNvPr id="129" name="Image 12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19</xdr:row>
      <xdr:rowOff>0</xdr:rowOff>
    </xdr:from>
    <xdr:to>
      <xdr:col>3</xdr:col>
      <xdr:colOff>257175</xdr:colOff>
      <xdr:row>19</xdr:row>
      <xdr:rowOff>9525</xdr:rowOff>
    </xdr:to>
    <xdr:pic>
      <xdr:nvPicPr>
        <xdr:cNvPr id="130" name="Image 12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19</xdr:row>
      <xdr:rowOff>0</xdr:rowOff>
    </xdr:from>
    <xdr:to>
      <xdr:col>3</xdr:col>
      <xdr:colOff>276225</xdr:colOff>
      <xdr:row>19</xdr:row>
      <xdr:rowOff>9525</xdr:rowOff>
    </xdr:to>
    <xdr:pic>
      <xdr:nvPicPr>
        <xdr:cNvPr id="131" name="Image 13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19</xdr:row>
      <xdr:rowOff>0</xdr:rowOff>
    </xdr:from>
    <xdr:to>
      <xdr:col>3</xdr:col>
      <xdr:colOff>295275</xdr:colOff>
      <xdr:row>19</xdr:row>
      <xdr:rowOff>9525</xdr:rowOff>
    </xdr:to>
    <xdr:pic>
      <xdr:nvPicPr>
        <xdr:cNvPr id="132" name="Image 13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19</xdr:row>
      <xdr:rowOff>0</xdr:rowOff>
    </xdr:from>
    <xdr:to>
      <xdr:col>3</xdr:col>
      <xdr:colOff>314325</xdr:colOff>
      <xdr:row>19</xdr:row>
      <xdr:rowOff>9525</xdr:rowOff>
    </xdr:to>
    <xdr:pic>
      <xdr:nvPicPr>
        <xdr:cNvPr id="133" name="Image 13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19</xdr:row>
      <xdr:rowOff>0</xdr:rowOff>
    </xdr:from>
    <xdr:to>
      <xdr:col>3</xdr:col>
      <xdr:colOff>333375</xdr:colOff>
      <xdr:row>19</xdr:row>
      <xdr:rowOff>9525</xdr:rowOff>
    </xdr:to>
    <xdr:pic>
      <xdr:nvPicPr>
        <xdr:cNvPr id="134" name="Image 13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19</xdr:row>
      <xdr:rowOff>0</xdr:rowOff>
    </xdr:from>
    <xdr:to>
      <xdr:col>3</xdr:col>
      <xdr:colOff>352425</xdr:colOff>
      <xdr:row>19</xdr:row>
      <xdr:rowOff>9525</xdr:rowOff>
    </xdr:to>
    <xdr:pic>
      <xdr:nvPicPr>
        <xdr:cNvPr id="135" name="Image 13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19</xdr:row>
      <xdr:rowOff>0</xdr:rowOff>
    </xdr:from>
    <xdr:to>
      <xdr:col>3</xdr:col>
      <xdr:colOff>371475</xdr:colOff>
      <xdr:row>19</xdr:row>
      <xdr:rowOff>9525</xdr:rowOff>
    </xdr:to>
    <xdr:pic>
      <xdr:nvPicPr>
        <xdr:cNvPr id="136" name="Image 13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19</xdr:row>
      <xdr:rowOff>0</xdr:rowOff>
    </xdr:from>
    <xdr:to>
      <xdr:col>3</xdr:col>
      <xdr:colOff>390525</xdr:colOff>
      <xdr:row>19</xdr:row>
      <xdr:rowOff>9525</xdr:rowOff>
    </xdr:to>
    <xdr:pic>
      <xdr:nvPicPr>
        <xdr:cNvPr id="137" name="Image 13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19</xdr:row>
      <xdr:rowOff>0</xdr:rowOff>
    </xdr:from>
    <xdr:to>
      <xdr:col>3</xdr:col>
      <xdr:colOff>409575</xdr:colOff>
      <xdr:row>19</xdr:row>
      <xdr:rowOff>9525</xdr:rowOff>
    </xdr:to>
    <xdr:pic>
      <xdr:nvPicPr>
        <xdr:cNvPr id="138" name="Image 13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</xdr:colOff>
      <xdr:row>19</xdr:row>
      <xdr:rowOff>9525</xdr:rowOff>
    </xdr:to>
    <xdr:pic>
      <xdr:nvPicPr>
        <xdr:cNvPr id="139" name="Image 13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19</xdr:row>
      <xdr:rowOff>0</xdr:rowOff>
    </xdr:from>
    <xdr:to>
      <xdr:col>3</xdr:col>
      <xdr:colOff>28575</xdr:colOff>
      <xdr:row>19</xdr:row>
      <xdr:rowOff>9525</xdr:rowOff>
    </xdr:to>
    <xdr:pic>
      <xdr:nvPicPr>
        <xdr:cNvPr id="140" name="Image 13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19</xdr:row>
      <xdr:rowOff>0</xdr:rowOff>
    </xdr:from>
    <xdr:to>
      <xdr:col>3</xdr:col>
      <xdr:colOff>47625</xdr:colOff>
      <xdr:row>19</xdr:row>
      <xdr:rowOff>9525</xdr:rowOff>
    </xdr:to>
    <xdr:pic>
      <xdr:nvPicPr>
        <xdr:cNvPr id="141" name="Image 14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19</xdr:row>
      <xdr:rowOff>0</xdr:rowOff>
    </xdr:from>
    <xdr:to>
      <xdr:col>3</xdr:col>
      <xdr:colOff>66675</xdr:colOff>
      <xdr:row>19</xdr:row>
      <xdr:rowOff>9525</xdr:rowOff>
    </xdr:to>
    <xdr:pic>
      <xdr:nvPicPr>
        <xdr:cNvPr id="142" name="Image 14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19</xdr:row>
      <xdr:rowOff>0</xdr:rowOff>
    </xdr:from>
    <xdr:to>
      <xdr:col>3</xdr:col>
      <xdr:colOff>85725</xdr:colOff>
      <xdr:row>19</xdr:row>
      <xdr:rowOff>9525</xdr:rowOff>
    </xdr:to>
    <xdr:pic>
      <xdr:nvPicPr>
        <xdr:cNvPr id="143" name="Image 14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19</xdr:row>
      <xdr:rowOff>0</xdr:rowOff>
    </xdr:from>
    <xdr:to>
      <xdr:col>3</xdr:col>
      <xdr:colOff>104775</xdr:colOff>
      <xdr:row>19</xdr:row>
      <xdr:rowOff>9525</xdr:rowOff>
    </xdr:to>
    <xdr:pic>
      <xdr:nvPicPr>
        <xdr:cNvPr id="144" name="Image 14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19</xdr:row>
      <xdr:rowOff>0</xdr:rowOff>
    </xdr:from>
    <xdr:to>
      <xdr:col>3</xdr:col>
      <xdr:colOff>123825</xdr:colOff>
      <xdr:row>19</xdr:row>
      <xdr:rowOff>9525</xdr:rowOff>
    </xdr:to>
    <xdr:pic>
      <xdr:nvPicPr>
        <xdr:cNvPr id="145" name="Image 14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19</xdr:row>
      <xdr:rowOff>0</xdr:rowOff>
    </xdr:from>
    <xdr:to>
      <xdr:col>3</xdr:col>
      <xdr:colOff>142875</xdr:colOff>
      <xdr:row>19</xdr:row>
      <xdr:rowOff>9525</xdr:rowOff>
    </xdr:to>
    <xdr:pic>
      <xdr:nvPicPr>
        <xdr:cNvPr id="146" name="Image 14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19</xdr:row>
      <xdr:rowOff>0</xdr:rowOff>
    </xdr:from>
    <xdr:to>
      <xdr:col>3</xdr:col>
      <xdr:colOff>161925</xdr:colOff>
      <xdr:row>19</xdr:row>
      <xdr:rowOff>9525</xdr:rowOff>
    </xdr:to>
    <xdr:pic>
      <xdr:nvPicPr>
        <xdr:cNvPr id="147" name="Image 14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19</xdr:row>
      <xdr:rowOff>0</xdr:rowOff>
    </xdr:from>
    <xdr:to>
      <xdr:col>3</xdr:col>
      <xdr:colOff>180975</xdr:colOff>
      <xdr:row>19</xdr:row>
      <xdr:rowOff>9525</xdr:rowOff>
    </xdr:to>
    <xdr:pic>
      <xdr:nvPicPr>
        <xdr:cNvPr id="148" name="Image 14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19</xdr:row>
      <xdr:rowOff>0</xdr:rowOff>
    </xdr:from>
    <xdr:to>
      <xdr:col>3</xdr:col>
      <xdr:colOff>200025</xdr:colOff>
      <xdr:row>19</xdr:row>
      <xdr:rowOff>9525</xdr:rowOff>
    </xdr:to>
    <xdr:pic>
      <xdr:nvPicPr>
        <xdr:cNvPr id="149" name="Image 14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19</xdr:row>
      <xdr:rowOff>0</xdr:rowOff>
    </xdr:from>
    <xdr:to>
      <xdr:col>3</xdr:col>
      <xdr:colOff>219075</xdr:colOff>
      <xdr:row>19</xdr:row>
      <xdr:rowOff>9525</xdr:rowOff>
    </xdr:to>
    <xdr:pic>
      <xdr:nvPicPr>
        <xdr:cNvPr id="150" name="Image 14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19</xdr:row>
      <xdr:rowOff>0</xdr:rowOff>
    </xdr:from>
    <xdr:to>
      <xdr:col>3</xdr:col>
      <xdr:colOff>238125</xdr:colOff>
      <xdr:row>19</xdr:row>
      <xdr:rowOff>9525</xdr:rowOff>
    </xdr:to>
    <xdr:pic>
      <xdr:nvPicPr>
        <xdr:cNvPr id="151" name="Image 15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19</xdr:row>
      <xdr:rowOff>0</xdr:rowOff>
    </xdr:from>
    <xdr:to>
      <xdr:col>3</xdr:col>
      <xdr:colOff>257175</xdr:colOff>
      <xdr:row>19</xdr:row>
      <xdr:rowOff>9525</xdr:rowOff>
    </xdr:to>
    <xdr:pic>
      <xdr:nvPicPr>
        <xdr:cNvPr id="152" name="Image 15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19</xdr:row>
      <xdr:rowOff>0</xdr:rowOff>
    </xdr:from>
    <xdr:to>
      <xdr:col>3</xdr:col>
      <xdr:colOff>276225</xdr:colOff>
      <xdr:row>19</xdr:row>
      <xdr:rowOff>9525</xdr:rowOff>
    </xdr:to>
    <xdr:pic>
      <xdr:nvPicPr>
        <xdr:cNvPr id="153" name="Image 15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19</xdr:row>
      <xdr:rowOff>0</xdr:rowOff>
    </xdr:from>
    <xdr:to>
      <xdr:col>3</xdr:col>
      <xdr:colOff>295275</xdr:colOff>
      <xdr:row>19</xdr:row>
      <xdr:rowOff>9525</xdr:rowOff>
    </xdr:to>
    <xdr:pic>
      <xdr:nvPicPr>
        <xdr:cNvPr id="154" name="Image 15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19</xdr:row>
      <xdr:rowOff>0</xdr:rowOff>
    </xdr:from>
    <xdr:to>
      <xdr:col>3</xdr:col>
      <xdr:colOff>314325</xdr:colOff>
      <xdr:row>19</xdr:row>
      <xdr:rowOff>9525</xdr:rowOff>
    </xdr:to>
    <xdr:pic>
      <xdr:nvPicPr>
        <xdr:cNvPr id="155" name="Image 15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19</xdr:row>
      <xdr:rowOff>0</xdr:rowOff>
    </xdr:from>
    <xdr:to>
      <xdr:col>3</xdr:col>
      <xdr:colOff>333375</xdr:colOff>
      <xdr:row>19</xdr:row>
      <xdr:rowOff>9525</xdr:rowOff>
    </xdr:to>
    <xdr:pic>
      <xdr:nvPicPr>
        <xdr:cNvPr id="156" name="Image 15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19</xdr:row>
      <xdr:rowOff>0</xdr:rowOff>
    </xdr:from>
    <xdr:to>
      <xdr:col>3</xdr:col>
      <xdr:colOff>352425</xdr:colOff>
      <xdr:row>19</xdr:row>
      <xdr:rowOff>9525</xdr:rowOff>
    </xdr:to>
    <xdr:pic>
      <xdr:nvPicPr>
        <xdr:cNvPr id="157" name="Image 15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19</xdr:row>
      <xdr:rowOff>0</xdr:rowOff>
    </xdr:from>
    <xdr:to>
      <xdr:col>3</xdr:col>
      <xdr:colOff>371475</xdr:colOff>
      <xdr:row>19</xdr:row>
      <xdr:rowOff>9525</xdr:rowOff>
    </xdr:to>
    <xdr:pic>
      <xdr:nvPicPr>
        <xdr:cNvPr id="158" name="Image 15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19</xdr:row>
      <xdr:rowOff>0</xdr:rowOff>
    </xdr:from>
    <xdr:to>
      <xdr:col>3</xdr:col>
      <xdr:colOff>390525</xdr:colOff>
      <xdr:row>19</xdr:row>
      <xdr:rowOff>9525</xdr:rowOff>
    </xdr:to>
    <xdr:pic>
      <xdr:nvPicPr>
        <xdr:cNvPr id="159" name="Image 15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19</xdr:row>
      <xdr:rowOff>0</xdr:rowOff>
    </xdr:from>
    <xdr:to>
      <xdr:col>3</xdr:col>
      <xdr:colOff>409575</xdr:colOff>
      <xdr:row>19</xdr:row>
      <xdr:rowOff>9525</xdr:rowOff>
    </xdr:to>
    <xdr:pic>
      <xdr:nvPicPr>
        <xdr:cNvPr id="160" name="Image 15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19</xdr:row>
      <xdr:rowOff>0</xdr:rowOff>
    </xdr:from>
    <xdr:to>
      <xdr:col>3</xdr:col>
      <xdr:colOff>428625</xdr:colOff>
      <xdr:row>19</xdr:row>
      <xdr:rowOff>9525</xdr:rowOff>
    </xdr:to>
    <xdr:pic>
      <xdr:nvPicPr>
        <xdr:cNvPr id="161" name="Image 16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19</xdr:row>
      <xdr:rowOff>0</xdr:rowOff>
    </xdr:from>
    <xdr:to>
      <xdr:col>3</xdr:col>
      <xdr:colOff>447675</xdr:colOff>
      <xdr:row>19</xdr:row>
      <xdr:rowOff>9525</xdr:rowOff>
    </xdr:to>
    <xdr:pic>
      <xdr:nvPicPr>
        <xdr:cNvPr id="162" name="Image 16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19</xdr:row>
      <xdr:rowOff>0</xdr:rowOff>
    </xdr:from>
    <xdr:to>
      <xdr:col>3</xdr:col>
      <xdr:colOff>466725</xdr:colOff>
      <xdr:row>19</xdr:row>
      <xdr:rowOff>9525</xdr:rowOff>
    </xdr:to>
    <xdr:pic>
      <xdr:nvPicPr>
        <xdr:cNvPr id="163" name="Image 16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19</xdr:row>
      <xdr:rowOff>0</xdr:rowOff>
    </xdr:from>
    <xdr:to>
      <xdr:col>3</xdr:col>
      <xdr:colOff>485775</xdr:colOff>
      <xdr:row>19</xdr:row>
      <xdr:rowOff>9525</xdr:rowOff>
    </xdr:to>
    <xdr:pic>
      <xdr:nvPicPr>
        <xdr:cNvPr id="164" name="Image 16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19</xdr:row>
      <xdr:rowOff>0</xdr:rowOff>
    </xdr:from>
    <xdr:to>
      <xdr:col>3</xdr:col>
      <xdr:colOff>504825</xdr:colOff>
      <xdr:row>19</xdr:row>
      <xdr:rowOff>9525</xdr:rowOff>
    </xdr:to>
    <xdr:pic>
      <xdr:nvPicPr>
        <xdr:cNvPr id="165" name="Image 16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19</xdr:row>
      <xdr:rowOff>0</xdr:rowOff>
    </xdr:from>
    <xdr:to>
      <xdr:col>3</xdr:col>
      <xdr:colOff>523875</xdr:colOff>
      <xdr:row>19</xdr:row>
      <xdr:rowOff>9525</xdr:rowOff>
    </xdr:to>
    <xdr:pic>
      <xdr:nvPicPr>
        <xdr:cNvPr id="166" name="Image 16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19</xdr:row>
      <xdr:rowOff>0</xdr:rowOff>
    </xdr:from>
    <xdr:to>
      <xdr:col>3</xdr:col>
      <xdr:colOff>542925</xdr:colOff>
      <xdr:row>19</xdr:row>
      <xdr:rowOff>9525</xdr:rowOff>
    </xdr:to>
    <xdr:pic>
      <xdr:nvPicPr>
        <xdr:cNvPr id="167" name="Image 16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19</xdr:row>
      <xdr:rowOff>0</xdr:rowOff>
    </xdr:from>
    <xdr:to>
      <xdr:col>3</xdr:col>
      <xdr:colOff>561975</xdr:colOff>
      <xdr:row>19</xdr:row>
      <xdr:rowOff>9525</xdr:rowOff>
    </xdr:to>
    <xdr:pic>
      <xdr:nvPicPr>
        <xdr:cNvPr id="168" name="Image 16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16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9525</xdr:colOff>
      <xdr:row>32</xdr:row>
      <xdr:rowOff>9525</xdr:rowOff>
    </xdr:to>
    <xdr:pic>
      <xdr:nvPicPr>
        <xdr:cNvPr id="169" name="Image 16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32</xdr:row>
      <xdr:rowOff>0</xdr:rowOff>
    </xdr:from>
    <xdr:to>
      <xdr:col>3</xdr:col>
      <xdr:colOff>28575</xdr:colOff>
      <xdr:row>32</xdr:row>
      <xdr:rowOff>9525</xdr:rowOff>
    </xdr:to>
    <xdr:pic>
      <xdr:nvPicPr>
        <xdr:cNvPr id="170" name="Image 16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32</xdr:row>
      <xdr:rowOff>0</xdr:rowOff>
    </xdr:from>
    <xdr:to>
      <xdr:col>3</xdr:col>
      <xdr:colOff>47625</xdr:colOff>
      <xdr:row>32</xdr:row>
      <xdr:rowOff>9525</xdr:rowOff>
    </xdr:to>
    <xdr:pic>
      <xdr:nvPicPr>
        <xdr:cNvPr id="171" name="Image 17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32</xdr:row>
      <xdr:rowOff>0</xdr:rowOff>
    </xdr:from>
    <xdr:to>
      <xdr:col>3</xdr:col>
      <xdr:colOff>66675</xdr:colOff>
      <xdr:row>32</xdr:row>
      <xdr:rowOff>9525</xdr:rowOff>
    </xdr:to>
    <xdr:pic>
      <xdr:nvPicPr>
        <xdr:cNvPr id="172" name="Image 17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32</xdr:row>
      <xdr:rowOff>0</xdr:rowOff>
    </xdr:from>
    <xdr:to>
      <xdr:col>3</xdr:col>
      <xdr:colOff>85725</xdr:colOff>
      <xdr:row>32</xdr:row>
      <xdr:rowOff>9525</xdr:rowOff>
    </xdr:to>
    <xdr:pic>
      <xdr:nvPicPr>
        <xdr:cNvPr id="173" name="Image 17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32</xdr:row>
      <xdr:rowOff>0</xdr:rowOff>
    </xdr:from>
    <xdr:to>
      <xdr:col>3</xdr:col>
      <xdr:colOff>104775</xdr:colOff>
      <xdr:row>32</xdr:row>
      <xdr:rowOff>9525</xdr:rowOff>
    </xdr:to>
    <xdr:pic>
      <xdr:nvPicPr>
        <xdr:cNvPr id="174" name="Image 17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32</xdr:row>
      <xdr:rowOff>0</xdr:rowOff>
    </xdr:from>
    <xdr:to>
      <xdr:col>3</xdr:col>
      <xdr:colOff>123825</xdr:colOff>
      <xdr:row>32</xdr:row>
      <xdr:rowOff>9525</xdr:rowOff>
    </xdr:to>
    <xdr:pic>
      <xdr:nvPicPr>
        <xdr:cNvPr id="175" name="Image 17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32</xdr:row>
      <xdr:rowOff>0</xdr:rowOff>
    </xdr:from>
    <xdr:to>
      <xdr:col>3</xdr:col>
      <xdr:colOff>142875</xdr:colOff>
      <xdr:row>32</xdr:row>
      <xdr:rowOff>9525</xdr:rowOff>
    </xdr:to>
    <xdr:pic>
      <xdr:nvPicPr>
        <xdr:cNvPr id="176" name="Image 17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32</xdr:row>
      <xdr:rowOff>0</xdr:rowOff>
    </xdr:from>
    <xdr:to>
      <xdr:col>3</xdr:col>
      <xdr:colOff>161925</xdr:colOff>
      <xdr:row>32</xdr:row>
      <xdr:rowOff>9525</xdr:rowOff>
    </xdr:to>
    <xdr:pic>
      <xdr:nvPicPr>
        <xdr:cNvPr id="177" name="Image 17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32</xdr:row>
      <xdr:rowOff>0</xdr:rowOff>
    </xdr:from>
    <xdr:to>
      <xdr:col>3</xdr:col>
      <xdr:colOff>180975</xdr:colOff>
      <xdr:row>32</xdr:row>
      <xdr:rowOff>9525</xdr:rowOff>
    </xdr:to>
    <xdr:pic>
      <xdr:nvPicPr>
        <xdr:cNvPr id="178" name="Image 17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32</xdr:row>
      <xdr:rowOff>0</xdr:rowOff>
    </xdr:from>
    <xdr:to>
      <xdr:col>3</xdr:col>
      <xdr:colOff>200025</xdr:colOff>
      <xdr:row>32</xdr:row>
      <xdr:rowOff>9525</xdr:rowOff>
    </xdr:to>
    <xdr:pic>
      <xdr:nvPicPr>
        <xdr:cNvPr id="179" name="Image 17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32</xdr:row>
      <xdr:rowOff>0</xdr:rowOff>
    </xdr:from>
    <xdr:to>
      <xdr:col>3</xdr:col>
      <xdr:colOff>219075</xdr:colOff>
      <xdr:row>32</xdr:row>
      <xdr:rowOff>9525</xdr:rowOff>
    </xdr:to>
    <xdr:pic>
      <xdr:nvPicPr>
        <xdr:cNvPr id="180" name="Image 17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32</xdr:row>
      <xdr:rowOff>0</xdr:rowOff>
    </xdr:from>
    <xdr:to>
      <xdr:col>3</xdr:col>
      <xdr:colOff>238125</xdr:colOff>
      <xdr:row>32</xdr:row>
      <xdr:rowOff>9525</xdr:rowOff>
    </xdr:to>
    <xdr:pic>
      <xdr:nvPicPr>
        <xdr:cNvPr id="181" name="Image 18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32</xdr:row>
      <xdr:rowOff>0</xdr:rowOff>
    </xdr:from>
    <xdr:to>
      <xdr:col>3</xdr:col>
      <xdr:colOff>257175</xdr:colOff>
      <xdr:row>32</xdr:row>
      <xdr:rowOff>9525</xdr:rowOff>
    </xdr:to>
    <xdr:pic>
      <xdr:nvPicPr>
        <xdr:cNvPr id="182" name="Image 18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32</xdr:row>
      <xdr:rowOff>0</xdr:rowOff>
    </xdr:from>
    <xdr:to>
      <xdr:col>3</xdr:col>
      <xdr:colOff>276225</xdr:colOff>
      <xdr:row>32</xdr:row>
      <xdr:rowOff>9525</xdr:rowOff>
    </xdr:to>
    <xdr:pic>
      <xdr:nvPicPr>
        <xdr:cNvPr id="183" name="Image 18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32</xdr:row>
      <xdr:rowOff>0</xdr:rowOff>
    </xdr:from>
    <xdr:to>
      <xdr:col>3</xdr:col>
      <xdr:colOff>295275</xdr:colOff>
      <xdr:row>32</xdr:row>
      <xdr:rowOff>9525</xdr:rowOff>
    </xdr:to>
    <xdr:pic>
      <xdr:nvPicPr>
        <xdr:cNvPr id="184" name="Image 18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32</xdr:row>
      <xdr:rowOff>0</xdr:rowOff>
    </xdr:from>
    <xdr:to>
      <xdr:col>3</xdr:col>
      <xdr:colOff>314325</xdr:colOff>
      <xdr:row>32</xdr:row>
      <xdr:rowOff>9525</xdr:rowOff>
    </xdr:to>
    <xdr:pic>
      <xdr:nvPicPr>
        <xdr:cNvPr id="185" name="Image 18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32</xdr:row>
      <xdr:rowOff>0</xdr:rowOff>
    </xdr:from>
    <xdr:to>
      <xdr:col>3</xdr:col>
      <xdr:colOff>333375</xdr:colOff>
      <xdr:row>32</xdr:row>
      <xdr:rowOff>9525</xdr:rowOff>
    </xdr:to>
    <xdr:pic>
      <xdr:nvPicPr>
        <xdr:cNvPr id="186" name="Image 18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32</xdr:row>
      <xdr:rowOff>0</xdr:rowOff>
    </xdr:from>
    <xdr:to>
      <xdr:col>3</xdr:col>
      <xdr:colOff>352425</xdr:colOff>
      <xdr:row>32</xdr:row>
      <xdr:rowOff>9525</xdr:rowOff>
    </xdr:to>
    <xdr:pic>
      <xdr:nvPicPr>
        <xdr:cNvPr id="187" name="Image 18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32</xdr:row>
      <xdr:rowOff>0</xdr:rowOff>
    </xdr:from>
    <xdr:to>
      <xdr:col>3</xdr:col>
      <xdr:colOff>371475</xdr:colOff>
      <xdr:row>32</xdr:row>
      <xdr:rowOff>9525</xdr:rowOff>
    </xdr:to>
    <xdr:pic>
      <xdr:nvPicPr>
        <xdr:cNvPr id="188" name="Image 18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32</xdr:row>
      <xdr:rowOff>0</xdr:rowOff>
    </xdr:from>
    <xdr:to>
      <xdr:col>3</xdr:col>
      <xdr:colOff>390525</xdr:colOff>
      <xdr:row>32</xdr:row>
      <xdr:rowOff>9525</xdr:rowOff>
    </xdr:to>
    <xdr:pic>
      <xdr:nvPicPr>
        <xdr:cNvPr id="189" name="Image 18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32</xdr:row>
      <xdr:rowOff>0</xdr:rowOff>
    </xdr:from>
    <xdr:to>
      <xdr:col>3</xdr:col>
      <xdr:colOff>409575</xdr:colOff>
      <xdr:row>32</xdr:row>
      <xdr:rowOff>9525</xdr:rowOff>
    </xdr:to>
    <xdr:pic>
      <xdr:nvPicPr>
        <xdr:cNvPr id="190" name="Image 18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32</xdr:row>
      <xdr:rowOff>0</xdr:rowOff>
    </xdr:from>
    <xdr:to>
      <xdr:col>3</xdr:col>
      <xdr:colOff>428625</xdr:colOff>
      <xdr:row>32</xdr:row>
      <xdr:rowOff>9525</xdr:rowOff>
    </xdr:to>
    <xdr:pic>
      <xdr:nvPicPr>
        <xdr:cNvPr id="191" name="Image 19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32</xdr:row>
      <xdr:rowOff>0</xdr:rowOff>
    </xdr:from>
    <xdr:to>
      <xdr:col>3</xdr:col>
      <xdr:colOff>447675</xdr:colOff>
      <xdr:row>32</xdr:row>
      <xdr:rowOff>9525</xdr:rowOff>
    </xdr:to>
    <xdr:pic>
      <xdr:nvPicPr>
        <xdr:cNvPr id="192" name="Image 19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32</xdr:row>
      <xdr:rowOff>0</xdr:rowOff>
    </xdr:from>
    <xdr:to>
      <xdr:col>3</xdr:col>
      <xdr:colOff>466725</xdr:colOff>
      <xdr:row>32</xdr:row>
      <xdr:rowOff>9525</xdr:rowOff>
    </xdr:to>
    <xdr:pic>
      <xdr:nvPicPr>
        <xdr:cNvPr id="193" name="Image 19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32</xdr:row>
      <xdr:rowOff>0</xdr:rowOff>
    </xdr:from>
    <xdr:to>
      <xdr:col>3</xdr:col>
      <xdr:colOff>485775</xdr:colOff>
      <xdr:row>32</xdr:row>
      <xdr:rowOff>9525</xdr:rowOff>
    </xdr:to>
    <xdr:pic>
      <xdr:nvPicPr>
        <xdr:cNvPr id="194" name="Image 19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32</xdr:row>
      <xdr:rowOff>0</xdr:rowOff>
    </xdr:from>
    <xdr:to>
      <xdr:col>3</xdr:col>
      <xdr:colOff>504825</xdr:colOff>
      <xdr:row>32</xdr:row>
      <xdr:rowOff>9525</xdr:rowOff>
    </xdr:to>
    <xdr:pic>
      <xdr:nvPicPr>
        <xdr:cNvPr id="195" name="Image 19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701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9525</xdr:colOff>
      <xdr:row>33</xdr:row>
      <xdr:rowOff>9525</xdr:rowOff>
    </xdr:to>
    <xdr:pic>
      <xdr:nvPicPr>
        <xdr:cNvPr id="196" name="Image 19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33</xdr:row>
      <xdr:rowOff>0</xdr:rowOff>
    </xdr:from>
    <xdr:to>
      <xdr:col>3</xdr:col>
      <xdr:colOff>28575</xdr:colOff>
      <xdr:row>33</xdr:row>
      <xdr:rowOff>9525</xdr:rowOff>
    </xdr:to>
    <xdr:pic>
      <xdr:nvPicPr>
        <xdr:cNvPr id="197" name="Image 19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33</xdr:row>
      <xdr:rowOff>0</xdr:rowOff>
    </xdr:from>
    <xdr:to>
      <xdr:col>3</xdr:col>
      <xdr:colOff>47625</xdr:colOff>
      <xdr:row>33</xdr:row>
      <xdr:rowOff>9525</xdr:rowOff>
    </xdr:to>
    <xdr:pic>
      <xdr:nvPicPr>
        <xdr:cNvPr id="198" name="Image 19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33</xdr:row>
      <xdr:rowOff>0</xdr:rowOff>
    </xdr:from>
    <xdr:to>
      <xdr:col>3</xdr:col>
      <xdr:colOff>66675</xdr:colOff>
      <xdr:row>33</xdr:row>
      <xdr:rowOff>9525</xdr:rowOff>
    </xdr:to>
    <xdr:pic>
      <xdr:nvPicPr>
        <xdr:cNvPr id="199" name="Image 19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33</xdr:row>
      <xdr:rowOff>0</xdr:rowOff>
    </xdr:from>
    <xdr:to>
      <xdr:col>3</xdr:col>
      <xdr:colOff>85725</xdr:colOff>
      <xdr:row>33</xdr:row>
      <xdr:rowOff>9525</xdr:rowOff>
    </xdr:to>
    <xdr:pic>
      <xdr:nvPicPr>
        <xdr:cNvPr id="200" name="Image 19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33</xdr:row>
      <xdr:rowOff>0</xdr:rowOff>
    </xdr:from>
    <xdr:to>
      <xdr:col>3</xdr:col>
      <xdr:colOff>104775</xdr:colOff>
      <xdr:row>33</xdr:row>
      <xdr:rowOff>9525</xdr:rowOff>
    </xdr:to>
    <xdr:pic>
      <xdr:nvPicPr>
        <xdr:cNvPr id="201" name="Image 20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33</xdr:row>
      <xdr:rowOff>0</xdr:rowOff>
    </xdr:from>
    <xdr:to>
      <xdr:col>3</xdr:col>
      <xdr:colOff>123825</xdr:colOff>
      <xdr:row>33</xdr:row>
      <xdr:rowOff>9525</xdr:rowOff>
    </xdr:to>
    <xdr:pic>
      <xdr:nvPicPr>
        <xdr:cNvPr id="202" name="Image 20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33</xdr:row>
      <xdr:rowOff>0</xdr:rowOff>
    </xdr:from>
    <xdr:to>
      <xdr:col>3</xdr:col>
      <xdr:colOff>142875</xdr:colOff>
      <xdr:row>33</xdr:row>
      <xdr:rowOff>9525</xdr:rowOff>
    </xdr:to>
    <xdr:pic>
      <xdr:nvPicPr>
        <xdr:cNvPr id="203" name="Image 20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33</xdr:row>
      <xdr:rowOff>0</xdr:rowOff>
    </xdr:from>
    <xdr:to>
      <xdr:col>3</xdr:col>
      <xdr:colOff>161925</xdr:colOff>
      <xdr:row>33</xdr:row>
      <xdr:rowOff>9525</xdr:rowOff>
    </xdr:to>
    <xdr:pic>
      <xdr:nvPicPr>
        <xdr:cNvPr id="204" name="Image 20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33</xdr:row>
      <xdr:rowOff>0</xdr:rowOff>
    </xdr:from>
    <xdr:to>
      <xdr:col>3</xdr:col>
      <xdr:colOff>180975</xdr:colOff>
      <xdr:row>33</xdr:row>
      <xdr:rowOff>9525</xdr:rowOff>
    </xdr:to>
    <xdr:pic>
      <xdr:nvPicPr>
        <xdr:cNvPr id="205" name="Image 20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33</xdr:row>
      <xdr:rowOff>0</xdr:rowOff>
    </xdr:from>
    <xdr:to>
      <xdr:col>3</xdr:col>
      <xdr:colOff>200025</xdr:colOff>
      <xdr:row>33</xdr:row>
      <xdr:rowOff>9525</xdr:rowOff>
    </xdr:to>
    <xdr:pic>
      <xdr:nvPicPr>
        <xdr:cNvPr id="206" name="Image 20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33</xdr:row>
      <xdr:rowOff>0</xdr:rowOff>
    </xdr:from>
    <xdr:to>
      <xdr:col>3</xdr:col>
      <xdr:colOff>219075</xdr:colOff>
      <xdr:row>33</xdr:row>
      <xdr:rowOff>9525</xdr:rowOff>
    </xdr:to>
    <xdr:pic>
      <xdr:nvPicPr>
        <xdr:cNvPr id="207" name="Image 20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33</xdr:row>
      <xdr:rowOff>0</xdr:rowOff>
    </xdr:from>
    <xdr:to>
      <xdr:col>3</xdr:col>
      <xdr:colOff>238125</xdr:colOff>
      <xdr:row>33</xdr:row>
      <xdr:rowOff>9525</xdr:rowOff>
    </xdr:to>
    <xdr:pic>
      <xdr:nvPicPr>
        <xdr:cNvPr id="208" name="Image 20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33</xdr:row>
      <xdr:rowOff>0</xdr:rowOff>
    </xdr:from>
    <xdr:to>
      <xdr:col>3</xdr:col>
      <xdr:colOff>257175</xdr:colOff>
      <xdr:row>33</xdr:row>
      <xdr:rowOff>9525</xdr:rowOff>
    </xdr:to>
    <xdr:pic>
      <xdr:nvPicPr>
        <xdr:cNvPr id="209" name="Image 20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33</xdr:row>
      <xdr:rowOff>0</xdr:rowOff>
    </xdr:from>
    <xdr:to>
      <xdr:col>3</xdr:col>
      <xdr:colOff>276225</xdr:colOff>
      <xdr:row>33</xdr:row>
      <xdr:rowOff>9525</xdr:rowOff>
    </xdr:to>
    <xdr:pic>
      <xdr:nvPicPr>
        <xdr:cNvPr id="210" name="Image 20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33</xdr:row>
      <xdr:rowOff>0</xdr:rowOff>
    </xdr:from>
    <xdr:to>
      <xdr:col>3</xdr:col>
      <xdr:colOff>295275</xdr:colOff>
      <xdr:row>33</xdr:row>
      <xdr:rowOff>9525</xdr:rowOff>
    </xdr:to>
    <xdr:pic>
      <xdr:nvPicPr>
        <xdr:cNvPr id="211" name="Image 21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33</xdr:row>
      <xdr:rowOff>0</xdr:rowOff>
    </xdr:from>
    <xdr:to>
      <xdr:col>3</xdr:col>
      <xdr:colOff>314325</xdr:colOff>
      <xdr:row>33</xdr:row>
      <xdr:rowOff>9525</xdr:rowOff>
    </xdr:to>
    <xdr:pic>
      <xdr:nvPicPr>
        <xdr:cNvPr id="212" name="Image 21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33</xdr:row>
      <xdr:rowOff>0</xdr:rowOff>
    </xdr:from>
    <xdr:to>
      <xdr:col>3</xdr:col>
      <xdr:colOff>333375</xdr:colOff>
      <xdr:row>33</xdr:row>
      <xdr:rowOff>9525</xdr:rowOff>
    </xdr:to>
    <xdr:pic>
      <xdr:nvPicPr>
        <xdr:cNvPr id="213" name="Image 21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33</xdr:row>
      <xdr:rowOff>0</xdr:rowOff>
    </xdr:from>
    <xdr:to>
      <xdr:col>3</xdr:col>
      <xdr:colOff>352425</xdr:colOff>
      <xdr:row>33</xdr:row>
      <xdr:rowOff>9525</xdr:rowOff>
    </xdr:to>
    <xdr:pic>
      <xdr:nvPicPr>
        <xdr:cNvPr id="214" name="Image 21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33</xdr:row>
      <xdr:rowOff>0</xdr:rowOff>
    </xdr:from>
    <xdr:to>
      <xdr:col>3</xdr:col>
      <xdr:colOff>371475</xdr:colOff>
      <xdr:row>33</xdr:row>
      <xdr:rowOff>9525</xdr:rowOff>
    </xdr:to>
    <xdr:pic>
      <xdr:nvPicPr>
        <xdr:cNvPr id="215" name="Image 21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33</xdr:row>
      <xdr:rowOff>0</xdr:rowOff>
    </xdr:from>
    <xdr:to>
      <xdr:col>3</xdr:col>
      <xdr:colOff>390525</xdr:colOff>
      <xdr:row>33</xdr:row>
      <xdr:rowOff>9525</xdr:rowOff>
    </xdr:to>
    <xdr:pic>
      <xdr:nvPicPr>
        <xdr:cNvPr id="216" name="Image 21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33</xdr:row>
      <xdr:rowOff>0</xdr:rowOff>
    </xdr:from>
    <xdr:to>
      <xdr:col>3</xdr:col>
      <xdr:colOff>409575</xdr:colOff>
      <xdr:row>33</xdr:row>
      <xdr:rowOff>9525</xdr:rowOff>
    </xdr:to>
    <xdr:pic>
      <xdr:nvPicPr>
        <xdr:cNvPr id="217" name="Image 21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33</xdr:row>
      <xdr:rowOff>0</xdr:rowOff>
    </xdr:from>
    <xdr:to>
      <xdr:col>3</xdr:col>
      <xdr:colOff>428625</xdr:colOff>
      <xdr:row>33</xdr:row>
      <xdr:rowOff>9525</xdr:rowOff>
    </xdr:to>
    <xdr:pic>
      <xdr:nvPicPr>
        <xdr:cNvPr id="218" name="Image 21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33</xdr:row>
      <xdr:rowOff>0</xdr:rowOff>
    </xdr:from>
    <xdr:to>
      <xdr:col>3</xdr:col>
      <xdr:colOff>447675</xdr:colOff>
      <xdr:row>33</xdr:row>
      <xdr:rowOff>9525</xdr:rowOff>
    </xdr:to>
    <xdr:pic>
      <xdr:nvPicPr>
        <xdr:cNvPr id="219" name="Image 21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33</xdr:row>
      <xdr:rowOff>0</xdr:rowOff>
    </xdr:from>
    <xdr:to>
      <xdr:col>3</xdr:col>
      <xdr:colOff>466725</xdr:colOff>
      <xdr:row>33</xdr:row>
      <xdr:rowOff>9525</xdr:rowOff>
    </xdr:to>
    <xdr:pic>
      <xdr:nvPicPr>
        <xdr:cNvPr id="220" name="Image 21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229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9525</xdr:colOff>
      <xdr:row>34</xdr:row>
      <xdr:rowOff>9525</xdr:rowOff>
    </xdr:to>
    <xdr:pic>
      <xdr:nvPicPr>
        <xdr:cNvPr id="221" name="Image 22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34</xdr:row>
      <xdr:rowOff>0</xdr:rowOff>
    </xdr:from>
    <xdr:to>
      <xdr:col>3</xdr:col>
      <xdr:colOff>28575</xdr:colOff>
      <xdr:row>34</xdr:row>
      <xdr:rowOff>9525</xdr:rowOff>
    </xdr:to>
    <xdr:pic>
      <xdr:nvPicPr>
        <xdr:cNvPr id="222" name="Image 22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34</xdr:row>
      <xdr:rowOff>0</xdr:rowOff>
    </xdr:from>
    <xdr:to>
      <xdr:col>3</xdr:col>
      <xdr:colOff>47625</xdr:colOff>
      <xdr:row>34</xdr:row>
      <xdr:rowOff>9525</xdr:rowOff>
    </xdr:to>
    <xdr:pic>
      <xdr:nvPicPr>
        <xdr:cNvPr id="223" name="Image 22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34</xdr:row>
      <xdr:rowOff>0</xdr:rowOff>
    </xdr:from>
    <xdr:to>
      <xdr:col>3</xdr:col>
      <xdr:colOff>66675</xdr:colOff>
      <xdr:row>34</xdr:row>
      <xdr:rowOff>9525</xdr:rowOff>
    </xdr:to>
    <xdr:pic>
      <xdr:nvPicPr>
        <xdr:cNvPr id="224" name="Image 22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34</xdr:row>
      <xdr:rowOff>0</xdr:rowOff>
    </xdr:from>
    <xdr:to>
      <xdr:col>3</xdr:col>
      <xdr:colOff>85725</xdr:colOff>
      <xdr:row>34</xdr:row>
      <xdr:rowOff>9525</xdr:rowOff>
    </xdr:to>
    <xdr:pic>
      <xdr:nvPicPr>
        <xdr:cNvPr id="225" name="Image 22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34</xdr:row>
      <xdr:rowOff>0</xdr:rowOff>
    </xdr:from>
    <xdr:to>
      <xdr:col>3</xdr:col>
      <xdr:colOff>104775</xdr:colOff>
      <xdr:row>34</xdr:row>
      <xdr:rowOff>9525</xdr:rowOff>
    </xdr:to>
    <xdr:pic>
      <xdr:nvPicPr>
        <xdr:cNvPr id="226" name="Image 22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34</xdr:row>
      <xdr:rowOff>0</xdr:rowOff>
    </xdr:from>
    <xdr:to>
      <xdr:col>3</xdr:col>
      <xdr:colOff>123825</xdr:colOff>
      <xdr:row>34</xdr:row>
      <xdr:rowOff>9525</xdr:rowOff>
    </xdr:to>
    <xdr:pic>
      <xdr:nvPicPr>
        <xdr:cNvPr id="227" name="Image 22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34</xdr:row>
      <xdr:rowOff>0</xdr:rowOff>
    </xdr:from>
    <xdr:to>
      <xdr:col>3</xdr:col>
      <xdr:colOff>142875</xdr:colOff>
      <xdr:row>34</xdr:row>
      <xdr:rowOff>9525</xdr:rowOff>
    </xdr:to>
    <xdr:pic>
      <xdr:nvPicPr>
        <xdr:cNvPr id="228" name="Image 22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34</xdr:row>
      <xdr:rowOff>0</xdr:rowOff>
    </xdr:from>
    <xdr:to>
      <xdr:col>3</xdr:col>
      <xdr:colOff>161925</xdr:colOff>
      <xdr:row>34</xdr:row>
      <xdr:rowOff>9525</xdr:rowOff>
    </xdr:to>
    <xdr:pic>
      <xdr:nvPicPr>
        <xdr:cNvPr id="229" name="Image 22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34</xdr:row>
      <xdr:rowOff>0</xdr:rowOff>
    </xdr:from>
    <xdr:to>
      <xdr:col>3</xdr:col>
      <xdr:colOff>180975</xdr:colOff>
      <xdr:row>34</xdr:row>
      <xdr:rowOff>9525</xdr:rowOff>
    </xdr:to>
    <xdr:pic>
      <xdr:nvPicPr>
        <xdr:cNvPr id="230" name="Image 22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34</xdr:row>
      <xdr:rowOff>0</xdr:rowOff>
    </xdr:from>
    <xdr:to>
      <xdr:col>3</xdr:col>
      <xdr:colOff>200025</xdr:colOff>
      <xdr:row>34</xdr:row>
      <xdr:rowOff>9525</xdr:rowOff>
    </xdr:to>
    <xdr:pic>
      <xdr:nvPicPr>
        <xdr:cNvPr id="231" name="Image 23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34</xdr:row>
      <xdr:rowOff>0</xdr:rowOff>
    </xdr:from>
    <xdr:to>
      <xdr:col>3</xdr:col>
      <xdr:colOff>219075</xdr:colOff>
      <xdr:row>34</xdr:row>
      <xdr:rowOff>9525</xdr:rowOff>
    </xdr:to>
    <xdr:pic>
      <xdr:nvPicPr>
        <xdr:cNvPr id="232" name="Image 23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34</xdr:row>
      <xdr:rowOff>0</xdr:rowOff>
    </xdr:from>
    <xdr:to>
      <xdr:col>3</xdr:col>
      <xdr:colOff>238125</xdr:colOff>
      <xdr:row>34</xdr:row>
      <xdr:rowOff>9525</xdr:rowOff>
    </xdr:to>
    <xdr:pic>
      <xdr:nvPicPr>
        <xdr:cNvPr id="233" name="Image 23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34</xdr:row>
      <xdr:rowOff>0</xdr:rowOff>
    </xdr:from>
    <xdr:to>
      <xdr:col>3</xdr:col>
      <xdr:colOff>257175</xdr:colOff>
      <xdr:row>34</xdr:row>
      <xdr:rowOff>9525</xdr:rowOff>
    </xdr:to>
    <xdr:pic>
      <xdr:nvPicPr>
        <xdr:cNvPr id="234" name="Image 23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34</xdr:row>
      <xdr:rowOff>0</xdr:rowOff>
    </xdr:from>
    <xdr:to>
      <xdr:col>3</xdr:col>
      <xdr:colOff>276225</xdr:colOff>
      <xdr:row>34</xdr:row>
      <xdr:rowOff>9525</xdr:rowOff>
    </xdr:to>
    <xdr:pic>
      <xdr:nvPicPr>
        <xdr:cNvPr id="235" name="Image 23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34</xdr:row>
      <xdr:rowOff>0</xdr:rowOff>
    </xdr:from>
    <xdr:to>
      <xdr:col>3</xdr:col>
      <xdr:colOff>295275</xdr:colOff>
      <xdr:row>34</xdr:row>
      <xdr:rowOff>9525</xdr:rowOff>
    </xdr:to>
    <xdr:pic>
      <xdr:nvPicPr>
        <xdr:cNvPr id="236" name="Image 23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34</xdr:row>
      <xdr:rowOff>0</xdr:rowOff>
    </xdr:from>
    <xdr:to>
      <xdr:col>3</xdr:col>
      <xdr:colOff>314325</xdr:colOff>
      <xdr:row>34</xdr:row>
      <xdr:rowOff>9525</xdr:rowOff>
    </xdr:to>
    <xdr:pic>
      <xdr:nvPicPr>
        <xdr:cNvPr id="237" name="Image 23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34</xdr:row>
      <xdr:rowOff>0</xdr:rowOff>
    </xdr:from>
    <xdr:to>
      <xdr:col>3</xdr:col>
      <xdr:colOff>333375</xdr:colOff>
      <xdr:row>34</xdr:row>
      <xdr:rowOff>9525</xdr:rowOff>
    </xdr:to>
    <xdr:pic>
      <xdr:nvPicPr>
        <xdr:cNvPr id="238" name="Image 23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34</xdr:row>
      <xdr:rowOff>0</xdr:rowOff>
    </xdr:from>
    <xdr:to>
      <xdr:col>3</xdr:col>
      <xdr:colOff>352425</xdr:colOff>
      <xdr:row>34</xdr:row>
      <xdr:rowOff>9525</xdr:rowOff>
    </xdr:to>
    <xdr:pic>
      <xdr:nvPicPr>
        <xdr:cNvPr id="239" name="Image 23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34</xdr:row>
      <xdr:rowOff>0</xdr:rowOff>
    </xdr:from>
    <xdr:to>
      <xdr:col>3</xdr:col>
      <xdr:colOff>371475</xdr:colOff>
      <xdr:row>34</xdr:row>
      <xdr:rowOff>9525</xdr:rowOff>
    </xdr:to>
    <xdr:pic>
      <xdr:nvPicPr>
        <xdr:cNvPr id="240" name="Image 23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34</xdr:row>
      <xdr:rowOff>0</xdr:rowOff>
    </xdr:from>
    <xdr:to>
      <xdr:col>3</xdr:col>
      <xdr:colOff>390525</xdr:colOff>
      <xdr:row>34</xdr:row>
      <xdr:rowOff>9525</xdr:rowOff>
    </xdr:to>
    <xdr:pic>
      <xdr:nvPicPr>
        <xdr:cNvPr id="241" name="Image 24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34</xdr:row>
      <xdr:rowOff>0</xdr:rowOff>
    </xdr:from>
    <xdr:to>
      <xdr:col>3</xdr:col>
      <xdr:colOff>409575</xdr:colOff>
      <xdr:row>34</xdr:row>
      <xdr:rowOff>9525</xdr:rowOff>
    </xdr:to>
    <xdr:pic>
      <xdr:nvPicPr>
        <xdr:cNvPr id="242" name="Image 24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34</xdr:row>
      <xdr:rowOff>0</xdr:rowOff>
    </xdr:from>
    <xdr:to>
      <xdr:col>3</xdr:col>
      <xdr:colOff>428625</xdr:colOff>
      <xdr:row>34</xdr:row>
      <xdr:rowOff>9525</xdr:rowOff>
    </xdr:to>
    <xdr:pic>
      <xdr:nvPicPr>
        <xdr:cNvPr id="243" name="Image 24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34</xdr:row>
      <xdr:rowOff>0</xdr:rowOff>
    </xdr:from>
    <xdr:to>
      <xdr:col>3</xdr:col>
      <xdr:colOff>447675</xdr:colOff>
      <xdr:row>34</xdr:row>
      <xdr:rowOff>9525</xdr:rowOff>
    </xdr:to>
    <xdr:pic>
      <xdr:nvPicPr>
        <xdr:cNvPr id="244" name="Image 24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34</xdr:row>
      <xdr:rowOff>0</xdr:rowOff>
    </xdr:from>
    <xdr:to>
      <xdr:col>3</xdr:col>
      <xdr:colOff>466725</xdr:colOff>
      <xdr:row>34</xdr:row>
      <xdr:rowOff>9525</xdr:rowOff>
    </xdr:to>
    <xdr:pic>
      <xdr:nvPicPr>
        <xdr:cNvPr id="245" name="Image 24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34</xdr:row>
      <xdr:rowOff>0</xdr:rowOff>
    </xdr:from>
    <xdr:to>
      <xdr:col>3</xdr:col>
      <xdr:colOff>485775</xdr:colOff>
      <xdr:row>34</xdr:row>
      <xdr:rowOff>9525</xdr:rowOff>
    </xdr:to>
    <xdr:pic>
      <xdr:nvPicPr>
        <xdr:cNvPr id="246" name="Image 24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34</xdr:row>
      <xdr:rowOff>0</xdr:rowOff>
    </xdr:from>
    <xdr:to>
      <xdr:col>3</xdr:col>
      <xdr:colOff>504825</xdr:colOff>
      <xdr:row>34</xdr:row>
      <xdr:rowOff>9525</xdr:rowOff>
    </xdr:to>
    <xdr:pic>
      <xdr:nvPicPr>
        <xdr:cNvPr id="247" name="Image 24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34</xdr:row>
      <xdr:rowOff>0</xdr:rowOff>
    </xdr:from>
    <xdr:to>
      <xdr:col>3</xdr:col>
      <xdr:colOff>523875</xdr:colOff>
      <xdr:row>34</xdr:row>
      <xdr:rowOff>9525</xdr:rowOff>
    </xdr:to>
    <xdr:pic>
      <xdr:nvPicPr>
        <xdr:cNvPr id="248" name="Image 24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34</xdr:row>
      <xdr:rowOff>0</xdr:rowOff>
    </xdr:from>
    <xdr:to>
      <xdr:col>3</xdr:col>
      <xdr:colOff>542925</xdr:colOff>
      <xdr:row>34</xdr:row>
      <xdr:rowOff>9525</xdr:rowOff>
    </xdr:to>
    <xdr:pic>
      <xdr:nvPicPr>
        <xdr:cNvPr id="249" name="Image 24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34</xdr:row>
      <xdr:rowOff>0</xdr:rowOff>
    </xdr:from>
    <xdr:to>
      <xdr:col>3</xdr:col>
      <xdr:colOff>561975</xdr:colOff>
      <xdr:row>34</xdr:row>
      <xdr:rowOff>9525</xdr:rowOff>
    </xdr:to>
    <xdr:pic>
      <xdr:nvPicPr>
        <xdr:cNvPr id="250" name="Image 24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744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9525</xdr:colOff>
      <xdr:row>36</xdr:row>
      <xdr:rowOff>9525</xdr:rowOff>
    </xdr:to>
    <xdr:pic>
      <xdr:nvPicPr>
        <xdr:cNvPr id="251" name="Image 25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36</xdr:row>
      <xdr:rowOff>0</xdr:rowOff>
    </xdr:from>
    <xdr:to>
      <xdr:col>3</xdr:col>
      <xdr:colOff>28575</xdr:colOff>
      <xdr:row>36</xdr:row>
      <xdr:rowOff>9525</xdr:rowOff>
    </xdr:to>
    <xdr:pic>
      <xdr:nvPicPr>
        <xdr:cNvPr id="252" name="Image 25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36</xdr:row>
      <xdr:rowOff>0</xdr:rowOff>
    </xdr:from>
    <xdr:to>
      <xdr:col>3</xdr:col>
      <xdr:colOff>47625</xdr:colOff>
      <xdr:row>36</xdr:row>
      <xdr:rowOff>9525</xdr:rowOff>
    </xdr:to>
    <xdr:pic>
      <xdr:nvPicPr>
        <xdr:cNvPr id="253" name="Image 25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36</xdr:row>
      <xdr:rowOff>0</xdr:rowOff>
    </xdr:from>
    <xdr:to>
      <xdr:col>3</xdr:col>
      <xdr:colOff>66675</xdr:colOff>
      <xdr:row>36</xdr:row>
      <xdr:rowOff>9525</xdr:rowOff>
    </xdr:to>
    <xdr:pic>
      <xdr:nvPicPr>
        <xdr:cNvPr id="254" name="Image 25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36</xdr:row>
      <xdr:rowOff>0</xdr:rowOff>
    </xdr:from>
    <xdr:to>
      <xdr:col>3</xdr:col>
      <xdr:colOff>85725</xdr:colOff>
      <xdr:row>36</xdr:row>
      <xdr:rowOff>9525</xdr:rowOff>
    </xdr:to>
    <xdr:pic>
      <xdr:nvPicPr>
        <xdr:cNvPr id="255" name="Image 25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</xdr:colOff>
      <xdr:row>36</xdr:row>
      <xdr:rowOff>0</xdr:rowOff>
    </xdr:from>
    <xdr:to>
      <xdr:col>3</xdr:col>
      <xdr:colOff>104775</xdr:colOff>
      <xdr:row>36</xdr:row>
      <xdr:rowOff>9525</xdr:rowOff>
    </xdr:to>
    <xdr:pic>
      <xdr:nvPicPr>
        <xdr:cNvPr id="256" name="Image 25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36</xdr:row>
      <xdr:rowOff>0</xdr:rowOff>
    </xdr:from>
    <xdr:to>
      <xdr:col>3</xdr:col>
      <xdr:colOff>123825</xdr:colOff>
      <xdr:row>36</xdr:row>
      <xdr:rowOff>9525</xdr:rowOff>
    </xdr:to>
    <xdr:pic>
      <xdr:nvPicPr>
        <xdr:cNvPr id="257" name="Image 25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36</xdr:row>
      <xdr:rowOff>0</xdr:rowOff>
    </xdr:from>
    <xdr:to>
      <xdr:col>3</xdr:col>
      <xdr:colOff>142875</xdr:colOff>
      <xdr:row>36</xdr:row>
      <xdr:rowOff>9525</xdr:rowOff>
    </xdr:to>
    <xdr:pic>
      <xdr:nvPicPr>
        <xdr:cNvPr id="258" name="Image 25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36</xdr:row>
      <xdr:rowOff>0</xdr:rowOff>
    </xdr:from>
    <xdr:to>
      <xdr:col>3</xdr:col>
      <xdr:colOff>161925</xdr:colOff>
      <xdr:row>36</xdr:row>
      <xdr:rowOff>9525</xdr:rowOff>
    </xdr:to>
    <xdr:pic>
      <xdr:nvPicPr>
        <xdr:cNvPr id="259" name="Image 25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36</xdr:row>
      <xdr:rowOff>0</xdr:rowOff>
    </xdr:from>
    <xdr:to>
      <xdr:col>3</xdr:col>
      <xdr:colOff>180975</xdr:colOff>
      <xdr:row>36</xdr:row>
      <xdr:rowOff>9525</xdr:rowOff>
    </xdr:to>
    <xdr:pic>
      <xdr:nvPicPr>
        <xdr:cNvPr id="260" name="Image 25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36</xdr:row>
      <xdr:rowOff>0</xdr:rowOff>
    </xdr:from>
    <xdr:to>
      <xdr:col>3</xdr:col>
      <xdr:colOff>200025</xdr:colOff>
      <xdr:row>36</xdr:row>
      <xdr:rowOff>9525</xdr:rowOff>
    </xdr:to>
    <xdr:pic>
      <xdr:nvPicPr>
        <xdr:cNvPr id="261" name="Image 26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36</xdr:row>
      <xdr:rowOff>0</xdr:rowOff>
    </xdr:from>
    <xdr:to>
      <xdr:col>3</xdr:col>
      <xdr:colOff>219075</xdr:colOff>
      <xdr:row>36</xdr:row>
      <xdr:rowOff>9525</xdr:rowOff>
    </xdr:to>
    <xdr:pic>
      <xdr:nvPicPr>
        <xdr:cNvPr id="262" name="Image 26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36</xdr:row>
      <xdr:rowOff>0</xdr:rowOff>
    </xdr:from>
    <xdr:to>
      <xdr:col>3</xdr:col>
      <xdr:colOff>238125</xdr:colOff>
      <xdr:row>36</xdr:row>
      <xdr:rowOff>9525</xdr:rowOff>
    </xdr:to>
    <xdr:pic>
      <xdr:nvPicPr>
        <xdr:cNvPr id="263" name="Image 26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36</xdr:row>
      <xdr:rowOff>0</xdr:rowOff>
    </xdr:from>
    <xdr:to>
      <xdr:col>3</xdr:col>
      <xdr:colOff>257175</xdr:colOff>
      <xdr:row>36</xdr:row>
      <xdr:rowOff>9525</xdr:rowOff>
    </xdr:to>
    <xdr:pic>
      <xdr:nvPicPr>
        <xdr:cNvPr id="264" name="Image 26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266700</xdr:colOff>
      <xdr:row>36</xdr:row>
      <xdr:rowOff>0</xdr:rowOff>
    </xdr:from>
    <xdr:to>
      <xdr:col>3</xdr:col>
      <xdr:colOff>276225</xdr:colOff>
      <xdr:row>36</xdr:row>
      <xdr:rowOff>9525</xdr:rowOff>
    </xdr:to>
    <xdr:pic>
      <xdr:nvPicPr>
        <xdr:cNvPr id="265" name="Image 26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36</xdr:row>
      <xdr:rowOff>0</xdr:rowOff>
    </xdr:from>
    <xdr:to>
      <xdr:col>3</xdr:col>
      <xdr:colOff>295275</xdr:colOff>
      <xdr:row>36</xdr:row>
      <xdr:rowOff>9525</xdr:rowOff>
    </xdr:to>
    <xdr:pic>
      <xdr:nvPicPr>
        <xdr:cNvPr id="266" name="Image 26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36</xdr:row>
      <xdr:rowOff>0</xdr:rowOff>
    </xdr:from>
    <xdr:to>
      <xdr:col>3</xdr:col>
      <xdr:colOff>314325</xdr:colOff>
      <xdr:row>36</xdr:row>
      <xdr:rowOff>9525</xdr:rowOff>
    </xdr:to>
    <xdr:pic>
      <xdr:nvPicPr>
        <xdr:cNvPr id="267" name="Image 26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36</xdr:row>
      <xdr:rowOff>0</xdr:rowOff>
    </xdr:from>
    <xdr:to>
      <xdr:col>3</xdr:col>
      <xdr:colOff>333375</xdr:colOff>
      <xdr:row>36</xdr:row>
      <xdr:rowOff>9525</xdr:rowOff>
    </xdr:to>
    <xdr:pic>
      <xdr:nvPicPr>
        <xdr:cNvPr id="268" name="Image 26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36</xdr:row>
      <xdr:rowOff>0</xdr:rowOff>
    </xdr:from>
    <xdr:to>
      <xdr:col>3</xdr:col>
      <xdr:colOff>352425</xdr:colOff>
      <xdr:row>36</xdr:row>
      <xdr:rowOff>9525</xdr:rowOff>
    </xdr:to>
    <xdr:pic>
      <xdr:nvPicPr>
        <xdr:cNvPr id="269" name="Image 26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36</xdr:row>
      <xdr:rowOff>0</xdr:rowOff>
    </xdr:from>
    <xdr:to>
      <xdr:col>3</xdr:col>
      <xdr:colOff>371475</xdr:colOff>
      <xdr:row>36</xdr:row>
      <xdr:rowOff>9525</xdr:rowOff>
    </xdr:to>
    <xdr:pic>
      <xdr:nvPicPr>
        <xdr:cNvPr id="270" name="Image 26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381000</xdr:colOff>
      <xdr:row>36</xdr:row>
      <xdr:rowOff>0</xdr:rowOff>
    </xdr:from>
    <xdr:to>
      <xdr:col>3</xdr:col>
      <xdr:colOff>390525</xdr:colOff>
      <xdr:row>36</xdr:row>
      <xdr:rowOff>9525</xdr:rowOff>
    </xdr:to>
    <xdr:pic>
      <xdr:nvPicPr>
        <xdr:cNvPr id="271" name="Image 27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400050</xdr:colOff>
      <xdr:row>36</xdr:row>
      <xdr:rowOff>0</xdr:rowOff>
    </xdr:from>
    <xdr:to>
      <xdr:col>3</xdr:col>
      <xdr:colOff>409575</xdr:colOff>
      <xdr:row>36</xdr:row>
      <xdr:rowOff>9525</xdr:rowOff>
    </xdr:to>
    <xdr:pic>
      <xdr:nvPicPr>
        <xdr:cNvPr id="272" name="Image 27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36</xdr:row>
      <xdr:rowOff>0</xdr:rowOff>
    </xdr:from>
    <xdr:to>
      <xdr:col>3</xdr:col>
      <xdr:colOff>428625</xdr:colOff>
      <xdr:row>36</xdr:row>
      <xdr:rowOff>9525</xdr:rowOff>
    </xdr:to>
    <xdr:pic>
      <xdr:nvPicPr>
        <xdr:cNvPr id="273" name="Image 27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36</xdr:row>
      <xdr:rowOff>0</xdr:rowOff>
    </xdr:from>
    <xdr:to>
      <xdr:col>3</xdr:col>
      <xdr:colOff>447675</xdr:colOff>
      <xdr:row>36</xdr:row>
      <xdr:rowOff>9525</xdr:rowOff>
    </xdr:to>
    <xdr:pic>
      <xdr:nvPicPr>
        <xdr:cNvPr id="274" name="Image 27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457200</xdr:colOff>
      <xdr:row>36</xdr:row>
      <xdr:rowOff>0</xdr:rowOff>
    </xdr:from>
    <xdr:to>
      <xdr:col>3</xdr:col>
      <xdr:colOff>466725</xdr:colOff>
      <xdr:row>36</xdr:row>
      <xdr:rowOff>9525</xdr:rowOff>
    </xdr:to>
    <xdr:pic>
      <xdr:nvPicPr>
        <xdr:cNvPr id="275" name="Image 27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36</xdr:row>
      <xdr:rowOff>0</xdr:rowOff>
    </xdr:from>
    <xdr:to>
      <xdr:col>3</xdr:col>
      <xdr:colOff>485775</xdr:colOff>
      <xdr:row>36</xdr:row>
      <xdr:rowOff>9525</xdr:rowOff>
    </xdr:to>
    <xdr:pic>
      <xdr:nvPicPr>
        <xdr:cNvPr id="276" name="Image 27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495300</xdr:colOff>
      <xdr:row>36</xdr:row>
      <xdr:rowOff>0</xdr:rowOff>
    </xdr:from>
    <xdr:to>
      <xdr:col>3</xdr:col>
      <xdr:colOff>504825</xdr:colOff>
      <xdr:row>36</xdr:row>
      <xdr:rowOff>9525</xdr:rowOff>
    </xdr:to>
    <xdr:pic>
      <xdr:nvPicPr>
        <xdr:cNvPr id="277" name="Image 27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514350</xdr:colOff>
      <xdr:row>36</xdr:row>
      <xdr:rowOff>0</xdr:rowOff>
    </xdr:from>
    <xdr:to>
      <xdr:col>3</xdr:col>
      <xdr:colOff>523875</xdr:colOff>
      <xdr:row>36</xdr:row>
      <xdr:rowOff>9525</xdr:rowOff>
    </xdr:to>
    <xdr:pic>
      <xdr:nvPicPr>
        <xdr:cNvPr id="278" name="Image 27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36</xdr:row>
      <xdr:rowOff>0</xdr:rowOff>
    </xdr:from>
    <xdr:to>
      <xdr:col>3</xdr:col>
      <xdr:colOff>542925</xdr:colOff>
      <xdr:row>36</xdr:row>
      <xdr:rowOff>9525</xdr:rowOff>
    </xdr:to>
    <xdr:pic>
      <xdr:nvPicPr>
        <xdr:cNvPr id="279" name="Image 27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552450</xdr:colOff>
      <xdr:row>36</xdr:row>
      <xdr:rowOff>0</xdr:rowOff>
    </xdr:from>
    <xdr:to>
      <xdr:col>3</xdr:col>
      <xdr:colOff>561975</xdr:colOff>
      <xdr:row>36</xdr:row>
      <xdr:rowOff>9525</xdr:rowOff>
    </xdr:to>
    <xdr:pic>
      <xdr:nvPicPr>
        <xdr:cNvPr id="280" name="Image 27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36</xdr:row>
      <xdr:rowOff>0</xdr:rowOff>
    </xdr:from>
    <xdr:to>
      <xdr:col>3</xdr:col>
      <xdr:colOff>581025</xdr:colOff>
      <xdr:row>36</xdr:row>
      <xdr:rowOff>9525</xdr:rowOff>
    </xdr:to>
    <xdr:pic>
      <xdr:nvPicPr>
        <xdr:cNvPr id="281" name="Image 28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590550</xdr:colOff>
      <xdr:row>36</xdr:row>
      <xdr:rowOff>0</xdr:rowOff>
    </xdr:from>
    <xdr:to>
      <xdr:col>3</xdr:col>
      <xdr:colOff>600075</xdr:colOff>
      <xdr:row>36</xdr:row>
      <xdr:rowOff>9525</xdr:rowOff>
    </xdr:to>
    <xdr:pic>
      <xdr:nvPicPr>
        <xdr:cNvPr id="282" name="Image 28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7886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W127"/>
  <sheetViews>
    <sheetView tabSelected="1" zoomScale="70" zoomScaleNormal="70" workbookViewId="0">
      <selection activeCell="B3" sqref="B3"/>
    </sheetView>
  </sheetViews>
  <sheetFormatPr baseColWidth="10" defaultColWidth="11.42578125" defaultRowHeight="15" x14ac:dyDescent="0.25"/>
  <cols>
    <col min="1" max="1" width="17.7109375" style="3" bestFit="1" customWidth="1"/>
    <col min="2" max="2" width="36.85546875" style="3" bestFit="1" customWidth="1"/>
    <col min="3" max="3" width="25" style="3" bestFit="1" customWidth="1"/>
    <col min="4" max="5" width="25.42578125" style="3" bestFit="1" customWidth="1"/>
    <col min="6" max="6" width="24.5703125" style="3" bestFit="1" customWidth="1"/>
    <col min="7" max="8" width="25" style="3" bestFit="1" customWidth="1"/>
    <col min="9" max="11" width="24.85546875" style="3" bestFit="1" customWidth="1"/>
    <col min="12" max="12" width="24.5703125" style="3" bestFit="1" customWidth="1"/>
    <col min="13" max="14" width="25.42578125" style="3" bestFit="1" customWidth="1"/>
    <col min="15" max="16" width="25" style="3" bestFit="1" customWidth="1"/>
    <col min="17" max="17" width="23.85546875" style="3" bestFit="1" customWidth="1"/>
    <col min="18" max="18" width="24.5703125" style="3" bestFit="1" customWidth="1"/>
    <col min="19" max="20" width="24.85546875" style="3" bestFit="1" customWidth="1"/>
    <col min="21" max="22" width="24.42578125" style="3" bestFit="1" customWidth="1"/>
    <col min="23" max="16384" width="11.42578125" style="3"/>
  </cols>
  <sheetData>
    <row r="1" spans="1:23" ht="21" x14ac:dyDescent="0.25">
      <c r="B1" s="63" t="s">
        <v>0</v>
      </c>
      <c r="C1" s="63"/>
      <c r="D1" s="63"/>
      <c r="E1" s="63"/>
      <c r="F1" s="63"/>
      <c r="G1" s="63"/>
      <c r="H1" s="63"/>
    </row>
    <row r="2" spans="1:23" ht="21" x14ac:dyDescent="0.25">
      <c r="B2" s="43"/>
      <c r="C2" s="43"/>
      <c r="D2" s="43"/>
      <c r="E2" s="43"/>
      <c r="F2" s="43"/>
      <c r="G2" s="43"/>
    </row>
    <row r="4" spans="1:23" x14ac:dyDescent="0.25">
      <c r="B4" s="15" t="s">
        <v>1</v>
      </c>
      <c r="C4" s="3" t="s">
        <v>195</v>
      </c>
    </row>
    <row r="5" spans="1:23" x14ac:dyDescent="0.25">
      <c r="B5" s="15" t="s">
        <v>2</v>
      </c>
      <c r="C5" s="3" t="s">
        <v>196</v>
      </c>
    </row>
    <row r="6" spans="1:23" ht="15.75" thickBot="1" x14ac:dyDescent="0.3"/>
    <row r="7" spans="1:23" ht="15.75" thickBot="1" x14ac:dyDescent="0.3">
      <c r="B7" s="7" t="str">
        <f>'Raw Datas'!A53</f>
        <v>Relative abundance/µL of fluid</v>
      </c>
      <c r="C7" s="8" t="str">
        <f>'Raw Datas'!C1</f>
        <v>JV-015-RAN-IC-M2</v>
      </c>
      <c r="D7" s="8" t="str">
        <f>'Raw Datas'!D1</f>
        <v>BS-007-RAN-01-M3</v>
      </c>
      <c r="E7" s="8" t="str">
        <f>'Raw Datas'!E1</f>
        <v>BS-007-RAN-02-M3</v>
      </c>
      <c r="F7" s="8" t="str">
        <f>'Raw Datas'!F1</f>
        <v>KT-004-SOC-16-M1</v>
      </c>
      <c r="G7" s="8" t="str">
        <f>'Raw Datas'!G1</f>
        <v>BS-135-RAN-IC-M3</v>
      </c>
      <c r="H7" s="8" t="str">
        <f>'Raw Datas'!H1</f>
        <v>JV-070-DAV-07-M3</v>
      </c>
      <c r="I7" s="8" t="str">
        <f>'Raw Datas'!I1</f>
        <v>BS-129-RAT-10-M5</v>
      </c>
      <c r="J7" s="8" t="str">
        <f>'Raw Datas'!J1</f>
        <v>JV-036-SOC-10-M2</v>
      </c>
      <c r="K7" s="8" t="str">
        <f>'Raw Datas'!K1</f>
        <v>BS-126-RAT-05-M2</v>
      </c>
      <c r="L7" s="8" t="str">
        <f>'Raw Datas'!L1</f>
        <v>JV-017-RAN-10-M3</v>
      </c>
      <c r="M7" s="8" t="str">
        <f>'Raw Datas'!M1</f>
        <v>JV-070-DAV-04-M1</v>
      </c>
      <c r="N7" s="8" t="str">
        <f>'Raw Datas'!N1</f>
        <v>BS-356-RAN-03-M4</v>
      </c>
      <c r="O7" s="8" t="str">
        <f>'Raw Datas'!O1</f>
        <v>JV-090-MIN-IC-M4</v>
      </c>
      <c r="P7" s="8" t="str">
        <f>'Raw Datas'!P1</f>
        <v>BS-391-RAN-06-M2</v>
      </c>
      <c r="Q7" s="8" t="str">
        <f>'Raw Datas'!Q1</f>
        <v>JV-061-MIN-03-M5</v>
      </c>
      <c r="R7" s="8" t="str">
        <f>'Raw Datas'!R1</f>
        <v>JV-070-MIN-01-M1</v>
      </c>
      <c r="S7" s="8" t="str">
        <f>'Raw Datas'!S1</f>
        <v>KT-004-SOC-14-M1</v>
      </c>
      <c r="T7" s="8" t="str">
        <f>'Raw Datas'!T1</f>
        <v>JV-089-SOC-04-M1</v>
      </c>
      <c r="U7" s="8" t="str">
        <f>'Raw Datas'!U1</f>
        <v>BS-472-RAT-01-M1</v>
      </c>
      <c r="V7" s="8" t="str">
        <f>'Raw Datas'!V1</f>
        <v>BS-172-RAT-10-M3</v>
      </c>
      <c r="W7" s="8"/>
    </row>
    <row r="8" spans="1:23" ht="15.75" thickBot="1" x14ac:dyDescent="0.3">
      <c r="A8" s="1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3" ht="15.75" customHeight="1" x14ac:dyDescent="0.25">
      <c r="A9" s="60" t="s">
        <v>3</v>
      </c>
      <c r="B9" s="37" t="s">
        <v>4</v>
      </c>
      <c r="C9" s="41" t="str">
        <f>'Raw Datas'!C55</f>
        <v>0</v>
      </c>
      <c r="D9" s="41" t="str">
        <f>'Raw Datas'!D55</f>
        <v>0</v>
      </c>
      <c r="E9" s="41" t="str">
        <f>'Raw Datas'!E55</f>
        <v>0</v>
      </c>
      <c r="F9" s="41" t="str">
        <f>'Raw Datas'!F55</f>
        <v>0</v>
      </c>
      <c r="G9" s="41" t="str">
        <f>'Raw Datas'!G55</f>
        <v>0</v>
      </c>
      <c r="H9" s="41" t="str">
        <f>'Raw Datas'!H55</f>
        <v>0</v>
      </c>
      <c r="I9" s="41" t="str">
        <f>'Raw Datas'!I55</f>
        <v>0</v>
      </c>
      <c r="J9" s="41" t="str">
        <f>'Raw Datas'!J55</f>
        <v>0</v>
      </c>
      <c r="K9" s="41" t="str">
        <f>'Raw Datas'!K55</f>
        <v>0</v>
      </c>
      <c r="L9" s="41" t="str">
        <f>'Raw Datas'!L55</f>
        <v>0</v>
      </c>
      <c r="M9" s="41" t="str">
        <f>'Raw Datas'!M55</f>
        <v>0</v>
      </c>
      <c r="N9" s="41" t="str">
        <f>'Raw Datas'!N55</f>
        <v>0</v>
      </c>
      <c r="O9" s="41" t="str">
        <f>'Raw Datas'!O55</f>
        <v>0</v>
      </c>
      <c r="P9" s="41" t="str">
        <f>'Raw Datas'!P55</f>
        <v>0</v>
      </c>
      <c r="Q9" s="41" t="str">
        <f>'Raw Datas'!Q55</f>
        <v>0</v>
      </c>
      <c r="R9" s="41" t="str">
        <f>'Raw Datas'!R55</f>
        <v>0</v>
      </c>
      <c r="S9" s="41" t="str">
        <f>'Raw Datas'!S55</f>
        <v>0</v>
      </c>
      <c r="T9" s="41" t="str">
        <f>'Raw Datas'!T55</f>
        <v>0</v>
      </c>
      <c r="U9" s="41" t="str">
        <f>'Raw Datas'!U55</f>
        <v>0</v>
      </c>
      <c r="V9" s="41" t="str">
        <f>'Raw Datas'!V55</f>
        <v>0</v>
      </c>
    </row>
    <row r="10" spans="1:23" ht="15.75" customHeight="1" x14ac:dyDescent="0.25">
      <c r="A10" s="61"/>
      <c r="B10" s="38" t="s">
        <v>5</v>
      </c>
      <c r="C10" s="40" t="str">
        <f>'Raw Datas'!C56</f>
        <v>0</v>
      </c>
      <c r="D10" s="40" t="str">
        <f>'Raw Datas'!D56</f>
        <v>0</v>
      </c>
      <c r="E10" s="40" t="str">
        <f>'Raw Datas'!E56</f>
        <v>0</v>
      </c>
      <c r="F10" s="40" t="str">
        <f>'Raw Datas'!F56</f>
        <v>0</v>
      </c>
      <c r="G10" s="40" t="str">
        <f>'Raw Datas'!G56</f>
        <v>0</v>
      </c>
      <c r="H10" s="40" t="str">
        <f>'Raw Datas'!H56</f>
        <v>0</v>
      </c>
      <c r="I10" s="40" t="str">
        <f>'Raw Datas'!I56</f>
        <v>0</v>
      </c>
      <c r="J10" s="40" t="str">
        <f>'Raw Datas'!J56</f>
        <v>0</v>
      </c>
      <c r="K10" s="40" t="str">
        <f>'Raw Datas'!K56</f>
        <v>0</v>
      </c>
      <c r="L10" s="40" t="str">
        <f>'Raw Datas'!L56</f>
        <v>0</v>
      </c>
      <c r="M10" s="40" t="str">
        <f>'Raw Datas'!M56</f>
        <v>0</v>
      </c>
      <c r="N10" s="40" t="str">
        <f>'Raw Datas'!N56</f>
        <v>0</v>
      </c>
      <c r="O10" s="40" t="str">
        <f>'Raw Datas'!O56</f>
        <v>0</v>
      </c>
      <c r="P10" s="40" t="str">
        <f>'Raw Datas'!P56</f>
        <v>0</v>
      </c>
      <c r="Q10" s="40" t="str">
        <f>'Raw Datas'!Q56</f>
        <v>0</v>
      </c>
      <c r="R10" s="40" t="str">
        <f>'Raw Datas'!R56</f>
        <v>0</v>
      </c>
      <c r="S10" s="40" t="str">
        <f>'Raw Datas'!S56</f>
        <v>0</v>
      </c>
      <c r="T10" s="40" t="str">
        <f>'Raw Datas'!T56</f>
        <v>0</v>
      </c>
      <c r="U10" s="40" t="str">
        <f>'Raw Datas'!U56</f>
        <v>0</v>
      </c>
      <c r="V10" s="40" t="str">
        <f>'Raw Datas'!V56</f>
        <v>0</v>
      </c>
    </row>
    <row r="11" spans="1:23" ht="15.75" customHeight="1" x14ac:dyDescent="0.25">
      <c r="A11" s="61"/>
      <c r="B11" s="38" t="s">
        <v>6</v>
      </c>
      <c r="C11" s="40" t="str">
        <f>'Raw Datas'!C57</f>
        <v>0</v>
      </c>
      <c r="D11" s="40" t="str">
        <f>'Raw Datas'!D57</f>
        <v>0</v>
      </c>
      <c r="E11" s="40" t="str">
        <f>'Raw Datas'!E57</f>
        <v>0</v>
      </c>
      <c r="F11" s="40" t="str">
        <f>'Raw Datas'!F57</f>
        <v>0</v>
      </c>
      <c r="G11" s="40" t="str">
        <f>'Raw Datas'!G57</f>
        <v>0</v>
      </c>
      <c r="H11" s="40" t="str">
        <f>'Raw Datas'!H57</f>
        <v>0</v>
      </c>
      <c r="I11" s="40" t="str">
        <f>'Raw Datas'!I57</f>
        <v>0</v>
      </c>
      <c r="J11" s="40" t="str">
        <f>'Raw Datas'!J57</f>
        <v>0</v>
      </c>
      <c r="K11" s="40" t="str">
        <f>'Raw Datas'!K57</f>
        <v>0</v>
      </c>
      <c r="L11" s="40" t="str">
        <f>'Raw Datas'!L57</f>
        <v>0</v>
      </c>
      <c r="M11" s="40" t="str">
        <f>'Raw Datas'!M57</f>
        <v>0</v>
      </c>
      <c r="N11" s="40" t="str">
        <f>'Raw Datas'!N57</f>
        <v>0</v>
      </c>
      <c r="O11" s="40" t="str">
        <f>'Raw Datas'!O57</f>
        <v>0</v>
      </c>
      <c r="P11" s="40" t="str">
        <f>'Raw Datas'!P57</f>
        <v>0</v>
      </c>
      <c r="Q11" s="40" t="str">
        <f>'Raw Datas'!Q57</f>
        <v>0</v>
      </c>
      <c r="R11" s="40" t="str">
        <f>'Raw Datas'!R57</f>
        <v>0</v>
      </c>
      <c r="S11" s="40" t="str">
        <f>'Raw Datas'!S57</f>
        <v>0</v>
      </c>
      <c r="T11" s="40" t="str">
        <f>'Raw Datas'!T57</f>
        <v>0</v>
      </c>
      <c r="U11" s="40" t="str">
        <f>'Raw Datas'!U57</f>
        <v>0</v>
      </c>
      <c r="V11" s="40" t="str">
        <f>'Raw Datas'!V57</f>
        <v>0</v>
      </c>
    </row>
    <row r="12" spans="1:23" ht="15.75" customHeight="1" x14ac:dyDescent="0.25">
      <c r="A12" s="61"/>
      <c r="B12" s="38" t="s">
        <v>7</v>
      </c>
      <c r="C12" s="40" t="str">
        <f>'Raw Datas'!C58</f>
        <v>0</v>
      </c>
      <c r="D12" s="40" t="str">
        <f>'Raw Datas'!D58</f>
        <v>0</v>
      </c>
      <c r="E12" s="40" t="str">
        <f>'Raw Datas'!E58</f>
        <v>0</v>
      </c>
      <c r="F12" s="40" t="str">
        <f>'Raw Datas'!F58</f>
        <v>0</v>
      </c>
      <c r="G12" s="40" t="str">
        <f>'Raw Datas'!G58</f>
        <v>0</v>
      </c>
      <c r="H12" s="40" t="str">
        <f>'Raw Datas'!H58</f>
        <v>0</v>
      </c>
      <c r="I12" s="40" t="str">
        <f>'Raw Datas'!I58</f>
        <v>0</v>
      </c>
      <c r="J12" s="40" t="str">
        <f>'Raw Datas'!J58</f>
        <v>0</v>
      </c>
      <c r="K12" s="40" t="str">
        <f>'Raw Datas'!K58</f>
        <v>0</v>
      </c>
      <c r="L12" s="40" t="str">
        <f>'Raw Datas'!L58</f>
        <v>0</v>
      </c>
      <c r="M12" s="40" t="str">
        <f>'Raw Datas'!M58</f>
        <v>0</v>
      </c>
      <c r="N12" s="40" t="str">
        <f>'Raw Datas'!N58</f>
        <v>0</v>
      </c>
      <c r="O12" s="40" t="str">
        <f>'Raw Datas'!O58</f>
        <v>0</v>
      </c>
      <c r="P12" s="40" t="str">
        <f>'Raw Datas'!P58</f>
        <v>0</v>
      </c>
      <c r="Q12" s="40" t="str">
        <f>'Raw Datas'!Q58</f>
        <v>0</v>
      </c>
      <c r="R12" s="40" t="str">
        <f>'Raw Datas'!R58</f>
        <v>0</v>
      </c>
      <c r="S12" s="40" t="str">
        <f>'Raw Datas'!S58</f>
        <v>0</v>
      </c>
      <c r="T12" s="40" t="str">
        <f>'Raw Datas'!T58</f>
        <v>0</v>
      </c>
      <c r="U12" s="40" t="str">
        <f>'Raw Datas'!U58</f>
        <v>0</v>
      </c>
      <c r="V12" s="40" t="str">
        <f>'Raw Datas'!V58</f>
        <v>0</v>
      </c>
    </row>
    <row r="13" spans="1:23" ht="15.75" customHeight="1" x14ac:dyDescent="0.25">
      <c r="A13" s="61"/>
      <c r="B13" s="38" t="s">
        <v>8</v>
      </c>
      <c r="C13" s="40" t="str">
        <f>'Raw Datas'!C59</f>
        <v>0</v>
      </c>
      <c r="D13" s="40" t="str">
        <f>'Raw Datas'!D59</f>
        <v>0</v>
      </c>
      <c r="E13" s="40" t="str">
        <f>'Raw Datas'!E59</f>
        <v>0</v>
      </c>
      <c r="F13" s="40" t="str">
        <f>'Raw Datas'!F59</f>
        <v>0</v>
      </c>
      <c r="G13" s="40" t="str">
        <f>'Raw Datas'!G59</f>
        <v>0</v>
      </c>
      <c r="H13" s="40" t="str">
        <f>'Raw Datas'!H59</f>
        <v>0</v>
      </c>
      <c r="I13" s="40" t="str">
        <f>'Raw Datas'!I59</f>
        <v>0</v>
      </c>
      <c r="J13" s="40" t="str">
        <f>'Raw Datas'!J59</f>
        <v>0</v>
      </c>
      <c r="K13" s="40" t="str">
        <f>'Raw Datas'!K59</f>
        <v>0</v>
      </c>
      <c r="L13" s="40" t="str">
        <f>'Raw Datas'!L59</f>
        <v>0</v>
      </c>
      <c r="M13" s="40" t="str">
        <f>'Raw Datas'!M59</f>
        <v>0</v>
      </c>
      <c r="N13" s="40" t="str">
        <f>'Raw Datas'!N59</f>
        <v>0</v>
      </c>
      <c r="O13" s="40" t="str">
        <f>'Raw Datas'!O59</f>
        <v>0</v>
      </c>
      <c r="P13" s="40" t="str">
        <f>'Raw Datas'!P59</f>
        <v>0</v>
      </c>
      <c r="Q13" s="40" t="str">
        <f>'Raw Datas'!Q59</f>
        <v>0</v>
      </c>
      <c r="R13" s="40" t="str">
        <f>'Raw Datas'!R59</f>
        <v>0</v>
      </c>
      <c r="S13" s="40" t="str">
        <f>'Raw Datas'!S59</f>
        <v>0</v>
      </c>
      <c r="T13" s="40" t="str">
        <f>'Raw Datas'!T59</f>
        <v>0</v>
      </c>
      <c r="U13" s="40" t="str">
        <f>'Raw Datas'!U59</f>
        <v>0</v>
      </c>
      <c r="V13" s="40" t="str">
        <f>'Raw Datas'!V59</f>
        <v>0</v>
      </c>
    </row>
    <row r="14" spans="1:23" ht="15.75" customHeight="1" x14ac:dyDescent="0.25">
      <c r="A14" s="61"/>
      <c r="B14" s="38" t="s">
        <v>9</v>
      </c>
      <c r="C14" s="40" t="str">
        <f>'Raw Datas'!C60</f>
        <v>0</v>
      </c>
      <c r="D14" s="40" t="str">
        <f>'Raw Datas'!D60</f>
        <v>0</v>
      </c>
      <c r="E14" s="40" t="str">
        <f>'Raw Datas'!E60</f>
        <v>0</v>
      </c>
      <c r="F14" s="40" t="str">
        <f>'Raw Datas'!F60</f>
        <v>0</v>
      </c>
      <c r="G14" s="40" t="str">
        <f>'Raw Datas'!G60</f>
        <v>0</v>
      </c>
      <c r="H14" s="40" t="str">
        <f>'Raw Datas'!H60</f>
        <v>0</v>
      </c>
      <c r="I14" s="40" t="str">
        <f>'Raw Datas'!I60</f>
        <v>0</v>
      </c>
      <c r="J14" s="40" t="str">
        <f>'Raw Datas'!J60</f>
        <v>0</v>
      </c>
      <c r="K14" s="40" t="str">
        <f>'Raw Datas'!K60</f>
        <v>0</v>
      </c>
      <c r="L14" s="40" t="str">
        <f>'Raw Datas'!L60</f>
        <v>0</v>
      </c>
      <c r="M14" s="40" t="str">
        <f>'Raw Datas'!M60</f>
        <v>0</v>
      </c>
      <c r="N14" s="40" t="str">
        <f>'Raw Datas'!N60</f>
        <v>0</v>
      </c>
      <c r="O14" s="40" t="str">
        <f>'Raw Datas'!O60</f>
        <v>0</v>
      </c>
      <c r="P14" s="40" t="str">
        <f>'Raw Datas'!P60</f>
        <v>0</v>
      </c>
      <c r="Q14" s="40" t="str">
        <f>'Raw Datas'!Q60</f>
        <v>0</v>
      </c>
      <c r="R14" s="40" t="str">
        <f>'Raw Datas'!R60</f>
        <v>0</v>
      </c>
      <c r="S14" s="40" t="str">
        <f>'Raw Datas'!S60</f>
        <v>0</v>
      </c>
      <c r="T14" s="40" t="str">
        <f>'Raw Datas'!T60</f>
        <v>0</v>
      </c>
      <c r="U14" s="40" t="str">
        <f>'Raw Datas'!U60</f>
        <v>0</v>
      </c>
      <c r="V14" s="40" t="str">
        <f>'Raw Datas'!V60</f>
        <v>0</v>
      </c>
    </row>
    <row r="15" spans="1:23" ht="15.75" customHeight="1" x14ac:dyDescent="0.25">
      <c r="A15" s="61"/>
      <c r="B15" s="38" t="s">
        <v>10</v>
      </c>
      <c r="C15" s="40" t="str">
        <f>'Raw Datas'!C61</f>
        <v>0</v>
      </c>
      <c r="D15" s="40" t="str">
        <f>'Raw Datas'!D61</f>
        <v>0</v>
      </c>
      <c r="E15" s="40" t="str">
        <f>'Raw Datas'!E61</f>
        <v>0</v>
      </c>
      <c r="F15" s="40" t="str">
        <f>'Raw Datas'!F61</f>
        <v>0</v>
      </c>
      <c r="G15" s="40" t="str">
        <f>'Raw Datas'!G61</f>
        <v>0</v>
      </c>
      <c r="H15" s="40" t="str">
        <f>'Raw Datas'!H61</f>
        <v>0</v>
      </c>
      <c r="I15" s="40" t="str">
        <f>'Raw Datas'!I61</f>
        <v>0</v>
      </c>
      <c r="J15" s="40" t="str">
        <f>'Raw Datas'!J61</f>
        <v>0</v>
      </c>
      <c r="K15" s="40" t="str">
        <f>'Raw Datas'!K61</f>
        <v>0</v>
      </c>
      <c r="L15" s="40" t="str">
        <f>'Raw Datas'!L61</f>
        <v>0</v>
      </c>
      <c r="M15" s="40" t="str">
        <f>'Raw Datas'!M61</f>
        <v>0</v>
      </c>
      <c r="N15" s="40" t="str">
        <f>'Raw Datas'!N61</f>
        <v>0</v>
      </c>
      <c r="O15" s="40" t="str">
        <f>'Raw Datas'!O61</f>
        <v>0</v>
      </c>
      <c r="P15" s="40" t="str">
        <f>'Raw Datas'!P61</f>
        <v>0</v>
      </c>
      <c r="Q15" s="40" t="str">
        <f>'Raw Datas'!Q61</f>
        <v>0</v>
      </c>
      <c r="R15" s="40" t="str">
        <f>'Raw Datas'!R61</f>
        <v>0</v>
      </c>
      <c r="S15" s="40" t="str">
        <f>'Raw Datas'!S61</f>
        <v>0</v>
      </c>
      <c r="T15" s="40" t="str">
        <f>'Raw Datas'!T61</f>
        <v>0</v>
      </c>
      <c r="U15" s="40" t="str">
        <f>'Raw Datas'!U61</f>
        <v>0</v>
      </c>
      <c r="V15" s="40" t="str">
        <f>'Raw Datas'!V61</f>
        <v>0</v>
      </c>
    </row>
    <row r="16" spans="1:23" ht="15.75" customHeight="1" x14ac:dyDescent="0.25">
      <c r="A16" s="61"/>
      <c r="B16" s="38" t="s">
        <v>11</v>
      </c>
      <c r="C16" s="40">
        <f>'Raw Datas'!C62</f>
        <v>1.0224435266050556</v>
      </c>
      <c r="D16" s="40">
        <f>'Raw Datas'!D62</f>
        <v>1.7818262365563295</v>
      </c>
      <c r="E16" s="40">
        <f>'Raw Datas'!E62</f>
        <v>1.3584524273828606</v>
      </c>
      <c r="F16" s="40">
        <f>'Raw Datas'!F62</f>
        <v>0.92480912461307785</v>
      </c>
      <c r="G16" s="40">
        <f>'Raw Datas'!G62</f>
        <v>1.4075236940394804</v>
      </c>
      <c r="H16" s="40">
        <f>'Raw Datas'!H62</f>
        <v>1.2741508793868059</v>
      </c>
      <c r="I16" s="40">
        <f>'Raw Datas'!I62</f>
        <v>0.93472466564293544</v>
      </c>
      <c r="J16" s="40">
        <f>'Raw Datas'!J62</f>
        <v>1.0449621331580579</v>
      </c>
      <c r="K16" s="40">
        <f>'Raw Datas'!K62</f>
        <v>1.0651261482527081</v>
      </c>
      <c r="L16" s="40">
        <f>'Raw Datas'!L62</f>
        <v>1.3389025113294339</v>
      </c>
      <c r="M16" s="40">
        <f>'Raw Datas'!M62</f>
        <v>0.8296287174397623</v>
      </c>
      <c r="N16" s="40">
        <f>'Raw Datas'!N62</f>
        <v>0.864286011952901</v>
      </c>
      <c r="O16" s="40">
        <f>'Raw Datas'!O62</f>
        <v>1.4757553702642272</v>
      </c>
      <c r="P16" s="40">
        <f>'Raw Datas'!P62</f>
        <v>3.3533342860909428</v>
      </c>
      <c r="Q16" s="40">
        <f>'Raw Datas'!Q62</f>
        <v>1.5531230152103728</v>
      </c>
      <c r="R16" s="40">
        <f>'Raw Datas'!R62</f>
        <v>0.8911572036329678</v>
      </c>
      <c r="S16" s="40">
        <f>'Raw Datas'!S62</f>
        <v>1.2350410073322171</v>
      </c>
      <c r="T16" s="40">
        <f>'Raw Datas'!T62</f>
        <v>1.3187954810836555</v>
      </c>
      <c r="U16" s="40">
        <f>'Raw Datas'!U62</f>
        <v>3.2562732635564919</v>
      </c>
      <c r="V16" s="40">
        <f>'Raw Datas'!V62</f>
        <v>1.4611695518608325</v>
      </c>
    </row>
    <row r="17" spans="1:22" ht="15.75" customHeight="1" x14ac:dyDescent="0.25">
      <c r="A17" s="61"/>
      <c r="B17" s="38" t="s">
        <v>13</v>
      </c>
      <c r="C17" s="40">
        <f>'Raw Datas'!C64</f>
        <v>0.48084557555545554</v>
      </c>
      <c r="D17" s="40">
        <f>'Raw Datas'!D64</f>
        <v>0.35913831128304152</v>
      </c>
      <c r="E17" s="40">
        <f>'Raw Datas'!E64</f>
        <v>0.59508403460648873</v>
      </c>
      <c r="F17" s="40">
        <f>'Raw Datas'!F64</f>
        <v>0.48738894951439421</v>
      </c>
      <c r="G17" s="40">
        <f>'Raw Datas'!G64</f>
        <v>0.53519076129941956</v>
      </c>
      <c r="H17" s="40">
        <f>'Raw Datas'!H64</f>
        <v>0.51100649809103993</v>
      </c>
      <c r="I17" s="40">
        <f>'Raw Datas'!I64</f>
        <v>0.42405701567606952</v>
      </c>
      <c r="J17" s="40">
        <f>'Raw Datas'!J64</f>
        <v>0.36442640160640238</v>
      </c>
      <c r="K17" s="40">
        <f>'Raw Datas'!K64</f>
        <v>0.41774626352154531</v>
      </c>
      <c r="L17" s="40">
        <f>'Raw Datas'!L64</f>
        <v>0.43332611795862569</v>
      </c>
      <c r="M17" s="40">
        <f>'Raw Datas'!M64</f>
        <v>0.46856052119824115</v>
      </c>
      <c r="N17" s="40">
        <f>'Raw Datas'!N64</f>
        <v>0.42125157370393307</v>
      </c>
      <c r="O17" s="40">
        <f>'Raw Datas'!O64</f>
        <v>0.51157891753648976</v>
      </c>
      <c r="P17" s="40">
        <f>'Raw Datas'!P64</f>
        <v>1.1712806486410507</v>
      </c>
      <c r="Q17" s="40">
        <f>'Raw Datas'!Q64</f>
        <v>0.43993701475409502</v>
      </c>
      <c r="R17" s="40">
        <f>'Raw Datas'!R64</f>
        <v>0.38707980125611391</v>
      </c>
      <c r="S17" s="40">
        <f>'Raw Datas'!S64</f>
        <v>0.60896207571156113</v>
      </c>
      <c r="T17" s="40">
        <f>'Raw Datas'!T64</f>
        <v>0.61147815465796851</v>
      </c>
      <c r="U17" s="40">
        <f>'Raw Datas'!U64</f>
        <v>1.1986119405365931</v>
      </c>
      <c r="V17" s="40">
        <f>'Raw Datas'!V64</f>
        <v>0.53134500140438645</v>
      </c>
    </row>
    <row r="18" spans="1:22" ht="15.75" customHeight="1" x14ac:dyDescent="0.25">
      <c r="A18" s="61"/>
      <c r="B18" s="38" t="s">
        <v>14</v>
      </c>
      <c r="C18" s="40" t="str">
        <f>'Raw Datas'!C65</f>
        <v>0</v>
      </c>
      <c r="D18" s="40" t="str">
        <f>'Raw Datas'!D65</f>
        <v>0</v>
      </c>
      <c r="E18" s="40" t="str">
        <f>'Raw Datas'!E65</f>
        <v>0</v>
      </c>
      <c r="F18" s="40" t="str">
        <f>'Raw Datas'!F65</f>
        <v>0</v>
      </c>
      <c r="G18" s="40" t="str">
        <f>'Raw Datas'!G65</f>
        <v>0</v>
      </c>
      <c r="H18" s="40" t="str">
        <f>'Raw Datas'!H65</f>
        <v>0</v>
      </c>
      <c r="I18" s="40" t="str">
        <f>'Raw Datas'!I65</f>
        <v>0</v>
      </c>
      <c r="J18" s="40" t="str">
        <f>'Raw Datas'!J65</f>
        <v>0</v>
      </c>
      <c r="K18" s="40" t="str">
        <f>'Raw Datas'!K65</f>
        <v>0</v>
      </c>
      <c r="L18" s="40" t="str">
        <f>'Raw Datas'!L65</f>
        <v>0</v>
      </c>
      <c r="M18" s="40" t="str">
        <f>'Raw Datas'!M65</f>
        <v>0</v>
      </c>
      <c r="N18" s="40" t="str">
        <f>'Raw Datas'!N65</f>
        <v>0</v>
      </c>
      <c r="O18" s="40" t="str">
        <f>'Raw Datas'!O65</f>
        <v>0</v>
      </c>
      <c r="P18" s="40" t="str">
        <f>'Raw Datas'!P65</f>
        <v>0</v>
      </c>
      <c r="Q18" s="40" t="str">
        <f>'Raw Datas'!Q65</f>
        <v>0</v>
      </c>
      <c r="R18" s="40" t="str">
        <f>'Raw Datas'!R65</f>
        <v>0</v>
      </c>
      <c r="S18" s="40" t="str">
        <f>'Raw Datas'!S65</f>
        <v>0</v>
      </c>
      <c r="T18" s="40" t="str">
        <f>'Raw Datas'!T65</f>
        <v>0</v>
      </c>
      <c r="U18" s="40" t="str">
        <f>'Raw Datas'!U65</f>
        <v>0</v>
      </c>
      <c r="V18" s="40" t="str">
        <f>'Raw Datas'!V65</f>
        <v>0</v>
      </c>
    </row>
    <row r="19" spans="1:22" ht="15.75" customHeight="1" x14ac:dyDescent="0.25">
      <c r="A19" s="61"/>
      <c r="B19" s="38" t="s">
        <v>15</v>
      </c>
      <c r="C19" s="40" t="str">
        <f>'Raw Datas'!C66</f>
        <v>0</v>
      </c>
      <c r="D19" s="40" t="str">
        <f>'Raw Datas'!D66</f>
        <v>0</v>
      </c>
      <c r="E19" s="40" t="str">
        <f>'Raw Datas'!E66</f>
        <v>0</v>
      </c>
      <c r="F19" s="40" t="str">
        <f>'Raw Datas'!F66</f>
        <v>0</v>
      </c>
      <c r="G19" s="40" t="str">
        <f>'Raw Datas'!G66</f>
        <v>0</v>
      </c>
      <c r="H19" s="40" t="str">
        <f>'Raw Datas'!H66</f>
        <v>0</v>
      </c>
      <c r="I19" s="40" t="str">
        <f>'Raw Datas'!I66</f>
        <v>0</v>
      </c>
      <c r="J19" s="40" t="str">
        <f>'Raw Datas'!J66</f>
        <v>0</v>
      </c>
      <c r="K19" s="40" t="str">
        <f>'Raw Datas'!K66</f>
        <v>0</v>
      </c>
      <c r="L19" s="40" t="str">
        <f>'Raw Datas'!L66</f>
        <v>0</v>
      </c>
      <c r="M19" s="40" t="str">
        <f>'Raw Datas'!M66</f>
        <v>0</v>
      </c>
      <c r="N19" s="40" t="str">
        <f>'Raw Datas'!N66</f>
        <v>0</v>
      </c>
      <c r="O19" s="40" t="str">
        <f>'Raw Datas'!O66</f>
        <v>0</v>
      </c>
      <c r="P19" s="40" t="str">
        <f>'Raw Datas'!P66</f>
        <v>0</v>
      </c>
      <c r="Q19" s="40" t="str">
        <f>'Raw Datas'!Q66</f>
        <v>0</v>
      </c>
      <c r="R19" s="40" t="str">
        <f>'Raw Datas'!R66</f>
        <v>0</v>
      </c>
      <c r="S19" s="40" t="str">
        <f>'Raw Datas'!S66</f>
        <v>0</v>
      </c>
      <c r="T19" s="40" t="str">
        <f>'Raw Datas'!T66</f>
        <v>0</v>
      </c>
      <c r="U19" s="40" t="str">
        <f>'Raw Datas'!U66</f>
        <v>0</v>
      </c>
      <c r="V19" s="40" t="str">
        <f>'Raw Datas'!V66</f>
        <v>0</v>
      </c>
    </row>
    <row r="20" spans="1:22" ht="15.75" customHeight="1" x14ac:dyDescent="0.25">
      <c r="A20" s="61"/>
      <c r="B20" s="38" t="s">
        <v>16</v>
      </c>
      <c r="C20" s="40" t="str">
        <f>'Raw Datas'!C67</f>
        <v>0</v>
      </c>
      <c r="D20" s="40" t="str">
        <f>'Raw Datas'!D67</f>
        <v>0</v>
      </c>
      <c r="E20" s="40" t="str">
        <f>'Raw Datas'!E67</f>
        <v>0</v>
      </c>
      <c r="F20" s="40" t="str">
        <f>'Raw Datas'!F67</f>
        <v>0</v>
      </c>
      <c r="G20" s="40" t="str">
        <f>'Raw Datas'!G67</f>
        <v>0</v>
      </c>
      <c r="H20" s="40" t="str">
        <f>'Raw Datas'!H67</f>
        <v>0</v>
      </c>
      <c r="I20" s="40" t="str">
        <f>'Raw Datas'!I67</f>
        <v>0</v>
      </c>
      <c r="J20" s="40" t="str">
        <f>'Raw Datas'!J67</f>
        <v>0</v>
      </c>
      <c r="K20" s="40" t="str">
        <f>'Raw Datas'!K67</f>
        <v>0</v>
      </c>
      <c r="L20" s="40" t="str">
        <f>'Raw Datas'!L67</f>
        <v>0</v>
      </c>
      <c r="M20" s="40" t="str">
        <f>'Raw Datas'!M67</f>
        <v>0</v>
      </c>
      <c r="N20" s="40" t="str">
        <f>'Raw Datas'!N67</f>
        <v>0</v>
      </c>
      <c r="O20" s="40" t="str">
        <f>'Raw Datas'!O67</f>
        <v>0</v>
      </c>
      <c r="P20" s="40" t="str">
        <f>'Raw Datas'!P67</f>
        <v>0</v>
      </c>
      <c r="Q20" s="40" t="str">
        <f>'Raw Datas'!Q67</f>
        <v>0</v>
      </c>
      <c r="R20" s="40" t="str">
        <f>'Raw Datas'!R67</f>
        <v>0</v>
      </c>
      <c r="S20" s="40" t="str">
        <f>'Raw Datas'!S67</f>
        <v>0</v>
      </c>
      <c r="T20" s="40" t="str">
        <f>'Raw Datas'!T67</f>
        <v>0</v>
      </c>
      <c r="U20" s="40" t="str">
        <f>'Raw Datas'!U67</f>
        <v>0</v>
      </c>
      <c r="V20" s="40" t="str">
        <f>'Raw Datas'!V67</f>
        <v>0</v>
      </c>
    </row>
    <row r="21" spans="1:22" ht="15.75" customHeight="1" x14ac:dyDescent="0.25">
      <c r="A21" s="61"/>
      <c r="B21" s="38" t="s">
        <v>17</v>
      </c>
      <c r="C21" s="40" t="str">
        <f>'Raw Datas'!C68</f>
        <v>0</v>
      </c>
      <c r="D21" s="40" t="str">
        <f>'Raw Datas'!D68</f>
        <v>0</v>
      </c>
      <c r="E21" s="40" t="str">
        <f>'Raw Datas'!E68</f>
        <v>0</v>
      </c>
      <c r="F21" s="40" t="str">
        <f>'Raw Datas'!F68</f>
        <v>0</v>
      </c>
      <c r="G21" s="40" t="str">
        <f>'Raw Datas'!G68</f>
        <v>0</v>
      </c>
      <c r="H21" s="40" t="str">
        <f>'Raw Datas'!H68</f>
        <v>0</v>
      </c>
      <c r="I21" s="40" t="str">
        <f>'Raw Datas'!I68</f>
        <v>0</v>
      </c>
      <c r="J21" s="40" t="str">
        <f>'Raw Datas'!J68</f>
        <v>0</v>
      </c>
      <c r="K21" s="40" t="str">
        <f>'Raw Datas'!K68</f>
        <v>0</v>
      </c>
      <c r="L21" s="40" t="str">
        <f>'Raw Datas'!L68</f>
        <v>0</v>
      </c>
      <c r="M21" s="40" t="str">
        <f>'Raw Datas'!M68</f>
        <v>0</v>
      </c>
      <c r="N21" s="40" t="str">
        <f>'Raw Datas'!N68</f>
        <v>0</v>
      </c>
      <c r="O21" s="40" t="str">
        <f>'Raw Datas'!O68</f>
        <v>0</v>
      </c>
      <c r="P21" s="40" t="str">
        <f>'Raw Datas'!P68</f>
        <v>0</v>
      </c>
      <c r="Q21" s="40" t="str">
        <f>'Raw Datas'!Q68</f>
        <v>0</v>
      </c>
      <c r="R21" s="40" t="str">
        <f>'Raw Datas'!R68</f>
        <v>0</v>
      </c>
      <c r="S21" s="40" t="str">
        <f>'Raw Datas'!S68</f>
        <v>0</v>
      </c>
      <c r="T21" s="40" t="str">
        <f>'Raw Datas'!T68</f>
        <v>0</v>
      </c>
      <c r="U21" s="40" t="str">
        <f>'Raw Datas'!U68</f>
        <v>0</v>
      </c>
      <c r="V21" s="40" t="str">
        <f>'Raw Datas'!V68</f>
        <v>0</v>
      </c>
    </row>
    <row r="22" spans="1:22" ht="15.75" customHeight="1" thickBot="1" x14ac:dyDescent="0.3">
      <c r="A22" s="62"/>
      <c r="B22" s="39" t="s">
        <v>18</v>
      </c>
      <c r="C22" s="42">
        <f>'Raw Datas'!C69</f>
        <v>7.573933567592725E-2</v>
      </c>
      <c r="D22" s="42">
        <f>'Raw Datas'!D69</f>
        <v>5.160987859748227E-2</v>
      </c>
      <c r="E22" s="42">
        <f>'Raw Datas'!E69</f>
        <v>6.8083451983862217E-2</v>
      </c>
      <c r="F22" s="42">
        <f>'Raw Datas'!F69</f>
        <v>7.5508868233511328E-2</v>
      </c>
      <c r="G22" s="42">
        <f>'Raw Datas'!G69</f>
        <v>6.8129784619340703E-2</v>
      </c>
      <c r="H22" s="42">
        <f>'Raw Datas'!H69</f>
        <v>8.4061044218348813E-2</v>
      </c>
      <c r="I22" s="42">
        <f>'Raw Datas'!I69</f>
        <v>3.4706842556870919E-2</v>
      </c>
      <c r="J22" s="42">
        <f>'Raw Datas'!J69</f>
        <v>2.5906180423448871E-2</v>
      </c>
      <c r="K22" s="42">
        <f>'Raw Datas'!K69</f>
        <v>3.1094982646670068E-2</v>
      </c>
      <c r="L22" s="42">
        <f>'Raw Datas'!L69</f>
        <v>4.4081001041646022E-2</v>
      </c>
      <c r="M22" s="42">
        <f>'Raw Datas'!M69</f>
        <v>8.8131705465735968E-2</v>
      </c>
      <c r="N22" s="42">
        <f>'Raw Datas'!N69</f>
        <v>3.4554343114656744E-2</v>
      </c>
      <c r="O22" s="42">
        <f>'Raw Datas'!O69</f>
        <v>5.2064891794705269E-2</v>
      </c>
      <c r="P22" s="42">
        <f>'Raw Datas'!P69</f>
        <v>8.9643118826044657E-2</v>
      </c>
      <c r="Q22" s="42">
        <f>'Raw Datas'!Q69</f>
        <v>2.7550347590780767E-2</v>
      </c>
      <c r="R22" s="42">
        <f>'Raw Datas'!R69</f>
        <v>4.863862924677588E-2</v>
      </c>
      <c r="S22" s="42">
        <f>'Raw Datas'!S69</f>
        <v>6.7365230776242263E-2</v>
      </c>
      <c r="T22" s="42">
        <f>'Raw Datas'!T69</f>
        <v>7.599906158676252E-2</v>
      </c>
      <c r="U22" s="42">
        <f>'Raw Datas'!U69</f>
        <v>9.5197391924627589E-2</v>
      </c>
      <c r="V22" s="42">
        <f>'Raw Datas'!V69</f>
        <v>4.0520938936232202E-2</v>
      </c>
    </row>
    <row r="23" spans="1:22" ht="15.75" customHeight="1" thickBot="1" x14ac:dyDescent="0.3"/>
    <row r="24" spans="1:22" ht="15.75" customHeight="1" x14ac:dyDescent="0.25">
      <c r="A24" s="60" t="s">
        <v>19</v>
      </c>
      <c r="B24" s="37" t="s">
        <v>20</v>
      </c>
      <c r="C24" s="41" t="str">
        <f>'Raw Datas'!C70</f>
        <v>0</v>
      </c>
      <c r="D24" s="41" t="str">
        <f>'Raw Datas'!D70</f>
        <v>0</v>
      </c>
      <c r="E24" s="41" t="str">
        <f>'Raw Datas'!E70</f>
        <v>0</v>
      </c>
      <c r="F24" s="41" t="str">
        <f>'Raw Datas'!F70</f>
        <v>0</v>
      </c>
      <c r="G24" s="41" t="str">
        <f>'Raw Datas'!G70</f>
        <v>0</v>
      </c>
      <c r="H24" s="41" t="str">
        <f>'Raw Datas'!H70</f>
        <v>0</v>
      </c>
      <c r="I24" s="41" t="str">
        <f>'Raw Datas'!I70</f>
        <v>0</v>
      </c>
      <c r="J24" s="41" t="str">
        <f>'Raw Datas'!J70</f>
        <v>0</v>
      </c>
      <c r="K24" s="41" t="str">
        <f>'Raw Datas'!K70</f>
        <v>0</v>
      </c>
      <c r="L24" s="41" t="str">
        <f>'Raw Datas'!L70</f>
        <v>0</v>
      </c>
      <c r="M24" s="41" t="str">
        <f>'Raw Datas'!M70</f>
        <v>0</v>
      </c>
      <c r="N24" s="41" t="str">
        <f>'Raw Datas'!N70</f>
        <v>0</v>
      </c>
      <c r="O24" s="41" t="str">
        <f>'Raw Datas'!O70</f>
        <v>0</v>
      </c>
      <c r="P24" s="41" t="str">
        <f>'Raw Datas'!P70</f>
        <v>0</v>
      </c>
      <c r="Q24" s="41" t="str">
        <f>'Raw Datas'!Q70</f>
        <v>0</v>
      </c>
      <c r="R24" s="41" t="str">
        <f>'Raw Datas'!R70</f>
        <v>0</v>
      </c>
      <c r="S24" s="41" t="str">
        <f>'Raw Datas'!S70</f>
        <v>0</v>
      </c>
      <c r="T24" s="41" t="str">
        <f>'Raw Datas'!T70</f>
        <v>0</v>
      </c>
      <c r="U24" s="41" t="str">
        <f>'Raw Datas'!U70</f>
        <v>0</v>
      </c>
      <c r="V24" s="41" t="str">
        <f>'Raw Datas'!V70</f>
        <v>0</v>
      </c>
    </row>
    <row r="25" spans="1:22" ht="15.75" customHeight="1" x14ac:dyDescent="0.25">
      <c r="A25" s="61"/>
      <c r="B25" s="38" t="s">
        <v>21</v>
      </c>
      <c r="C25" s="40" t="str">
        <f>'Raw Datas'!C71</f>
        <v>0</v>
      </c>
      <c r="D25" s="40" t="str">
        <f>'Raw Datas'!D71</f>
        <v>0</v>
      </c>
      <c r="E25" s="40" t="str">
        <f>'Raw Datas'!E71</f>
        <v>0</v>
      </c>
      <c r="F25" s="40" t="str">
        <f>'Raw Datas'!F71</f>
        <v>0</v>
      </c>
      <c r="G25" s="40" t="str">
        <f>'Raw Datas'!G71</f>
        <v>0</v>
      </c>
      <c r="H25" s="40" t="str">
        <f>'Raw Datas'!H71</f>
        <v>0</v>
      </c>
      <c r="I25" s="40" t="str">
        <f>'Raw Datas'!I71</f>
        <v>0</v>
      </c>
      <c r="J25" s="40" t="str">
        <f>'Raw Datas'!J71</f>
        <v>0</v>
      </c>
      <c r="K25" s="40" t="str">
        <f>'Raw Datas'!K71</f>
        <v>0</v>
      </c>
      <c r="L25" s="40" t="str">
        <f>'Raw Datas'!L71</f>
        <v>0</v>
      </c>
      <c r="M25" s="40" t="str">
        <f>'Raw Datas'!M71</f>
        <v>0</v>
      </c>
      <c r="N25" s="40" t="str">
        <f>'Raw Datas'!N71</f>
        <v>0</v>
      </c>
      <c r="O25" s="40" t="str">
        <f>'Raw Datas'!O71</f>
        <v>0</v>
      </c>
      <c r="P25" s="40" t="str">
        <f>'Raw Datas'!P71</f>
        <v>0</v>
      </c>
      <c r="Q25" s="40" t="str">
        <f>'Raw Datas'!Q71</f>
        <v>0</v>
      </c>
      <c r="R25" s="40" t="str">
        <f>'Raw Datas'!R71</f>
        <v>0</v>
      </c>
      <c r="S25" s="40" t="str">
        <f>'Raw Datas'!S71</f>
        <v>0</v>
      </c>
      <c r="T25" s="40" t="str">
        <f>'Raw Datas'!T71</f>
        <v>0</v>
      </c>
      <c r="U25" s="40" t="str">
        <f>'Raw Datas'!U71</f>
        <v>0</v>
      </c>
      <c r="V25" s="40" t="str">
        <f>'Raw Datas'!V71</f>
        <v>0</v>
      </c>
    </row>
    <row r="26" spans="1:22" ht="15.75" customHeight="1" x14ac:dyDescent="0.25">
      <c r="A26" s="61"/>
      <c r="B26" s="38" t="s">
        <v>22</v>
      </c>
      <c r="C26" s="40" t="str">
        <f>'Raw Datas'!C72</f>
        <v>0</v>
      </c>
      <c r="D26" s="40" t="str">
        <f>'Raw Datas'!D72</f>
        <v>0</v>
      </c>
      <c r="E26" s="40" t="str">
        <f>'Raw Datas'!E72</f>
        <v>0</v>
      </c>
      <c r="F26" s="40" t="str">
        <f>'Raw Datas'!F72</f>
        <v>0</v>
      </c>
      <c r="G26" s="40" t="str">
        <f>'Raw Datas'!G72</f>
        <v>0</v>
      </c>
      <c r="H26" s="40" t="str">
        <f>'Raw Datas'!H72</f>
        <v>0</v>
      </c>
      <c r="I26" s="40" t="str">
        <f>'Raw Datas'!I72</f>
        <v>0</v>
      </c>
      <c r="J26" s="40" t="str">
        <f>'Raw Datas'!J72</f>
        <v>0</v>
      </c>
      <c r="K26" s="40" t="str">
        <f>'Raw Datas'!K72</f>
        <v>0</v>
      </c>
      <c r="L26" s="40" t="str">
        <f>'Raw Datas'!L72</f>
        <v>0</v>
      </c>
      <c r="M26" s="40" t="str">
        <f>'Raw Datas'!M72</f>
        <v>0</v>
      </c>
      <c r="N26" s="40" t="str">
        <f>'Raw Datas'!N72</f>
        <v>0</v>
      </c>
      <c r="O26" s="40" t="str">
        <f>'Raw Datas'!O72</f>
        <v>0</v>
      </c>
      <c r="P26" s="40" t="str">
        <f>'Raw Datas'!P72</f>
        <v>0</v>
      </c>
      <c r="Q26" s="40" t="str">
        <f>'Raw Datas'!Q72</f>
        <v>0</v>
      </c>
      <c r="R26" s="40" t="str">
        <f>'Raw Datas'!R72</f>
        <v>0</v>
      </c>
      <c r="S26" s="40" t="str">
        <f>'Raw Datas'!S72</f>
        <v>0</v>
      </c>
      <c r="T26" s="40" t="str">
        <f>'Raw Datas'!T72</f>
        <v>0</v>
      </c>
      <c r="U26" s="40" t="str">
        <f>'Raw Datas'!U72</f>
        <v>0</v>
      </c>
      <c r="V26" s="40" t="str">
        <f>'Raw Datas'!V72</f>
        <v>0</v>
      </c>
    </row>
    <row r="27" spans="1:22" ht="15.75" customHeight="1" x14ac:dyDescent="0.25">
      <c r="A27" s="61"/>
      <c r="B27" s="38" t="s">
        <v>23</v>
      </c>
      <c r="C27" s="40">
        <f>'Raw Datas'!C73</f>
        <v>6.049574615611255E-2</v>
      </c>
      <c r="D27" s="40">
        <f>'Raw Datas'!D73</f>
        <v>0.22466308012657499</v>
      </c>
      <c r="E27" s="40">
        <f>'Raw Datas'!E73</f>
        <v>0.11573739439300856</v>
      </c>
      <c r="F27" s="40">
        <f>'Raw Datas'!F73</f>
        <v>5.3168396302959962E-2</v>
      </c>
      <c r="G27" s="40">
        <f>'Raw Datas'!G73</f>
        <v>0.1332644599929346</v>
      </c>
      <c r="H27" s="40">
        <f>'Raw Datas'!H73</f>
        <v>7.3042754126591503E-2</v>
      </c>
      <c r="I27" s="40">
        <f>'Raw Datas'!I73</f>
        <v>5.1357103763282973E-2</v>
      </c>
      <c r="J27" s="40">
        <f>'Raw Datas'!J73</f>
        <v>0.11496412843759173</v>
      </c>
      <c r="K27" s="40">
        <f>'Raw Datas'!K73</f>
        <v>5.790805246464293E-2</v>
      </c>
      <c r="L27" s="40">
        <f>'Raw Datas'!L73</f>
        <v>0.12767443302114992</v>
      </c>
      <c r="M27" s="40">
        <f>'Raw Datas'!M73</f>
        <v>3.4874617892571722E-2</v>
      </c>
      <c r="N27" s="40">
        <f>'Raw Datas'!N73</f>
        <v>6.3335414458789971E-2</v>
      </c>
      <c r="O27" s="40">
        <f>'Raw Datas'!O73</f>
        <v>0.13007956945123775</v>
      </c>
      <c r="P27" s="40">
        <f>'Raw Datas'!P73</f>
        <v>0.16353593775185996</v>
      </c>
      <c r="Q27" s="40">
        <f>'Raw Datas'!Q73</f>
        <v>0.10855082981530247</v>
      </c>
      <c r="R27" s="40">
        <f>'Raw Datas'!R73</f>
        <v>4.5753418070433538E-2</v>
      </c>
      <c r="S27" s="40">
        <f>'Raw Datas'!S73</f>
        <v>8.4583603204702443E-2</v>
      </c>
      <c r="T27" s="40">
        <f>'Raw Datas'!T73</f>
        <v>9.263061054993578E-2</v>
      </c>
      <c r="U27" s="40">
        <f>'Raw Datas'!U73</f>
        <v>0.23104237689469159</v>
      </c>
      <c r="V27" s="40">
        <f>'Raw Datas'!V73</f>
        <v>9.7784474811796515E-2</v>
      </c>
    </row>
    <row r="28" spans="1:22" ht="15.75" customHeight="1" x14ac:dyDescent="0.25">
      <c r="A28" s="61"/>
      <c r="B28" s="38" t="s">
        <v>24</v>
      </c>
      <c r="C28" s="40" t="str">
        <f>'Raw Datas'!C74</f>
        <v>0</v>
      </c>
      <c r="D28" s="40" t="str">
        <f>'Raw Datas'!D74</f>
        <v>0</v>
      </c>
      <c r="E28" s="40" t="str">
        <f>'Raw Datas'!E74</f>
        <v>0</v>
      </c>
      <c r="F28" s="40" t="str">
        <f>'Raw Datas'!F74</f>
        <v>0</v>
      </c>
      <c r="G28" s="40" t="str">
        <f>'Raw Datas'!G74</f>
        <v>0</v>
      </c>
      <c r="H28" s="40" t="str">
        <f>'Raw Datas'!H74</f>
        <v>0</v>
      </c>
      <c r="I28" s="40" t="str">
        <f>'Raw Datas'!I74</f>
        <v>0</v>
      </c>
      <c r="J28" s="40" t="str">
        <f>'Raw Datas'!J74</f>
        <v>0</v>
      </c>
      <c r="K28" s="40" t="str">
        <f>'Raw Datas'!K74</f>
        <v>0</v>
      </c>
      <c r="L28" s="40" t="str">
        <f>'Raw Datas'!L74</f>
        <v>0</v>
      </c>
      <c r="M28" s="40" t="str">
        <f>'Raw Datas'!M74</f>
        <v>0</v>
      </c>
      <c r="N28" s="40" t="str">
        <f>'Raw Datas'!N74</f>
        <v>0</v>
      </c>
      <c r="O28" s="40" t="str">
        <f>'Raw Datas'!O74</f>
        <v>0</v>
      </c>
      <c r="P28" s="40" t="str">
        <f>'Raw Datas'!P74</f>
        <v>0</v>
      </c>
      <c r="Q28" s="40" t="str">
        <f>'Raw Datas'!Q74</f>
        <v>0</v>
      </c>
      <c r="R28" s="40" t="str">
        <f>'Raw Datas'!R74</f>
        <v>0</v>
      </c>
      <c r="S28" s="40" t="str">
        <f>'Raw Datas'!S74</f>
        <v>0</v>
      </c>
      <c r="T28" s="40" t="str">
        <f>'Raw Datas'!T74</f>
        <v>0</v>
      </c>
      <c r="U28" s="40" t="str">
        <f>'Raw Datas'!U74</f>
        <v>0</v>
      </c>
      <c r="V28" s="40" t="str">
        <f>'Raw Datas'!V74</f>
        <v>0</v>
      </c>
    </row>
    <row r="29" spans="1:22" x14ac:dyDescent="0.25">
      <c r="A29" s="61"/>
      <c r="B29" s="38" t="s">
        <v>25</v>
      </c>
      <c r="C29" s="40">
        <f>'Raw Datas'!C75</f>
        <v>7.571261226803272E-2</v>
      </c>
      <c r="D29" s="40">
        <f>'Raw Datas'!D75</f>
        <v>0.17121686603872943</v>
      </c>
      <c r="E29" s="40">
        <f>'Raw Datas'!E75</f>
        <v>9.6857843194242135E-2</v>
      </c>
      <c r="F29" s="40">
        <f>'Raw Datas'!F75</f>
        <v>8.7790505936106822E-2</v>
      </c>
      <c r="G29" s="40">
        <f>'Raw Datas'!G75</f>
        <v>8.7064233555304987E-2</v>
      </c>
      <c r="H29" s="40">
        <f>'Raw Datas'!H75</f>
        <v>9.8398476648010547E-2</v>
      </c>
      <c r="I29" s="40">
        <f>'Raw Datas'!I75</f>
        <v>7.4641657324600375E-2</v>
      </c>
      <c r="J29" s="40">
        <f>'Raw Datas'!J75</f>
        <v>5.6995944387529265E-2</v>
      </c>
      <c r="K29" s="40">
        <f>'Raw Datas'!K75</f>
        <v>0.10316320612948277</v>
      </c>
      <c r="L29" s="40">
        <f>'Raw Datas'!L75</f>
        <v>0.12382954066549957</v>
      </c>
      <c r="M29" s="40">
        <f>'Raw Datas'!M75</f>
        <v>8.3723221195280584E-2</v>
      </c>
      <c r="N29" s="40">
        <f>'Raw Datas'!N75</f>
        <v>5.7464571892339139E-2</v>
      </c>
      <c r="O29" s="40">
        <f>'Raw Datas'!O75</f>
        <v>0.11146465259210959</v>
      </c>
      <c r="P29" s="40">
        <f>'Raw Datas'!P75</f>
        <v>0.14967354652454487</v>
      </c>
      <c r="Q29" s="40">
        <f>'Raw Datas'!Q75</f>
        <v>6.7072184443388708E-2</v>
      </c>
      <c r="R29" s="40">
        <f>'Raw Datas'!R75</f>
        <v>6.8016796873936872E-2</v>
      </c>
      <c r="S29" s="40">
        <f>'Raw Datas'!S75</f>
        <v>8.3763765882016408E-2</v>
      </c>
      <c r="T29" s="40">
        <f>'Raw Datas'!T75</f>
        <v>0.10978576850112452</v>
      </c>
      <c r="U29" s="40">
        <f>'Raw Datas'!U75</f>
        <v>0.15981322217628541</v>
      </c>
      <c r="V29" s="40">
        <f>'Raw Datas'!V75</f>
        <v>0.10628683289630503</v>
      </c>
    </row>
    <row r="30" spans="1:22" ht="15.75" customHeight="1" x14ac:dyDescent="0.25">
      <c r="A30" s="61"/>
      <c r="B30" s="38" t="s">
        <v>26</v>
      </c>
      <c r="C30" s="40" t="str">
        <f>'Raw Datas'!C76</f>
        <v>0</v>
      </c>
      <c r="D30" s="40" t="str">
        <f>'Raw Datas'!D76</f>
        <v>0</v>
      </c>
      <c r="E30" s="40" t="str">
        <f>'Raw Datas'!E76</f>
        <v>0</v>
      </c>
      <c r="F30" s="40" t="str">
        <f>'Raw Datas'!F76</f>
        <v>0</v>
      </c>
      <c r="G30" s="40" t="str">
        <f>'Raw Datas'!G76</f>
        <v>0</v>
      </c>
      <c r="H30" s="40" t="str">
        <f>'Raw Datas'!H76</f>
        <v>0</v>
      </c>
      <c r="I30" s="40" t="str">
        <f>'Raw Datas'!I76</f>
        <v>0</v>
      </c>
      <c r="J30" s="40" t="str">
        <f>'Raw Datas'!J76</f>
        <v>0</v>
      </c>
      <c r="K30" s="40" t="str">
        <f>'Raw Datas'!K76</f>
        <v>0</v>
      </c>
      <c r="L30" s="40" t="str">
        <f>'Raw Datas'!L76</f>
        <v>0</v>
      </c>
      <c r="M30" s="40" t="str">
        <f>'Raw Datas'!M76</f>
        <v>0</v>
      </c>
      <c r="N30" s="40" t="str">
        <f>'Raw Datas'!N76</f>
        <v>0</v>
      </c>
      <c r="O30" s="40" t="str">
        <f>'Raw Datas'!O76</f>
        <v>0</v>
      </c>
      <c r="P30" s="40" t="str">
        <f>'Raw Datas'!P76</f>
        <v>0</v>
      </c>
      <c r="Q30" s="40" t="str">
        <f>'Raw Datas'!Q76</f>
        <v>0</v>
      </c>
      <c r="R30" s="40" t="str">
        <f>'Raw Datas'!R76</f>
        <v>0</v>
      </c>
      <c r="S30" s="40" t="str">
        <f>'Raw Datas'!S76</f>
        <v>0</v>
      </c>
      <c r="T30" s="40" t="str">
        <f>'Raw Datas'!T76</f>
        <v>0</v>
      </c>
      <c r="U30" s="40" t="str">
        <f>'Raw Datas'!U76</f>
        <v>0</v>
      </c>
      <c r="V30" s="40" t="str">
        <f>'Raw Datas'!V76</f>
        <v>0</v>
      </c>
    </row>
    <row r="31" spans="1:22" ht="15" customHeight="1" x14ac:dyDescent="0.25">
      <c r="A31" s="61"/>
      <c r="B31" s="38" t="s">
        <v>27</v>
      </c>
      <c r="C31" s="40">
        <f>'Raw Datas'!C77</f>
        <v>0.93951635796046562</v>
      </c>
      <c r="D31" s="40">
        <f>'Raw Datas'!D77</f>
        <v>1.4711250230714721</v>
      </c>
      <c r="E31" s="40">
        <f>'Raw Datas'!E77</f>
        <v>1.5800342241828342</v>
      </c>
      <c r="F31" s="40">
        <f>'Raw Datas'!F77</f>
        <v>0.80715018555238049</v>
      </c>
      <c r="G31" s="40">
        <f>'Raw Datas'!G77</f>
        <v>1.3111360472609908</v>
      </c>
      <c r="H31" s="40">
        <f>'Raw Datas'!H77</f>
        <v>1.2154351149989442</v>
      </c>
      <c r="I31" s="40">
        <f>'Raw Datas'!I77</f>
        <v>1.1151258650149849</v>
      </c>
      <c r="J31" s="40">
        <f>'Raw Datas'!J77</f>
        <v>1.0671205880559267</v>
      </c>
      <c r="K31" s="40">
        <f>'Raw Datas'!K77</f>
        <v>0.96040074768058048</v>
      </c>
      <c r="L31" s="40">
        <f>'Raw Datas'!L77</f>
        <v>1.6128594521448558</v>
      </c>
      <c r="M31" s="40">
        <f>'Raw Datas'!M77</f>
        <v>0.92375068830495788</v>
      </c>
      <c r="N31" s="40">
        <f>'Raw Datas'!N77</f>
        <v>0.9849676276048942</v>
      </c>
      <c r="O31" s="40">
        <f>'Raw Datas'!O77</f>
        <v>1.2356432730568454</v>
      </c>
      <c r="P31" s="40">
        <f>'Raw Datas'!P77</f>
        <v>2.5249852751439859</v>
      </c>
      <c r="Q31" s="40">
        <f>'Raw Datas'!Q77</f>
        <v>1.1347369039418844</v>
      </c>
      <c r="R31" s="40">
        <f>'Raw Datas'!R77</f>
        <v>0.8188337754113697</v>
      </c>
      <c r="S31" s="40">
        <f>'Raw Datas'!S77</f>
        <v>0.98345245144499094</v>
      </c>
      <c r="T31" s="40">
        <f>'Raw Datas'!T77</f>
        <v>1.2211442236648296</v>
      </c>
      <c r="U31" s="40">
        <f>'Raw Datas'!U77</f>
        <v>2.6529153187463512</v>
      </c>
      <c r="V31" s="40">
        <f>'Raw Datas'!V77</f>
        <v>1.7916386015624279</v>
      </c>
    </row>
    <row r="32" spans="1:22" ht="15" customHeight="1" x14ac:dyDescent="0.25">
      <c r="A32" s="61"/>
      <c r="B32" s="38" t="s">
        <v>28</v>
      </c>
      <c r="C32" s="40" t="str">
        <f>'Raw Datas'!C78</f>
        <v>0</v>
      </c>
      <c r="D32" s="40" t="str">
        <f>'Raw Datas'!D78</f>
        <v>0</v>
      </c>
      <c r="E32" s="40" t="str">
        <f>'Raw Datas'!E78</f>
        <v>0</v>
      </c>
      <c r="F32" s="40" t="str">
        <f>'Raw Datas'!F78</f>
        <v>0</v>
      </c>
      <c r="G32" s="40" t="str">
        <f>'Raw Datas'!G78</f>
        <v>0</v>
      </c>
      <c r="H32" s="40" t="str">
        <f>'Raw Datas'!H78</f>
        <v>0</v>
      </c>
      <c r="I32" s="40" t="str">
        <f>'Raw Datas'!I78</f>
        <v>0</v>
      </c>
      <c r="J32" s="40" t="str">
        <f>'Raw Datas'!J78</f>
        <v>0</v>
      </c>
      <c r="K32" s="40" t="str">
        <f>'Raw Datas'!K78</f>
        <v>0</v>
      </c>
      <c r="L32" s="40" t="str">
        <f>'Raw Datas'!L78</f>
        <v>0</v>
      </c>
      <c r="M32" s="40" t="str">
        <f>'Raw Datas'!M78</f>
        <v>0</v>
      </c>
      <c r="N32" s="40" t="str">
        <f>'Raw Datas'!N78</f>
        <v>0</v>
      </c>
      <c r="O32" s="40" t="str">
        <f>'Raw Datas'!O78</f>
        <v>0</v>
      </c>
      <c r="P32" s="40" t="str">
        <f>'Raw Datas'!P78</f>
        <v>0</v>
      </c>
      <c r="Q32" s="40" t="str">
        <f>'Raw Datas'!Q78</f>
        <v>0</v>
      </c>
      <c r="R32" s="40" t="str">
        <f>'Raw Datas'!R78</f>
        <v>0</v>
      </c>
      <c r="S32" s="40" t="str">
        <f>'Raw Datas'!S78</f>
        <v>0</v>
      </c>
      <c r="T32" s="40" t="str">
        <f>'Raw Datas'!T78</f>
        <v>0</v>
      </c>
      <c r="U32" s="40" t="str">
        <f>'Raw Datas'!U78</f>
        <v>0</v>
      </c>
      <c r="V32" s="40" t="str">
        <f>'Raw Datas'!V78</f>
        <v>0</v>
      </c>
    </row>
    <row r="33" spans="1:22" ht="15" customHeight="1" x14ac:dyDescent="0.25">
      <c r="A33" s="61"/>
      <c r="B33" s="38" t="s">
        <v>29</v>
      </c>
      <c r="C33" s="40" t="str">
        <f>'Raw Datas'!C79</f>
        <v>0</v>
      </c>
      <c r="D33" s="40" t="str">
        <f>'Raw Datas'!D79</f>
        <v>0</v>
      </c>
      <c r="E33" s="40" t="str">
        <f>'Raw Datas'!E79</f>
        <v>0</v>
      </c>
      <c r="F33" s="40" t="str">
        <f>'Raw Datas'!F79</f>
        <v>0</v>
      </c>
      <c r="G33" s="40" t="str">
        <f>'Raw Datas'!G79</f>
        <v>0</v>
      </c>
      <c r="H33" s="40" t="str">
        <f>'Raw Datas'!H79</f>
        <v>0</v>
      </c>
      <c r="I33" s="40" t="str">
        <f>'Raw Datas'!I79</f>
        <v>0</v>
      </c>
      <c r="J33" s="40" t="str">
        <f>'Raw Datas'!J79</f>
        <v>0</v>
      </c>
      <c r="K33" s="40" t="str">
        <f>'Raw Datas'!K79</f>
        <v>0</v>
      </c>
      <c r="L33" s="40" t="str">
        <f>'Raw Datas'!L79</f>
        <v>0</v>
      </c>
      <c r="M33" s="40" t="str">
        <f>'Raw Datas'!M79</f>
        <v>0</v>
      </c>
      <c r="N33" s="40" t="str">
        <f>'Raw Datas'!N79</f>
        <v>0</v>
      </c>
      <c r="O33" s="40" t="str">
        <f>'Raw Datas'!O79</f>
        <v>0</v>
      </c>
      <c r="P33" s="40" t="str">
        <f>'Raw Datas'!P79</f>
        <v>0</v>
      </c>
      <c r="Q33" s="40" t="str">
        <f>'Raw Datas'!Q79</f>
        <v>0</v>
      </c>
      <c r="R33" s="40" t="str">
        <f>'Raw Datas'!R79</f>
        <v>0</v>
      </c>
      <c r="S33" s="40" t="str">
        <f>'Raw Datas'!S79</f>
        <v>0</v>
      </c>
      <c r="T33" s="40" t="str">
        <f>'Raw Datas'!T79</f>
        <v>0</v>
      </c>
      <c r="U33" s="40" t="str">
        <f>'Raw Datas'!U79</f>
        <v>0</v>
      </c>
      <c r="V33" s="40" t="str">
        <f>'Raw Datas'!V79</f>
        <v>0</v>
      </c>
    </row>
    <row r="34" spans="1:22" ht="15" customHeight="1" thickBot="1" x14ac:dyDescent="0.3">
      <c r="A34" s="62"/>
      <c r="B34" s="39" t="s">
        <v>30</v>
      </c>
      <c r="C34" s="42" t="str">
        <f>'Raw Datas'!C80</f>
        <v>0</v>
      </c>
      <c r="D34" s="42" t="str">
        <f>'Raw Datas'!D80</f>
        <v>0</v>
      </c>
      <c r="E34" s="42" t="str">
        <f>'Raw Datas'!E80</f>
        <v>0</v>
      </c>
      <c r="F34" s="42" t="str">
        <f>'Raw Datas'!F80</f>
        <v>0</v>
      </c>
      <c r="G34" s="42" t="str">
        <f>'Raw Datas'!G80</f>
        <v>0</v>
      </c>
      <c r="H34" s="42" t="str">
        <f>'Raw Datas'!H80</f>
        <v>0</v>
      </c>
      <c r="I34" s="42" t="str">
        <f>'Raw Datas'!I80</f>
        <v>0</v>
      </c>
      <c r="J34" s="42" t="str">
        <f>'Raw Datas'!J80</f>
        <v>0</v>
      </c>
      <c r="K34" s="42" t="str">
        <f>'Raw Datas'!K80</f>
        <v>0</v>
      </c>
      <c r="L34" s="42" t="str">
        <f>'Raw Datas'!L80</f>
        <v>0</v>
      </c>
      <c r="M34" s="42" t="str">
        <f>'Raw Datas'!M80</f>
        <v>0</v>
      </c>
      <c r="N34" s="42" t="str">
        <f>'Raw Datas'!N80</f>
        <v>0</v>
      </c>
      <c r="O34" s="42" t="str">
        <f>'Raw Datas'!O80</f>
        <v>0</v>
      </c>
      <c r="P34" s="42" t="str">
        <f>'Raw Datas'!P80</f>
        <v>0</v>
      </c>
      <c r="Q34" s="42" t="str">
        <f>'Raw Datas'!Q80</f>
        <v>0</v>
      </c>
      <c r="R34" s="42" t="str">
        <f>'Raw Datas'!R80</f>
        <v>0</v>
      </c>
      <c r="S34" s="42" t="str">
        <f>'Raw Datas'!S80</f>
        <v>0</v>
      </c>
      <c r="T34" s="42" t="str">
        <f>'Raw Datas'!T80</f>
        <v>0</v>
      </c>
      <c r="U34" s="42" t="str">
        <f>'Raw Datas'!U80</f>
        <v>0</v>
      </c>
      <c r="V34" s="42" t="str">
        <f>'Raw Datas'!V80</f>
        <v>0</v>
      </c>
    </row>
    <row r="35" spans="1:22" ht="15" customHeight="1" thickBot="1" x14ac:dyDescent="0.3"/>
    <row r="36" spans="1:22" ht="15" customHeight="1" x14ac:dyDescent="0.25">
      <c r="A36" s="60" t="s">
        <v>31</v>
      </c>
      <c r="B36" s="37" t="s">
        <v>32</v>
      </c>
      <c r="C36" s="41" t="str">
        <f>'Raw Datas'!C81</f>
        <v>0</v>
      </c>
      <c r="D36" s="41" t="str">
        <f>'Raw Datas'!D81</f>
        <v>0</v>
      </c>
      <c r="E36" s="41" t="str">
        <f>'Raw Datas'!E81</f>
        <v>0</v>
      </c>
      <c r="F36" s="41" t="str">
        <f>'Raw Datas'!F81</f>
        <v>0</v>
      </c>
      <c r="G36" s="41" t="str">
        <f>'Raw Datas'!G81</f>
        <v>0</v>
      </c>
      <c r="H36" s="41" t="str">
        <f>'Raw Datas'!H81</f>
        <v>0</v>
      </c>
      <c r="I36" s="41" t="str">
        <f>'Raw Datas'!I81</f>
        <v>0</v>
      </c>
      <c r="J36" s="41" t="str">
        <f>'Raw Datas'!J81</f>
        <v>0</v>
      </c>
      <c r="K36" s="41" t="str">
        <f>'Raw Datas'!K81</f>
        <v>0</v>
      </c>
      <c r="L36" s="41" t="str">
        <f>'Raw Datas'!L81</f>
        <v>0</v>
      </c>
      <c r="M36" s="41" t="str">
        <f>'Raw Datas'!M81</f>
        <v>0</v>
      </c>
      <c r="N36" s="41" t="str">
        <f>'Raw Datas'!N81</f>
        <v>0</v>
      </c>
      <c r="O36" s="41" t="str">
        <f>'Raw Datas'!O81</f>
        <v>0</v>
      </c>
      <c r="P36" s="41" t="str">
        <f>'Raw Datas'!P81</f>
        <v>0</v>
      </c>
      <c r="Q36" s="41" t="str">
        <f>'Raw Datas'!Q81</f>
        <v>0</v>
      </c>
      <c r="R36" s="41" t="str">
        <f>'Raw Datas'!R81</f>
        <v>0</v>
      </c>
      <c r="S36" s="41" t="str">
        <f>'Raw Datas'!S81</f>
        <v>0</v>
      </c>
      <c r="T36" s="41" t="str">
        <f>'Raw Datas'!T81</f>
        <v>0</v>
      </c>
      <c r="U36" s="41" t="str">
        <f>'Raw Datas'!U81</f>
        <v>0</v>
      </c>
      <c r="V36" s="41" t="str">
        <f>'Raw Datas'!V81</f>
        <v>0</v>
      </c>
    </row>
    <row r="37" spans="1:22" ht="15" customHeight="1" x14ac:dyDescent="0.25">
      <c r="A37" s="61"/>
      <c r="B37" s="38" t="s">
        <v>33</v>
      </c>
      <c r="C37" s="40" t="str">
        <f>'Raw Datas'!C82</f>
        <v>0</v>
      </c>
      <c r="D37" s="40" t="str">
        <f>'Raw Datas'!D82</f>
        <v>0</v>
      </c>
      <c r="E37" s="40" t="str">
        <f>'Raw Datas'!E82</f>
        <v>0</v>
      </c>
      <c r="F37" s="40" t="str">
        <f>'Raw Datas'!F82</f>
        <v>0</v>
      </c>
      <c r="G37" s="40" t="str">
        <f>'Raw Datas'!G82</f>
        <v>0</v>
      </c>
      <c r="H37" s="40" t="str">
        <f>'Raw Datas'!H82</f>
        <v>0</v>
      </c>
      <c r="I37" s="40" t="str">
        <f>'Raw Datas'!I82</f>
        <v>0</v>
      </c>
      <c r="J37" s="40" t="str">
        <f>'Raw Datas'!J82</f>
        <v>0</v>
      </c>
      <c r="K37" s="40" t="str">
        <f>'Raw Datas'!K82</f>
        <v>0</v>
      </c>
      <c r="L37" s="40" t="str">
        <f>'Raw Datas'!L82</f>
        <v>0</v>
      </c>
      <c r="M37" s="40" t="str">
        <f>'Raw Datas'!M82</f>
        <v>0</v>
      </c>
      <c r="N37" s="40" t="str">
        <f>'Raw Datas'!N82</f>
        <v>0</v>
      </c>
      <c r="O37" s="40" t="str">
        <f>'Raw Datas'!O82</f>
        <v>0</v>
      </c>
      <c r="P37" s="40" t="str">
        <f>'Raw Datas'!P82</f>
        <v>0</v>
      </c>
      <c r="Q37" s="40" t="str">
        <f>'Raw Datas'!Q82</f>
        <v>0</v>
      </c>
      <c r="R37" s="40" t="str">
        <f>'Raw Datas'!R82</f>
        <v>0</v>
      </c>
      <c r="S37" s="40" t="str">
        <f>'Raw Datas'!S82</f>
        <v>0</v>
      </c>
      <c r="T37" s="40" t="str">
        <f>'Raw Datas'!T82</f>
        <v>0</v>
      </c>
      <c r="U37" s="40" t="str">
        <f>'Raw Datas'!U82</f>
        <v>0</v>
      </c>
      <c r="V37" s="40" t="str">
        <f>'Raw Datas'!V82</f>
        <v>0</v>
      </c>
    </row>
    <row r="38" spans="1:22" ht="15.75" customHeight="1" x14ac:dyDescent="0.25">
      <c r="A38" s="61"/>
      <c r="B38" s="38" t="s">
        <v>34</v>
      </c>
      <c r="C38" s="40" t="str">
        <f>'Raw Datas'!C83</f>
        <v>0</v>
      </c>
      <c r="D38" s="40" t="str">
        <f>'Raw Datas'!D83</f>
        <v>0</v>
      </c>
      <c r="E38" s="40" t="str">
        <f>'Raw Datas'!E83</f>
        <v>0</v>
      </c>
      <c r="F38" s="40" t="str">
        <f>'Raw Datas'!F83</f>
        <v>0</v>
      </c>
      <c r="G38" s="40" t="str">
        <f>'Raw Datas'!G83</f>
        <v>0</v>
      </c>
      <c r="H38" s="40" t="str">
        <f>'Raw Datas'!H83</f>
        <v>0</v>
      </c>
      <c r="I38" s="40" t="str">
        <f>'Raw Datas'!I83</f>
        <v>0</v>
      </c>
      <c r="J38" s="40" t="str">
        <f>'Raw Datas'!J83</f>
        <v>0</v>
      </c>
      <c r="K38" s="40" t="str">
        <f>'Raw Datas'!K83</f>
        <v>0</v>
      </c>
      <c r="L38" s="40" t="str">
        <f>'Raw Datas'!L83</f>
        <v>0</v>
      </c>
      <c r="M38" s="40" t="str">
        <f>'Raw Datas'!M83</f>
        <v>0</v>
      </c>
      <c r="N38" s="40" t="str">
        <f>'Raw Datas'!N83</f>
        <v>0</v>
      </c>
      <c r="O38" s="40" t="str">
        <f>'Raw Datas'!O83</f>
        <v>0</v>
      </c>
      <c r="P38" s="40" t="str">
        <f>'Raw Datas'!P83</f>
        <v>0</v>
      </c>
      <c r="Q38" s="40" t="str">
        <f>'Raw Datas'!Q83</f>
        <v>0</v>
      </c>
      <c r="R38" s="40" t="str">
        <f>'Raw Datas'!R83</f>
        <v>0</v>
      </c>
      <c r="S38" s="40" t="str">
        <f>'Raw Datas'!S83</f>
        <v>0</v>
      </c>
      <c r="T38" s="40" t="str">
        <f>'Raw Datas'!T83</f>
        <v>0</v>
      </c>
      <c r="U38" s="40" t="str">
        <f>'Raw Datas'!U83</f>
        <v>0</v>
      </c>
      <c r="V38" s="40" t="str">
        <f>'Raw Datas'!V83</f>
        <v>0</v>
      </c>
    </row>
    <row r="39" spans="1:22" ht="15.75" customHeight="1" x14ac:dyDescent="0.25">
      <c r="A39" s="61"/>
      <c r="B39" s="38" t="s">
        <v>35</v>
      </c>
      <c r="C39" s="40" t="str">
        <f>'Raw Datas'!C84</f>
        <v>0</v>
      </c>
      <c r="D39" s="40" t="str">
        <f>'Raw Datas'!D84</f>
        <v>0</v>
      </c>
      <c r="E39" s="40" t="str">
        <f>'Raw Datas'!E84</f>
        <v>0</v>
      </c>
      <c r="F39" s="40" t="str">
        <f>'Raw Datas'!F84</f>
        <v>0</v>
      </c>
      <c r="G39" s="40" t="str">
        <f>'Raw Datas'!G84</f>
        <v>0</v>
      </c>
      <c r="H39" s="40" t="str">
        <f>'Raw Datas'!H84</f>
        <v>0</v>
      </c>
      <c r="I39" s="40" t="str">
        <f>'Raw Datas'!I84</f>
        <v>0</v>
      </c>
      <c r="J39" s="40" t="str">
        <f>'Raw Datas'!J84</f>
        <v>0</v>
      </c>
      <c r="K39" s="40" t="str">
        <f>'Raw Datas'!K84</f>
        <v>0</v>
      </c>
      <c r="L39" s="40" t="str">
        <f>'Raw Datas'!L84</f>
        <v>0</v>
      </c>
      <c r="M39" s="40" t="str">
        <f>'Raw Datas'!M84</f>
        <v>0</v>
      </c>
      <c r="N39" s="40" t="str">
        <f>'Raw Datas'!N84</f>
        <v>0</v>
      </c>
      <c r="O39" s="40" t="str">
        <f>'Raw Datas'!O84</f>
        <v>0</v>
      </c>
      <c r="P39" s="40" t="str">
        <f>'Raw Datas'!P84</f>
        <v>0</v>
      </c>
      <c r="Q39" s="40" t="str">
        <f>'Raw Datas'!Q84</f>
        <v>0</v>
      </c>
      <c r="R39" s="40" t="str">
        <f>'Raw Datas'!R84</f>
        <v>0</v>
      </c>
      <c r="S39" s="40" t="str">
        <f>'Raw Datas'!S84</f>
        <v>0</v>
      </c>
      <c r="T39" s="40" t="str">
        <f>'Raw Datas'!T84</f>
        <v>0</v>
      </c>
      <c r="U39" s="40" t="str">
        <f>'Raw Datas'!U84</f>
        <v>0</v>
      </c>
      <c r="V39" s="40" t="str">
        <f>'Raw Datas'!V84</f>
        <v>0</v>
      </c>
    </row>
    <row r="40" spans="1:22" ht="15.75" customHeight="1" x14ac:dyDescent="0.25">
      <c r="A40" s="61"/>
      <c r="B40" s="38" t="s">
        <v>36</v>
      </c>
      <c r="C40" s="40">
        <f>'Raw Datas'!C85</f>
        <v>1.1555306356890851</v>
      </c>
      <c r="D40" s="40">
        <f>'Raw Datas'!D85</f>
        <v>1.1711562020025867</v>
      </c>
      <c r="E40" s="40">
        <f>'Raw Datas'!E85</f>
        <v>1.1840310336545437</v>
      </c>
      <c r="F40" s="40">
        <f>'Raw Datas'!F85</f>
        <v>1.0501976472782071</v>
      </c>
      <c r="G40" s="40">
        <f>'Raw Datas'!G85</f>
        <v>1.0317720964723467</v>
      </c>
      <c r="H40" s="40">
        <f>'Raw Datas'!H85</f>
        <v>1.5069489081583984</v>
      </c>
      <c r="I40" s="40">
        <f>'Raw Datas'!I85</f>
        <v>0.94551125791304991</v>
      </c>
      <c r="J40" s="40">
        <f>'Raw Datas'!J85</f>
        <v>0.79221571885254138</v>
      </c>
      <c r="K40" s="40">
        <f>'Raw Datas'!K85</f>
        <v>1.0336189636783408</v>
      </c>
      <c r="L40" s="40">
        <f>'Raw Datas'!L85</f>
        <v>1.103174079261029</v>
      </c>
      <c r="M40" s="40">
        <f>'Raw Datas'!M85</f>
        <v>1.1874333774346753</v>
      </c>
      <c r="N40" s="40">
        <f>'Raw Datas'!N85</f>
        <v>0.94316456011635885</v>
      </c>
      <c r="O40" s="40">
        <f>'Raw Datas'!O85</f>
        <v>1.173075223027082</v>
      </c>
      <c r="P40" s="40">
        <f>'Raw Datas'!P85</f>
        <v>2.0361363266957109</v>
      </c>
      <c r="Q40" s="40">
        <f>'Raw Datas'!Q85</f>
        <v>1.4186858463731036</v>
      </c>
      <c r="R40" s="40">
        <f>'Raw Datas'!R85</f>
        <v>0.86062137105744363</v>
      </c>
      <c r="S40" s="40">
        <f>'Raw Datas'!S85</f>
        <v>1.1140780554066863</v>
      </c>
      <c r="T40" s="40">
        <f>'Raw Datas'!T85</f>
        <v>1.2243540045599242</v>
      </c>
      <c r="U40" s="40">
        <f>'Raw Datas'!U85</f>
        <v>2.0020526195842354</v>
      </c>
      <c r="V40" s="40">
        <f>'Raw Datas'!V85</f>
        <v>1.1790383508274953</v>
      </c>
    </row>
    <row r="41" spans="1:22" ht="15.75" customHeight="1" x14ac:dyDescent="0.25">
      <c r="A41" s="61"/>
      <c r="B41" s="38" t="s">
        <v>37</v>
      </c>
      <c r="C41" s="40" t="str">
        <f>'Raw Datas'!C86</f>
        <v>0</v>
      </c>
      <c r="D41" s="40" t="str">
        <f>'Raw Datas'!D86</f>
        <v>0</v>
      </c>
      <c r="E41" s="40" t="str">
        <f>'Raw Datas'!E86</f>
        <v>0</v>
      </c>
      <c r="F41" s="40" t="str">
        <f>'Raw Datas'!F86</f>
        <v>0</v>
      </c>
      <c r="G41" s="40" t="str">
        <f>'Raw Datas'!G86</f>
        <v>0</v>
      </c>
      <c r="H41" s="40" t="str">
        <f>'Raw Datas'!H86</f>
        <v>0</v>
      </c>
      <c r="I41" s="40" t="str">
        <f>'Raw Datas'!I86</f>
        <v>0</v>
      </c>
      <c r="J41" s="40" t="str">
        <f>'Raw Datas'!J86</f>
        <v>0</v>
      </c>
      <c r="K41" s="40" t="str">
        <f>'Raw Datas'!K86</f>
        <v>0</v>
      </c>
      <c r="L41" s="40" t="str">
        <f>'Raw Datas'!L86</f>
        <v>0</v>
      </c>
      <c r="M41" s="40" t="str">
        <f>'Raw Datas'!M86</f>
        <v>0</v>
      </c>
      <c r="N41" s="40" t="str">
        <f>'Raw Datas'!N86</f>
        <v>0</v>
      </c>
      <c r="O41" s="40" t="str">
        <f>'Raw Datas'!O86</f>
        <v>0</v>
      </c>
      <c r="P41" s="40" t="str">
        <f>'Raw Datas'!P86</f>
        <v>0</v>
      </c>
      <c r="Q41" s="40" t="str">
        <f>'Raw Datas'!Q86</f>
        <v>0</v>
      </c>
      <c r="R41" s="40" t="str">
        <f>'Raw Datas'!R86</f>
        <v>0</v>
      </c>
      <c r="S41" s="40" t="str">
        <f>'Raw Datas'!S86</f>
        <v>0</v>
      </c>
      <c r="T41" s="40" t="str">
        <f>'Raw Datas'!T86</f>
        <v>0</v>
      </c>
      <c r="U41" s="40" t="str">
        <f>'Raw Datas'!U86</f>
        <v>0</v>
      </c>
      <c r="V41" s="40" t="str">
        <f>'Raw Datas'!V86</f>
        <v>0</v>
      </c>
    </row>
    <row r="42" spans="1:22" ht="15.75" customHeight="1" x14ac:dyDescent="0.25">
      <c r="A42" s="61"/>
      <c r="B42" s="38" t="s">
        <v>38</v>
      </c>
      <c r="C42" s="40" t="str">
        <f>'Raw Datas'!C87</f>
        <v>0</v>
      </c>
      <c r="D42" s="40" t="str">
        <f>'Raw Datas'!D87</f>
        <v>0</v>
      </c>
      <c r="E42" s="40" t="str">
        <f>'Raw Datas'!E87</f>
        <v>0</v>
      </c>
      <c r="F42" s="40" t="str">
        <f>'Raw Datas'!F87</f>
        <v>0</v>
      </c>
      <c r="G42" s="40" t="str">
        <f>'Raw Datas'!G87</f>
        <v>0</v>
      </c>
      <c r="H42" s="40" t="str">
        <f>'Raw Datas'!H87</f>
        <v>0</v>
      </c>
      <c r="I42" s="40" t="str">
        <f>'Raw Datas'!I87</f>
        <v>0</v>
      </c>
      <c r="J42" s="40" t="str">
        <f>'Raw Datas'!J87</f>
        <v>0</v>
      </c>
      <c r="K42" s="40" t="str">
        <f>'Raw Datas'!K87</f>
        <v>0</v>
      </c>
      <c r="L42" s="40" t="str">
        <f>'Raw Datas'!L87</f>
        <v>0</v>
      </c>
      <c r="M42" s="40" t="str">
        <f>'Raw Datas'!M87</f>
        <v>0</v>
      </c>
      <c r="N42" s="40" t="str">
        <f>'Raw Datas'!N87</f>
        <v>0</v>
      </c>
      <c r="O42" s="40" t="str">
        <f>'Raw Datas'!O87</f>
        <v>0</v>
      </c>
      <c r="P42" s="40" t="str">
        <f>'Raw Datas'!P87</f>
        <v>0</v>
      </c>
      <c r="Q42" s="40" t="str">
        <f>'Raw Datas'!Q87</f>
        <v>0</v>
      </c>
      <c r="R42" s="40" t="str">
        <f>'Raw Datas'!R87</f>
        <v>0</v>
      </c>
      <c r="S42" s="40" t="str">
        <f>'Raw Datas'!S87</f>
        <v>0</v>
      </c>
      <c r="T42" s="40" t="str">
        <f>'Raw Datas'!T87</f>
        <v>0</v>
      </c>
      <c r="U42" s="40" t="str">
        <f>'Raw Datas'!U87</f>
        <v>0</v>
      </c>
      <c r="V42" s="40" t="str">
        <f>'Raw Datas'!V87</f>
        <v>0</v>
      </c>
    </row>
    <row r="43" spans="1:22" ht="15.75" customHeight="1" x14ac:dyDescent="0.25">
      <c r="A43" s="61"/>
      <c r="B43" s="38" t="s">
        <v>39</v>
      </c>
      <c r="C43" s="40" t="str">
        <f>'Raw Datas'!C88</f>
        <v>0</v>
      </c>
      <c r="D43" s="40" t="str">
        <f>'Raw Datas'!D88</f>
        <v>0</v>
      </c>
      <c r="E43" s="40" t="str">
        <f>'Raw Datas'!E88</f>
        <v>0</v>
      </c>
      <c r="F43" s="40" t="str">
        <f>'Raw Datas'!F88</f>
        <v>0</v>
      </c>
      <c r="G43" s="40" t="str">
        <f>'Raw Datas'!G88</f>
        <v>0</v>
      </c>
      <c r="H43" s="40" t="str">
        <f>'Raw Datas'!H88</f>
        <v>0</v>
      </c>
      <c r="I43" s="40" t="str">
        <f>'Raw Datas'!I88</f>
        <v>0</v>
      </c>
      <c r="J43" s="40" t="str">
        <f>'Raw Datas'!J88</f>
        <v>0</v>
      </c>
      <c r="K43" s="40" t="str">
        <f>'Raw Datas'!K88</f>
        <v>0</v>
      </c>
      <c r="L43" s="40" t="str">
        <f>'Raw Datas'!L88</f>
        <v>0</v>
      </c>
      <c r="M43" s="40" t="str">
        <f>'Raw Datas'!M88</f>
        <v>0</v>
      </c>
      <c r="N43" s="40" t="str">
        <f>'Raw Datas'!N88</f>
        <v>0</v>
      </c>
      <c r="O43" s="40" t="str">
        <f>'Raw Datas'!O88</f>
        <v>0</v>
      </c>
      <c r="P43" s="40" t="str">
        <f>'Raw Datas'!P88</f>
        <v>0</v>
      </c>
      <c r="Q43" s="40" t="str">
        <f>'Raw Datas'!Q88</f>
        <v>0</v>
      </c>
      <c r="R43" s="40" t="str">
        <f>'Raw Datas'!R88</f>
        <v>0</v>
      </c>
      <c r="S43" s="40" t="str">
        <f>'Raw Datas'!S88</f>
        <v>0</v>
      </c>
      <c r="T43" s="40" t="str">
        <f>'Raw Datas'!T88</f>
        <v>0</v>
      </c>
      <c r="U43" s="40" t="str">
        <f>'Raw Datas'!U88</f>
        <v>0</v>
      </c>
      <c r="V43" s="40" t="str">
        <f>'Raw Datas'!V88</f>
        <v>0</v>
      </c>
    </row>
    <row r="44" spans="1:22" ht="15.75" customHeight="1" x14ac:dyDescent="0.25">
      <c r="A44" s="61"/>
      <c r="B44" s="38" t="s">
        <v>40</v>
      </c>
      <c r="C44" s="40" t="str">
        <f>'Raw Datas'!C89</f>
        <v>0</v>
      </c>
      <c r="D44" s="40" t="str">
        <f>'Raw Datas'!D89</f>
        <v>0</v>
      </c>
      <c r="E44" s="40" t="str">
        <f>'Raw Datas'!E89</f>
        <v>0</v>
      </c>
      <c r="F44" s="40" t="str">
        <f>'Raw Datas'!F89</f>
        <v>0</v>
      </c>
      <c r="G44" s="40" t="str">
        <f>'Raw Datas'!G89</f>
        <v>0</v>
      </c>
      <c r="H44" s="40" t="str">
        <f>'Raw Datas'!H89</f>
        <v>0</v>
      </c>
      <c r="I44" s="40" t="str">
        <f>'Raw Datas'!I89</f>
        <v>0</v>
      </c>
      <c r="J44" s="40" t="str">
        <f>'Raw Datas'!J89</f>
        <v>0</v>
      </c>
      <c r="K44" s="40" t="str">
        <f>'Raw Datas'!K89</f>
        <v>0</v>
      </c>
      <c r="L44" s="40" t="str">
        <f>'Raw Datas'!L89</f>
        <v>0</v>
      </c>
      <c r="M44" s="40" t="str">
        <f>'Raw Datas'!M89</f>
        <v>0</v>
      </c>
      <c r="N44" s="40" t="str">
        <f>'Raw Datas'!N89</f>
        <v>0</v>
      </c>
      <c r="O44" s="40" t="str">
        <f>'Raw Datas'!O89</f>
        <v>0</v>
      </c>
      <c r="P44" s="40" t="str">
        <f>'Raw Datas'!P89</f>
        <v>0</v>
      </c>
      <c r="Q44" s="40" t="str">
        <f>'Raw Datas'!Q89</f>
        <v>0</v>
      </c>
      <c r="R44" s="40" t="str">
        <f>'Raw Datas'!R89</f>
        <v>0</v>
      </c>
      <c r="S44" s="40" t="str">
        <f>'Raw Datas'!S89</f>
        <v>0</v>
      </c>
      <c r="T44" s="40" t="str">
        <f>'Raw Datas'!T89</f>
        <v>0</v>
      </c>
      <c r="U44" s="40" t="str">
        <f>'Raw Datas'!U89</f>
        <v>0</v>
      </c>
      <c r="V44" s="40" t="str">
        <f>'Raw Datas'!V89</f>
        <v>0</v>
      </c>
    </row>
    <row r="45" spans="1:22" ht="15.75" customHeight="1" x14ac:dyDescent="0.25">
      <c r="A45" s="61"/>
      <c r="B45" s="38" t="s">
        <v>41</v>
      </c>
      <c r="C45" s="40">
        <f>'Raw Datas'!C90</f>
        <v>1.8473220738375658E-2</v>
      </c>
      <c r="D45" s="40">
        <f>'Raw Datas'!D90</f>
        <v>3.4422371860303023E-2</v>
      </c>
      <c r="E45" s="40">
        <f>'Raw Datas'!E90</f>
        <v>2.2023439919507563E-2</v>
      </c>
      <c r="F45" s="40">
        <f>'Raw Datas'!F90</f>
        <v>1.5856965054204239E-2</v>
      </c>
      <c r="G45" s="40">
        <f>'Raw Datas'!G90</f>
        <v>2.84094836791473E-2</v>
      </c>
      <c r="H45" s="40">
        <f>'Raw Datas'!H90</f>
        <v>1.7635769486737052E-2</v>
      </c>
      <c r="I45" s="40">
        <f>'Raw Datas'!I90</f>
        <v>1.6234653539214192E-2</v>
      </c>
      <c r="J45" s="40">
        <f>'Raw Datas'!J90</f>
        <v>1.3376505145531141E-2</v>
      </c>
      <c r="K45" s="40">
        <f>'Raw Datas'!K90</f>
        <v>9.8003706875822126E-3</v>
      </c>
      <c r="L45" s="40">
        <f>'Raw Datas'!L90</f>
        <v>1.5022201221381348E-2</v>
      </c>
      <c r="M45" s="40">
        <f>'Raw Datas'!M90</f>
        <v>1.5318592654650489E-2</v>
      </c>
      <c r="N45" s="40">
        <f>'Raw Datas'!N90</f>
        <v>1.4831151003823378E-2</v>
      </c>
      <c r="O45" s="40">
        <f>'Raw Datas'!O90</f>
        <v>1.7577466139371504E-2</v>
      </c>
      <c r="P45" s="40">
        <f>'Raw Datas'!P90</f>
        <v>3.4743934330341959E-2</v>
      </c>
      <c r="Q45" s="40">
        <f>'Raw Datas'!Q90</f>
        <v>2.1370135079735866E-2</v>
      </c>
      <c r="R45" s="40">
        <f>'Raw Datas'!R90</f>
        <v>1.4872278645943603E-2</v>
      </c>
      <c r="S45" s="40">
        <f>'Raw Datas'!S90</f>
        <v>2.2151533184384613E-2</v>
      </c>
      <c r="T45" s="40">
        <f>'Raw Datas'!T90</f>
        <v>2.3731044566058096E-2</v>
      </c>
      <c r="U45" s="40">
        <f>'Raw Datas'!U90</f>
        <v>6.4136824137229209E-2</v>
      </c>
      <c r="V45" s="40">
        <f>'Raw Datas'!V90</f>
        <v>2.0404772946730817E-2</v>
      </c>
    </row>
    <row r="46" spans="1:22" ht="15.75" customHeight="1" x14ac:dyDescent="0.25">
      <c r="A46" s="61"/>
      <c r="B46" s="38" t="s">
        <v>42</v>
      </c>
      <c r="C46" s="40" t="str">
        <f>'Raw Datas'!C91</f>
        <v>0</v>
      </c>
      <c r="D46" s="40" t="str">
        <f>'Raw Datas'!D91</f>
        <v>0</v>
      </c>
      <c r="E46" s="40" t="str">
        <f>'Raw Datas'!E91</f>
        <v>0</v>
      </c>
      <c r="F46" s="40" t="str">
        <f>'Raw Datas'!F91</f>
        <v>0</v>
      </c>
      <c r="G46" s="40" t="str">
        <f>'Raw Datas'!G91</f>
        <v>0</v>
      </c>
      <c r="H46" s="40" t="str">
        <f>'Raw Datas'!H91</f>
        <v>0</v>
      </c>
      <c r="I46" s="40" t="str">
        <f>'Raw Datas'!I91</f>
        <v>0</v>
      </c>
      <c r="J46" s="40" t="str">
        <f>'Raw Datas'!J91</f>
        <v>0</v>
      </c>
      <c r="K46" s="40" t="str">
        <f>'Raw Datas'!K91</f>
        <v>0</v>
      </c>
      <c r="L46" s="40" t="str">
        <f>'Raw Datas'!L91</f>
        <v>0</v>
      </c>
      <c r="M46" s="40" t="str">
        <f>'Raw Datas'!M91</f>
        <v>0</v>
      </c>
      <c r="N46" s="40" t="str">
        <f>'Raw Datas'!N91</f>
        <v>0</v>
      </c>
      <c r="O46" s="40" t="str">
        <f>'Raw Datas'!O91</f>
        <v>0</v>
      </c>
      <c r="P46" s="40" t="str">
        <f>'Raw Datas'!P91</f>
        <v>0</v>
      </c>
      <c r="Q46" s="40" t="str">
        <f>'Raw Datas'!Q91</f>
        <v>0</v>
      </c>
      <c r="R46" s="40" t="str">
        <f>'Raw Datas'!R91</f>
        <v>0</v>
      </c>
      <c r="S46" s="40" t="str">
        <f>'Raw Datas'!S91</f>
        <v>0</v>
      </c>
      <c r="T46" s="40" t="str">
        <f>'Raw Datas'!T91</f>
        <v>0</v>
      </c>
      <c r="U46" s="40" t="str">
        <f>'Raw Datas'!U91</f>
        <v>0</v>
      </c>
      <c r="V46" s="40" t="str">
        <f>'Raw Datas'!V91</f>
        <v>0</v>
      </c>
    </row>
    <row r="47" spans="1:22" ht="15" customHeight="1" x14ac:dyDescent="0.25">
      <c r="A47" s="61"/>
      <c r="B47" s="38" t="s">
        <v>43</v>
      </c>
      <c r="C47" s="40">
        <f>'Raw Datas'!C92</f>
        <v>8.3383651475715165E-2</v>
      </c>
      <c r="D47" s="40">
        <f>'Raw Datas'!D92</f>
        <v>0.13322837978362317</v>
      </c>
      <c r="E47" s="40">
        <f>'Raw Datas'!E92</f>
        <v>0.10413160892252088</v>
      </c>
      <c r="F47" s="40">
        <f>'Raw Datas'!F92</f>
        <v>6.8346928724146203E-2</v>
      </c>
      <c r="G47" s="40">
        <f>'Raw Datas'!G92</f>
        <v>9.4294518167601774E-2</v>
      </c>
      <c r="H47" s="40">
        <f>'Raw Datas'!H92</f>
        <v>6.0036809433441855E-2</v>
      </c>
      <c r="I47" s="40">
        <f>'Raw Datas'!I92</f>
        <v>4.9641332870794155E-2</v>
      </c>
      <c r="J47" s="40">
        <f>'Raw Datas'!J92</f>
        <v>5.704596078479103E-2</v>
      </c>
      <c r="K47" s="40">
        <f>'Raw Datas'!K92</f>
        <v>6.000727528495909E-2</v>
      </c>
      <c r="L47" s="40">
        <f>'Raw Datas'!L92</f>
        <v>7.3485178102725063E-2</v>
      </c>
      <c r="M47" s="40">
        <f>'Raw Datas'!M92</f>
        <v>6.5045876313970588E-2</v>
      </c>
      <c r="N47" s="40">
        <f>'Raw Datas'!N92</f>
        <v>6.1425357329776019E-2</v>
      </c>
      <c r="O47" s="40">
        <f>'Raw Datas'!O92</f>
        <v>9.8377532886429725E-2</v>
      </c>
      <c r="P47" s="40">
        <f>'Raw Datas'!P92</f>
        <v>0.16083383024404319</v>
      </c>
      <c r="Q47" s="40">
        <f>'Raw Datas'!Q92</f>
        <v>0.14836198518624047</v>
      </c>
      <c r="R47" s="40">
        <f>'Raw Datas'!R92</f>
        <v>6.3738365430572541E-2</v>
      </c>
      <c r="S47" s="40">
        <f>'Raw Datas'!S92</f>
        <v>7.5374094457063279E-2</v>
      </c>
      <c r="T47" s="40">
        <f>'Raw Datas'!T92</f>
        <v>0.10002628952195654</v>
      </c>
      <c r="U47" s="40">
        <f>'Raw Datas'!U92</f>
        <v>0.20270886640792274</v>
      </c>
      <c r="V47" s="40">
        <f>'Raw Datas'!V92</f>
        <v>8.2776502058248339E-2</v>
      </c>
    </row>
    <row r="48" spans="1:22" ht="15" customHeight="1" x14ac:dyDescent="0.25">
      <c r="A48" s="61"/>
      <c r="B48" s="38" t="s">
        <v>44</v>
      </c>
      <c r="C48" s="40">
        <f>'Raw Datas'!C93</f>
        <v>0.36184994579718066</v>
      </c>
      <c r="D48" s="40">
        <f>'Raw Datas'!D93</f>
        <v>0.42273602464999294</v>
      </c>
      <c r="E48" s="40">
        <f>'Raw Datas'!E93</f>
        <v>0.35752293040550759</v>
      </c>
      <c r="F48" s="40">
        <f>'Raw Datas'!F93</f>
        <v>0.37738321064101998</v>
      </c>
      <c r="G48" s="40">
        <f>'Raw Datas'!G93</f>
        <v>0.33867046948080565</v>
      </c>
      <c r="H48" s="40">
        <f>'Raw Datas'!H93</f>
        <v>0.31367284577694377</v>
      </c>
      <c r="I48" s="40">
        <f>'Raw Datas'!I93</f>
        <v>0.20184229198151626</v>
      </c>
      <c r="J48" s="40">
        <f>'Raw Datas'!J93</f>
        <v>0.17064585302201402</v>
      </c>
      <c r="K48" s="40">
        <f>'Raw Datas'!K93</f>
        <v>0.19758362842245686</v>
      </c>
      <c r="L48" s="40">
        <f>'Raw Datas'!L93</f>
        <v>0.32146542319798665</v>
      </c>
      <c r="M48" s="40">
        <f>'Raw Datas'!M93</f>
        <v>0.37966276969527518</v>
      </c>
      <c r="N48" s="40">
        <f>'Raw Datas'!N93</f>
        <v>0.23531686594607673</v>
      </c>
      <c r="O48" s="40">
        <f>'Raw Datas'!O93</f>
        <v>0.3143482853852646</v>
      </c>
      <c r="P48" s="40">
        <f>'Raw Datas'!P93</f>
        <v>0.51674082694899448</v>
      </c>
      <c r="Q48" s="40">
        <f>'Raw Datas'!Q93</f>
        <v>0.31945388196215574</v>
      </c>
      <c r="R48" s="40">
        <f>'Raw Datas'!R93</f>
        <v>0.29137368756628357</v>
      </c>
      <c r="S48" s="40">
        <f>'Raw Datas'!S93</f>
        <v>0.36839650188274425</v>
      </c>
      <c r="T48" s="40">
        <f>'Raw Datas'!T93</f>
        <v>0.61725934442910591</v>
      </c>
      <c r="U48" s="40">
        <f>'Raw Datas'!U93</f>
        <v>0.72809550332617545</v>
      </c>
      <c r="V48" s="40">
        <f>'Raw Datas'!V93</f>
        <v>0.25460490251030671</v>
      </c>
    </row>
    <row r="49" spans="1:22" ht="15" customHeight="1" x14ac:dyDescent="0.25">
      <c r="A49" s="61"/>
      <c r="B49" s="38" t="s">
        <v>45</v>
      </c>
      <c r="C49" s="40">
        <f>'Raw Datas'!C94</f>
        <v>1.4030223477204225E-2</v>
      </c>
      <c r="D49" s="40">
        <f>'Raw Datas'!D94</f>
        <v>5.8976510208374432E-3</v>
      </c>
      <c r="E49" s="40">
        <f>'Raw Datas'!E94</f>
        <v>1.297895243989638E-2</v>
      </c>
      <c r="F49" s="40">
        <f>'Raw Datas'!F94</f>
        <v>1.3695058503472773E-2</v>
      </c>
      <c r="G49" s="40">
        <f>'Raw Datas'!G94</f>
        <v>1.1188440664442426E-2</v>
      </c>
      <c r="H49" s="40">
        <f>'Raw Datas'!H94</f>
        <v>1.2703191016001987E-2</v>
      </c>
      <c r="I49" s="40">
        <f>'Raw Datas'!I94</f>
        <v>5.3230789022675334E-3</v>
      </c>
      <c r="J49" s="40" t="str">
        <f>'Raw Datas'!J94</f>
        <v>0</v>
      </c>
      <c r="K49" s="40" t="str">
        <f>'Raw Datas'!K94</f>
        <v>0</v>
      </c>
      <c r="L49" s="40" t="str">
        <f>'Raw Datas'!L94</f>
        <v>0</v>
      </c>
      <c r="M49" s="40" t="str">
        <f>'Raw Datas'!M94</f>
        <v>0</v>
      </c>
      <c r="N49" s="40" t="str">
        <f>'Raw Datas'!N94</f>
        <v>0</v>
      </c>
      <c r="O49" s="40">
        <f>'Raw Datas'!O94</f>
        <v>9.5683880577289576E-3</v>
      </c>
      <c r="P49" s="40">
        <f>'Raw Datas'!P94</f>
        <v>1.720474635636119E-2</v>
      </c>
      <c r="Q49" s="40">
        <f>'Raw Datas'!Q94</f>
        <v>2.1370291344638172E-2</v>
      </c>
      <c r="R49" s="40">
        <f>'Raw Datas'!R94</f>
        <v>1.4309885326811385E-2</v>
      </c>
      <c r="S49" s="40">
        <f>'Raw Datas'!S94</f>
        <v>1.6100658345169334E-2</v>
      </c>
      <c r="T49" s="40">
        <f>'Raw Datas'!T94</f>
        <v>1.5657761495941707E-2</v>
      </c>
      <c r="U49" s="40">
        <f>'Raw Datas'!U94</f>
        <v>2.3082705433794353E-2</v>
      </c>
      <c r="V49" s="40">
        <f>'Raw Datas'!V94</f>
        <v>6.5291172785262872E-3</v>
      </c>
    </row>
    <row r="50" spans="1:22" ht="15" customHeight="1" x14ac:dyDescent="0.25">
      <c r="A50" s="61"/>
      <c r="B50" s="38" t="s">
        <v>46</v>
      </c>
      <c r="C50" s="40" t="str">
        <f>'Raw Datas'!C95</f>
        <v>0</v>
      </c>
      <c r="D50" s="40" t="str">
        <f>'Raw Datas'!D95</f>
        <v>0</v>
      </c>
      <c r="E50" s="40" t="str">
        <f>'Raw Datas'!E95</f>
        <v>0</v>
      </c>
      <c r="F50" s="40" t="str">
        <f>'Raw Datas'!F95</f>
        <v>0</v>
      </c>
      <c r="G50" s="40" t="str">
        <f>'Raw Datas'!G95</f>
        <v>0</v>
      </c>
      <c r="H50" s="40" t="str">
        <f>'Raw Datas'!H95</f>
        <v>0</v>
      </c>
      <c r="I50" s="40" t="str">
        <f>'Raw Datas'!I95</f>
        <v>0</v>
      </c>
      <c r="J50" s="40" t="str">
        <f>'Raw Datas'!J95</f>
        <v>0</v>
      </c>
      <c r="K50" s="40" t="str">
        <f>'Raw Datas'!K95</f>
        <v>0</v>
      </c>
      <c r="L50" s="40" t="str">
        <f>'Raw Datas'!L95</f>
        <v>0</v>
      </c>
      <c r="M50" s="40" t="str">
        <f>'Raw Datas'!M95</f>
        <v>0</v>
      </c>
      <c r="N50" s="40" t="str">
        <f>'Raw Datas'!N95</f>
        <v>0</v>
      </c>
      <c r="O50" s="40" t="str">
        <f>'Raw Datas'!O95</f>
        <v>0</v>
      </c>
      <c r="P50" s="40" t="str">
        <f>'Raw Datas'!P95</f>
        <v>0</v>
      </c>
      <c r="Q50" s="40" t="str">
        <f>'Raw Datas'!Q95</f>
        <v>0</v>
      </c>
      <c r="R50" s="40" t="str">
        <f>'Raw Datas'!R95</f>
        <v>0</v>
      </c>
      <c r="S50" s="40" t="str">
        <f>'Raw Datas'!S95</f>
        <v>0</v>
      </c>
      <c r="T50" s="40" t="str">
        <f>'Raw Datas'!T95</f>
        <v>0</v>
      </c>
      <c r="U50" s="40" t="str">
        <f>'Raw Datas'!U95</f>
        <v>0</v>
      </c>
      <c r="V50" s="40" t="str">
        <f>'Raw Datas'!V95</f>
        <v>0</v>
      </c>
    </row>
    <row r="51" spans="1:22" ht="15" customHeight="1" x14ac:dyDescent="0.25">
      <c r="A51" s="61"/>
      <c r="B51" s="38" t="s">
        <v>47</v>
      </c>
      <c r="C51" s="40" t="str">
        <f>'Raw Datas'!C96</f>
        <v>0</v>
      </c>
      <c r="D51" s="40" t="str">
        <f>'Raw Datas'!D96</f>
        <v>0</v>
      </c>
      <c r="E51" s="40" t="str">
        <f>'Raw Datas'!E96</f>
        <v>0</v>
      </c>
      <c r="F51" s="40" t="str">
        <f>'Raw Datas'!F96</f>
        <v>0</v>
      </c>
      <c r="G51" s="40" t="str">
        <f>'Raw Datas'!G96</f>
        <v>0</v>
      </c>
      <c r="H51" s="40" t="str">
        <f>'Raw Datas'!H96</f>
        <v>0</v>
      </c>
      <c r="I51" s="40" t="str">
        <f>'Raw Datas'!I96</f>
        <v>0</v>
      </c>
      <c r="J51" s="40" t="str">
        <f>'Raw Datas'!J96</f>
        <v>0</v>
      </c>
      <c r="K51" s="40" t="str">
        <f>'Raw Datas'!K96</f>
        <v>0</v>
      </c>
      <c r="L51" s="40" t="str">
        <f>'Raw Datas'!L96</f>
        <v>0</v>
      </c>
      <c r="M51" s="40" t="str">
        <f>'Raw Datas'!M96</f>
        <v>0</v>
      </c>
      <c r="N51" s="40" t="str">
        <f>'Raw Datas'!N96</f>
        <v>0</v>
      </c>
      <c r="O51" s="40" t="str">
        <f>'Raw Datas'!O96</f>
        <v>0</v>
      </c>
      <c r="P51" s="40" t="str">
        <f>'Raw Datas'!P96</f>
        <v>0</v>
      </c>
      <c r="Q51" s="40" t="str">
        <f>'Raw Datas'!Q96</f>
        <v>0</v>
      </c>
      <c r="R51" s="40" t="str">
        <f>'Raw Datas'!R96</f>
        <v>0</v>
      </c>
      <c r="S51" s="40" t="str">
        <f>'Raw Datas'!S96</f>
        <v>0</v>
      </c>
      <c r="T51" s="40" t="str">
        <f>'Raw Datas'!T96</f>
        <v>0</v>
      </c>
      <c r="U51" s="40" t="str">
        <f>'Raw Datas'!U96</f>
        <v>0</v>
      </c>
      <c r="V51" s="40" t="str">
        <f>'Raw Datas'!V96</f>
        <v>0</v>
      </c>
    </row>
    <row r="52" spans="1:22" ht="15.75" customHeight="1" x14ac:dyDescent="0.25">
      <c r="A52" s="61"/>
      <c r="B52" s="38" t="s">
        <v>48</v>
      </c>
      <c r="C52" s="40" t="str">
        <f>'Raw Datas'!C97</f>
        <v>0</v>
      </c>
      <c r="D52" s="40" t="str">
        <f>'Raw Datas'!D97</f>
        <v>0</v>
      </c>
      <c r="E52" s="40" t="str">
        <f>'Raw Datas'!E97</f>
        <v>0</v>
      </c>
      <c r="F52" s="40" t="str">
        <f>'Raw Datas'!F97</f>
        <v>0</v>
      </c>
      <c r="G52" s="40" t="str">
        <f>'Raw Datas'!G97</f>
        <v>0</v>
      </c>
      <c r="H52" s="40" t="str">
        <f>'Raw Datas'!H97</f>
        <v>0</v>
      </c>
      <c r="I52" s="40" t="str">
        <f>'Raw Datas'!I97</f>
        <v>0</v>
      </c>
      <c r="J52" s="40" t="str">
        <f>'Raw Datas'!J97</f>
        <v>0</v>
      </c>
      <c r="K52" s="40" t="str">
        <f>'Raw Datas'!K97</f>
        <v>0</v>
      </c>
      <c r="L52" s="40" t="str">
        <f>'Raw Datas'!L97</f>
        <v>0</v>
      </c>
      <c r="M52" s="40" t="str">
        <f>'Raw Datas'!M97</f>
        <v>0</v>
      </c>
      <c r="N52" s="40" t="str">
        <f>'Raw Datas'!N97</f>
        <v>0</v>
      </c>
      <c r="O52" s="40" t="str">
        <f>'Raw Datas'!O97</f>
        <v>0</v>
      </c>
      <c r="P52" s="40" t="str">
        <f>'Raw Datas'!P97</f>
        <v>0</v>
      </c>
      <c r="Q52" s="40" t="str">
        <f>'Raw Datas'!Q97</f>
        <v>0</v>
      </c>
      <c r="R52" s="40" t="str">
        <f>'Raw Datas'!R97</f>
        <v>0</v>
      </c>
      <c r="S52" s="40" t="str">
        <f>'Raw Datas'!S97</f>
        <v>0</v>
      </c>
      <c r="T52" s="40" t="str">
        <f>'Raw Datas'!T97</f>
        <v>0</v>
      </c>
      <c r="U52" s="40" t="str">
        <f>'Raw Datas'!U97</f>
        <v>0</v>
      </c>
      <c r="V52" s="40" t="str">
        <f>'Raw Datas'!V97</f>
        <v>0</v>
      </c>
    </row>
    <row r="53" spans="1:22" ht="15.75" customHeight="1" x14ac:dyDescent="0.25">
      <c r="A53" s="61"/>
      <c r="B53" s="38" t="s">
        <v>49</v>
      </c>
      <c r="C53" s="40">
        <f>'Raw Datas'!C98</f>
        <v>1.0315016597589505E-2</v>
      </c>
      <c r="D53" s="40" t="str">
        <f>'Raw Datas'!D98</f>
        <v>0</v>
      </c>
      <c r="E53" s="40">
        <f>'Raw Datas'!E98</f>
        <v>1.4536950775413317E-2</v>
      </c>
      <c r="F53" s="40">
        <f>'Raw Datas'!F98</f>
        <v>1.1971302026800331E-2</v>
      </c>
      <c r="G53" s="40">
        <f>'Raw Datas'!G98</f>
        <v>1.46709939629928E-2</v>
      </c>
      <c r="H53" s="40">
        <f>'Raw Datas'!H98</f>
        <v>1.635647295842179E-2</v>
      </c>
      <c r="I53" s="40">
        <f>'Raw Datas'!I98</f>
        <v>6.5884701364729865E-3</v>
      </c>
      <c r="J53" s="40">
        <f>'Raw Datas'!J98</f>
        <v>5.303975791941147E-3</v>
      </c>
      <c r="K53" s="40">
        <f>'Raw Datas'!K98</f>
        <v>6.3828316422188851E-3</v>
      </c>
      <c r="L53" s="40">
        <f>'Raw Datas'!L98</f>
        <v>6.0926071492098336E-3</v>
      </c>
      <c r="M53" s="40">
        <f>'Raw Datas'!M98</f>
        <v>1.2784501427963533E-2</v>
      </c>
      <c r="N53" s="40">
        <f>'Raw Datas'!N98</f>
        <v>8.9430884024503561E-3</v>
      </c>
      <c r="O53" s="40">
        <f>'Raw Datas'!O98</f>
        <v>1.1589002979072836E-2</v>
      </c>
      <c r="P53" s="40">
        <f>'Raw Datas'!P98</f>
        <v>2.3613626645210807E-2</v>
      </c>
      <c r="Q53" s="40">
        <f>'Raw Datas'!Q98</f>
        <v>1.3867119679471527E-2</v>
      </c>
      <c r="R53" s="40">
        <f>'Raw Datas'!R98</f>
        <v>1.1614311251446933E-2</v>
      </c>
      <c r="S53" s="40">
        <f>'Raw Datas'!S98</f>
        <v>1.4468858538907635E-2</v>
      </c>
      <c r="T53" s="40">
        <f>'Raw Datas'!T98</f>
        <v>1.6337334116195933E-2</v>
      </c>
      <c r="U53" s="40">
        <f>'Raw Datas'!U98</f>
        <v>2.1214756000009036E-2</v>
      </c>
      <c r="V53" s="40">
        <f>'Raw Datas'!V98</f>
        <v>7.252928226895594E-3</v>
      </c>
    </row>
    <row r="54" spans="1:22" ht="15.75" customHeight="1" thickBot="1" x14ac:dyDescent="0.3">
      <c r="A54" s="62"/>
      <c r="B54" s="39" t="s">
        <v>50</v>
      </c>
      <c r="C54" s="42" t="str">
        <f>'Raw Datas'!C99</f>
        <v>0</v>
      </c>
      <c r="D54" s="42" t="str">
        <f>'Raw Datas'!D99</f>
        <v>0</v>
      </c>
      <c r="E54" s="42" t="str">
        <f>'Raw Datas'!E99</f>
        <v>0</v>
      </c>
      <c r="F54" s="42" t="str">
        <f>'Raw Datas'!F99</f>
        <v>0</v>
      </c>
      <c r="G54" s="42" t="str">
        <f>'Raw Datas'!G99</f>
        <v>0</v>
      </c>
      <c r="H54" s="42" t="str">
        <f>'Raw Datas'!H99</f>
        <v>0</v>
      </c>
      <c r="I54" s="42" t="str">
        <f>'Raw Datas'!I99</f>
        <v>0</v>
      </c>
      <c r="J54" s="42" t="str">
        <f>'Raw Datas'!J99</f>
        <v>0</v>
      </c>
      <c r="K54" s="42" t="str">
        <f>'Raw Datas'!K99</f>
        <v>0</v>
      </c>
      <c r="L54" s="42" t="str">
        <f>'Raw Datas'!L99</f>
        <v>0</v>
      </c>
      <c r="M54" s="42" t="str">
        <f>'Raw Datas'!M99</f>
        <v>0</v>
      </c>
      <c r="N54" s="42" t="str">
        <f>'Raw Datas'!N99</f>
        <v>0</v>
      </c>
      <c r="O54" s="42" t="str">
        <f>'Raw Datas'!O99</f>
        <v>0</v>
      </c>
      <c r="P54" s="42" t="str">
        <f>'Raw Datas'!P99</f>
        <v>0</v>
      </c>
      <c r="Q54" s="42" t="str">
        <f>'Raw Datas'!Q99</f>
        <v>0</v>
      </c>
      <c r="R54" s="42" t="str">
        <f>'Raw Datas'!R99</f>
        <v>0</v>
      </c>
      <c r="S54" s="42" t="str">
        <f>'Raw Datas'!S99</f>
        <v>0</v>
      </c>
      <c r="T54" s="42" t="str">
        <f>'Raw Datas'!T99</f>
        <v>0</v>
      </c>
      <c r="U54" s="42" t="str">
        <f>'Raw Datas'!U99</f>
        <v>0</v>
      </c>
      <c r="V54" s="42" t="str">
        <f>'Raw Datas'!V99</f>
        <v>0</v>
      </c>
    </row>
    <row r="55" spans="1:22" ht="15.75" thickBot="1" x14ac:dyDescent="0.3">
      <c r="B55" s="4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ht="15.75" thickBot="1" x14ac:dyDescent="0.3">
      <c r="B56" s="8" t="str">
        <f>B7</f>
        <v>Relative abundance/µL of fluid</v>
      </c>
      <c r="C56" s="8" t="s">
        <v>175</v>
      </c>
      <c r="D56" s="8" t="s">
        <v>176</v>
      </c>
      <c r="E56" s="8" t="s">
        <v>177</v>
      </c>
      <c r="F56" s="8" t="s">
        <v>178</v>
      </c>
      <c r="G56" s="8" t="s">
        <v>179</v>
      </c>
      <c r="H56" s="8" t="s">
        <v>180</v>
      </c>
      <c r="I56" s="8" t="s">
        <v>181</v>
      </c>
      <c r="J56" s="8" t="s">
        <v>182</v>
      </c>
      <c r="K56" s="8" t="s">
        <v>183</v>
      </c>
      <c r="L56" s="8" t="s">
        <v>184</v>
      </c>
      <c r="M56" s="8" t="s">
        <v>185</v>
      </c>
      <c r="N56" s="8" t="s">
        <v>186</v>
      </c>
      <c r="O56" s="8" t="s">
        <v>187</v>
      </c>
      <c r="P56" s="8" t="s">
        <v>188</v>
      </c>
      <c r="Q56" s="8" t="s">
        <v>189</v>
      </c>
      <c r="R56" s="8" t="s">
        <v>190</v>
      </c>
      <c r="S56" s="8" t="s">
        <v>191</v>
      </c>
      <c r="T56" s="8" t="s">
        <v>192</v>
      </c>
      <c r="U56" s="8" t="s">
        <v>193</v>
      </c>
      <c r="V56" s="8" t="s">
        <v>194</v>
      </c>
    </row>
    <row r="57" spans="1:22" ht="15.75" thickBot="1" x14ac:dyDescent="0.3">
      <c r="B57" s="1" t="s">
        <v>51</v>
      </c>
      <c r="C57" s="10">
        <f t="shared" ref="C57:V57" si="0">SUM(C9:C22)</f>
        <v>1.5790284378364383</v>
      </c>
      <c r="D57" s="10">
        <f t="shared" si="0"/>
        <v>2.1925744264368534</v>
      </c>
      <c r="E57" s="10">
        <f t="shared" si="0"/>
        <v>2.0216199139732116</v>
      </c>
      <c r="F57" s="10">
        <f t="shared" si="0"/>
        <v>1.4877069423609832</v>
      </c>
      <c r="G57" s="10">
        <f t="shared" si="0"/>
        <v>2.0108442399582405</v>
      </c>
      <c r="H57" s="10">
        <f t="shared" si="0"/>
        <v>1.8692184216961945</v>
      </c>
      <c r="I57" s="10">
        <f t="shared" si="0"/>
        <v>1.3934885238758759</v>
      </c>
      <c r="J57" s="10">
        <f t="shared" si="0"/>
        <v>1.435294715187909</v>
      </c>
      <c r="K57" s="10">
        <f t="shared" si="0"/>
        <v>1.5139673944209233</v>
      </c>
      <c r="L57" s="10">
        <f t="shared" si="0"/>
        <v>1.8163096303297055</v>
      </c>
      <c r="M57" s="10">
        <f t="shared" si="0"/>
        <v>1.3863209441037394</v>
      </c>
      <c r="N57" s="10">
        <f t="shared" si="0"/>
        <v>1.3200919287714907</v>
      </c>
      <c r="O57" s="10">
        <f t="shared" si="0"/>
        <v>2.0393991795954221</v>
      </c>
      <c r="P57" s="10">
        <f t="shared" si="0"/>
        <v>4.6142580535580384</v>
      </c>
      <c r="Q57" s="10">
        <f t="shared" si="0"/>
        <v>2.0206103775552484</v>
      </c>
      <c r="R57" s="10">
        <f t="shared" si="0"/>
        <v>1.3268756341358576</v>
      </c>
      <c r="S57" s="10">
        <f t="shared" si="0"/>
        <v>1.9113683138200206</v>
      </c>
      <c r="T57" s="10">
        <f t="shared" si="0"/>
        <v>2.0062726973283866</v>
      </c>
      <c r="U57" s="10">
        <f t="shared" si="0"/>
        <v>4.5500825960177123</v>
      </c>
      <c r="V57" s="10">
        <f t="shared" si="0"/>
        <v>2.0330354922014511</v>
      </c>
    </row>
    <row r="58" spans="1:22" ht="15.75" thickBot="1" x14ac:dyDescent="0.3">
      <c r="B58" s="1" t="s">
        <v>52</v>
      </c>
      <c r="C58" s="10">
        <f t="shared" ref="C58:H58" si="1">SUM(C24:C34)</f>
        <v>1.0757247163846109</v>
      </c>
      <c r="D58" s="10">
        <f>SUM(D24:D34)</f>
        <v>1.8670049692367765</v>
      </c>
      <c r="E58" s="10">
        <f t="shared" si="1"/>
        <v>1.7926294617700849</v>
      </c>
      <c r="F58" s="10">
        <f t="shared" si="1"/>
        <v>0.94810908779144731</v>
      </c>
      <c r="G58" s="10">
        <f t="shared" si="1"/>
        <v>1.5314647408092303</v>
      </c>
      <c r="H58" s="10">
        <f t="shared" si="1"/>
        <v>1.3868763457735462</v>
      </c>
      <c r="I58" s="10">
        <f t="shared" ref="I58:V58" si="2">SUM(I24:I34)</f>
        <v>1.2411246261028683</v>
      </c>
      <c r="J58" s="10">
        <f t="shared" si="2"/>
        <v>1.2390806608810476</v>
      </c>
      <c r="K58" s="10">
        <f t="shared" si="2"/>
        <v>1.1214720062747061</v>
      </c>
      <c r="L58" s="10">
        <f t="shared" si="2"/>
        <v>1.8643634258315054</v>
      </c>
      <c r="M58" s="10">
        <f t="shared" si="2"/>
        <v>1.0423485273928101</v>
      </c>
      <c r="N58" s="10">
        <f t="shared" si="2"/>
        <v>1.1057676139560233</v>
      </c>
      <c r="O58" s="10">
        <f t="shared" si="2"/>
        <v>1.4771874951001926</v>
      </c>
      <c r="P58" s="10">
        <f t="shared" si="2"/>
        <v>2.8381947594203907</v>
      </c>
      <c r="Q58" s="10">
        <f t="shared" si="2"/>
        <v>1.3103599182005756</v>
      </c>
      <c r="R58" s="10">
        <f t="shared" si="2"/>
        <v>0.93260399035574015</v>
      </c>
      <c r="S58" s="10">
        <f t="shared" si="2"/>
        <v>1.1517998205317097</v>
      </c>
      <c r="T58" s="10">
        <f t="shared" si="2"/>
        <v>1.4235606027158898</v>
      </c>
      <c r="U58" s="10">
        <f t="shared" si="2"/>
        <v>3.0437709178173282</v>
      </c>
      <c r="V58" s="10">
        <f t="shared" si="2"/>
        <v>1.9957099092705295</v>
      </c>
    </row>
    <row r="59" spans="1:22" ht="15.75" thickBot="1" x14ac:dyDescent="0.3">
      <c r="B59" s="1" t="s">
        <v>53</v>
      </c>
      <c r="C59" s="10">
        <f t="shared" ref="C59:H59" si="3">SUM(C36:C54)</f>
        <v>1.6435826937751505</v>
      </c>
      <c r="D59" s="10">
        <f>SUM(D36:D54)</f>
        <v>1.7674406293173432</v>
      </c>
      <c r="E59" s="10">
        <f t="shared" si="3"/>
        <v>1.6952249161173896</v>
      </c>
      <c r="F59" s="10">
        <f t="shared" si="3"/>
        <v>1.5374511122278507</v>
      </c>
      <c r="G59" s="10">
        <f t="shared" si="3"/>
        <v>1.5190060024273366</v>
      </c>
      <c r="H59" s="10">
        <f t="shared" si="3"/>
        <v>1.9273539968299449</v>
      </c>
      <c r="I59" s="10">
        <f t="shared" ref="I59:V59" si="4">SUM(I36:I54)</f>
        <v>1.2251410853433151</v>
      </c>
      <c r="J59" s="10">
        <f t="shared" si="4"/>
        <v>1.0385880135968186</v>
      </c>
      <c r="K59" s="10">
        <f t="shared" si="4"/>
        <v>1.307393069715558</v>
      </c>
      <c r="L59" s="10">
        <f t="shared" si="4"/>
        <v>1.5192394889323317</v>
      </c>
      <c r="M59" s="10">
        <f t="shared" si="4"/>
        <v>1.6602451175265349</v>
      </c>
      <c r="N59" s="10">
        <f t="shared" si="4"/>
        <v>1.2636810227984854</v>
      </c>
      <c r="O59" s="10">
        <f t="shared" si="4"/>
        <v>1.6245358984749496</v>
      </c>
      <c r="P59" s="10">
        <f t="shared" si="4"/>
        <v>2.7892732912206628</v>
      </c>
      <c r="Q59" s="10">
        <f t="shared" si="4"/>
        <v>1.9431092596253454</v>
      </c>
      <c r="R59" s="10">
        <f t="shared" si="4"/>
        <v>1.2565298992785017</v>
      </c>
      <c r="S59" s="10">
        <f t="shared" si="4"/>
        <v>1.6105697018149554</v>
      </c>
      <c r="T59" s="10">
        <f t="shared" si="4"/>
        <v>1.9973657786891823</v>
      </c>
      <c r="U59" s="10">
        <f t="shared" si="4"/>
        <v>3.0412912748893661</v>
      </c>
      <c r="V59" s="10">
        <f t="shared" si="4"/>
        <v>1.5506065738482029</v>
      </c>
    </row>
    <row r="60" spans="1:22" ht="15.75" thickBot="1" x14ac:dyDescent="0.3">
      <c r="B60" s="11" t="s">
        <v>54</v>
      </c>
      <c r="C60" s="12">
        <f>SUM(C57:C59)</f>
        <v>4.2983358479961993</v>
      </c>
      <c r="D60" s="12">
        <f>SUM(D57:D59)</f>
        <v>5.8270200249909738</v>
      </c>
      <c r="E60" s="12">
        <f t="shared" ref="E60:J60" si="5">SUM(E57:E59)</f>
        <v>5.5094742918606858</v>
      </c>
      <c r="F60" s="12">
        <f t="shared" si="5"/>
        <v>3.9732671423802817</v>
      </c>
      <c r="G60" s="12">
        <f t="shared" si="5"/>
        <v>5.0613149831948077</v>
      </c>
      <c r="H60" s="12">
        <f t="shared" si="5"/>
        <v>5.1834487642996852</v>
      </c>
      <c r="I60" s="12">
        <f t="shared" si="5"/>
        <v>3.8597542353220593</v>
      </c>
      <c r="J60" s="12">
        <f t="shared" si="5"/>
        <v>3.7129633896657754</v>
      </c>
      <c r="K60" s="12">
        <f t="shared" ref="K60:V60" si="6">SUM(K57:K59)</f>
        <v>3.9428324704111875</v>
      </c>
      <c r="L60" s="12">
        <f t="shared" si="6"/>
        <v>5.1999125450935431</v>
      </c>
      <c r="M60" s="12">
        <f t="shared" si="6"/>
        <v>4.0889145890230845</v>
      </c>
      <c r="N60" s="12">
        <f t="shared" si="6"/>
        <v>3.6895405655259994</v>
      </c>
      <c r="O60" s="12">
        <f t="shared" si="6"/>
        <v>5.1411225731705645</v>
      </c>
      <c r="P60" s="12">
        <f t="shared" si="6"/>
        <v>10.241726104199092</v>
      </c>
      <c r="Q60" s="12">
        <f t="shared" si="6"/>
        <v>5.274079555381169</v>
      </c>
      <c r="R60" s="12">
        <f t="shared" si="6"/>
        <v>3.5160095237700997</v>
      </c>
      <c r="S60" s="12">
        <f t="shared" si="6"/>
        <v>4.6737378361666853</v>
      </c>
      <c r="T60" s="12">
        <f t="shared" si="6"/>
        <v>5.4271990787334587</v>
      </c>
      <c r="U60" s="12">
        <f t="shared" si="6"/>
        <v>10.635144788724407</v>
      </c>
      <c r="V60" s="12">
        <f t="shared" si="6"/>
        <v>5.5793519753201837</v>
      </c>
    </row>
    <row r="61" spans="1:22" ht="15.75" thickBot="1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thickBot="1" x14ac:dyDescent="0.3">
      <c r="B62" s="8" t="str">
        <f>B56</f>
        <v>Relative abundance/µL of fluid</v>
      </c>
      <c r="C62" s="8" t="s">
        <v>175</v>
      </c>
      <c r="D62" s="8" t="s">
        <v>176</v>
      </c>
      <c r="E62" s="8" t="s">
        <v>177</v>
      </c>
      <c r="F62" s="8" t="s">
        <v>178</v>
      </c>
      <c r="G62" s="8" t="s">
        <v>179</v>
      </c>
      <c r="H62" s="8" t="s">
        <v>180</v>
      </c>
      <c r="I62" s="8" t="s">
        <v>181</v>
      </c>
      <c r="J62" s="8" t="s">
        <v>182</v>
      </c>
      <c r="K62" s="8" t="s">
        <v>183</v>
      </c>
      <c r="L62" s="8" t="s">
        <v>184</v>
      </c>
      <c r="M62" s="8" t="s">
        <v>185</v>
      </c>
      <c r="N62" s="8" t="s">
        <v>186</v>
      </c>
      <c r="O62" s="8" t="s">
        <v>187</v>
      </c>
      <c r="P62" s="8" t="s">
        <v>188</v>
      </c>
      <c r="Q62" s="8" t="s">
        <v>189</v>
      </c>
      <c r="R62" s="8" t="s">
        <v>190</v>
      </c>
      <c r="S62" s="8" t="s">
        <v>191</v>
      </c>
      <c r="T62" s="8" t="s">
        <v>192</v>
      </c>
      <c r="U62" s="8" t="s">
        <v>193</v>
      </c>
      <c r="V62" s="8" t="s">
        <v>194</v>
      </c>
    </row>
    <row r="63" spans="1:22" ht="15.75" thickBot="1" x14ac:dyDescent="0.3">
      <c r="B63" s="1" t="s">
        <v>55</v>
      </c>
      <c r="C63" s="44">
        <f>C58/C59</f>
        <v>0.65449990466483632</v>
      </c>
      <c r="D63" s="44">
        <f>D58/D59</f>
        <v>1.0563324947202832</v>
      </c>
      <c r="E63" s="44">
        <f t="shared" ref="E63:J63" si="7">E58/E59</f>
        <v>1.0574581842955584</v>
      </c>
      <c r="F63" s="44">
        <f t="shared" si="7"/>
        <v>0.61667592566087215</v>
      </c>
      <c r="G63" s="44">
        <f t="shared" si="7"/>
        <v>1.0082019020082771</v>
      </c>
      <c r="H63" s="44">
        <f t="shared" si="7"/>
        <v>0.71957530793753488</v>
      </c>
      <c r="I63" s="44">
        <f t="shared" si="7"/>
        <v>1.0130462858121145</v>
      </c>
      <c r="J63" s="44">
        <f t="shared" si="7"/>
        <v>1.1930434827472027</v>
      </c>
      <c r="K63" s="44">
        <f t="shared" ref="K63:V63" si="8">K58/K59</f>
        <v>0.85779252793400407</v>
      </c>
      <c r="L63" s="44">
        <f t="shared" si="8"/>
        <v>1.2271688824661309</v>
      </c>
      <c r="M63" s="44">
        <f t="shared" si="8"/>
        <v>0.62782809380925697</v>
      </c>
      <c r="N63" s="44">
        <f t="shared" si="8"/>
        <v>0.87503697056971319</v>
      </c>
      <c r="O63" s="44">
        <f t="shared" si="8"/>
        <v>0.90929815492961297</v>
      </c>
      <c r="P63" s="44">
        <f t="shared" si="8"/>
        <v>1.0175391448208786</v>
      </c>
      <c r="Q63" s="44">
        <f t="shared" si="8"/>
        <v>0.67436244859088812</v>
      </c>
      <c r="R63" s="44">
        <f t="shared" si="8"/>
        <v>0.74220596811205253</v>
      </c>
      <c r="S63" s="44">
        <f t="shared" si="8"/>
        <v>0.71515055773975089</v>
      </c>
      <c r="T63" s="44">
        <f t="shared" si="8"/>
        <v>0.71271903118823565</v>
      </c>
      <c r="U63" s="44">
        <f t="shared" si="8"/>
        <v>1.00081532569683</v>
      </c>
      <c r="V63" s="44">
        <f t="shared" si="8"/>
        <v>1.2870511082109601</v>
      </c>
    </row>
    <row r="64" spans="1:22" ht="15.75" thickBot="1" x14ac:dyDescent="0.3">
      <c r="B64" s="1" t="s">
        <v>56</v>
      </c>
      <c r="C64" s="10">
        <f>C58/C57</f>
        <v>0.68125734192511012</v>
      </c>
      <c r="D64" s="10">
        <f>D58/D57</f>
        <v>0.8515126997402962</v>
      </c>
      <c r="E64" s="10">
        <f t="shared" ref="E64:J64" si="9">E58/E57</f>
        <v>0.88672922609221927</v>
      </c>
      <c r="F64" s="10">
        <f t="shared" si="9"/>
        <v>0.63729559955323134</v>
      </c>
      <c r="G64" s="10">
        <f t="shared" si="9"/>
        <v>0.76160286827637858</v>
      </c>
      <c r="H64" s="10">
        <f t="shared" si="9"/>
        <v>0.74195520955493577</v>
      </c>
      <c r="I64" s="10">
        <f t="shared" si="9"/>
        <v>0.89066009862125051</v>
      </c>
      <c r="J64" s="10">
        <f t="shared" si="9"/>
        <v>0.86329354366697231</v>
      </c>
      <c r="K64" s="10">
        <f t="shared" ref="K64:V64" si="10">K58/K57</f>
        <v>0.74075043518599515</v>
      </c>
      <c r="L64" s="10">
        <f t="shared" si="10"/>
        <v>1.0264568302118604</v>
      </c>
      <c r="M64" s="10">
        <f t="shared" si="10"/>
        <v>0.7518811079253308</v>
      </c>
      <c r="N64" s="10">
        <f t="shared" si="10"/>
        <v>0.83764440176910804</v>
      </c>
      <c r="O64" s="10">
        <f t="shared" si="10"/>
        <v>0.72432484521899165</v>
      </c>
      <c r="P64" s="10">
        <f t="shared" si="10"/>
        <v>0.61509233477565661</v>
      </c>
      <c r="Q64" s="10">
        <f t="shared" si="10"/>
        <v>0.64849707432760484</v>
      </c>
      <c r="R64" s="10">
        <f t="shared" si="10"/>
        <v>0.70285712267458189</v>
      </c>
      <c r="S64" s="10">
        <f t="shared" si="10"/>
        <v>0.60260485234776484</v>
      </c>
      <c r="T64" s="10">
        <f t="shared" si="10"/>
        <v>0.70955488982706394</v>
      </c>
      <c r="U64" s="10">
        <f t="shared" si="10"/>
        <v>0.66894849787590094</v>
      </c>
      <c r="V64" s="10">
        <f t="shared" si="10"/>
        <v>0.98164046664502447</v>
      </c>
    </row>
    <row r="65" spans="1:22" ht="15.75" thickBot="1" x14ac:dyDescent="0.3">
      <c r="B65" s="1" t="s">
        <v>57</v>
      </c>
      <c r="C65" s="10">
        <f>C59/C57</f>
        <v>1.0408822630371137</v>
      </c>
      <c r="D65" s="10">
        <f>D59/D57</f>
        <v>0.8061029117217271</v>
      </c>
      <c r="E65" s="10">
        <f t="shared" ref="E65:J65" si="11">E59/E57</f>
        <v>0.83854779249065747</v>
      </c>
      <c r="F65" s="10">
        <f t="shared" si="11"/>
        <v>1.0334368069748494</v>
      </c>
      <c r="G65" s="10">
        <f t="shared" si="11"/>
        <v>0.75540709332060552</v>
      </c>
      <c r="H65" s="10">
        <f t="shared" si="11"/>
        <v>1.0311015419380449</v>
      </c>
      <c r="I65" s="10">
        <f t="shared" si="11"/>
        <v>0.87918993544036095</v>
      </c>
      <c r="J65" s="10">
        <f t="shared" si="11"/>
        <v>0.72360610166452577</v>
      </c>
      <c r="K65" s="10">
        <f t="shared" ref="K65:V65" si="12">K59/K57</f>
        <v>0.86355431070272304</v>
      </c>
      <c r="L65" s="10">
        <f t="shared" si="12"/>
        <v>0.83644300705301655</v>
      </c>
      <c r="M65" s="10">
        <f t="shared" si="12"/>
        <v>1.1975907343734811</v>
      </c>
      <c r="N65" s="10">
        <f t="shared" si="12"/>
        <v>0.95726744119593044</v>
      </c>
      <c r="O65" s="10">
        <f t="shared" si="12"/>
        <v>0.79657573403419069</v>
      </c>
      <c r="P65" s="10">
        <f t="shared" si="12"/>
        <v>0.60449009544879351</v>
      </c>
      <c r="Q65" s="10">
        <f t="shared" si="12"/>
        <v>0.96164469964582078</v>
      </c>
      <c r="R65" s="10">
        <f t="shared" si="12"/>
        <v>0.94698392747021132</v>
      </c>
      <c r="S65" s="10">
        <f t="shared" si="12"/>
        <v>0.8426265571998024</v>
      </c>
      <c r="T65" s="10">
        <f t="shared" si="12"/>
        <v>0.99556046461128389</v>
      </c>
      <c r="U65" s="10">
        <f t="shared" si="12"/>
        <v>0.66840353130097929</v>
      </c>
      <c r="V65" s="10">
        <f t="shared" si="12"/>
        <v>0.76270511744443026</v>
      </c>
    </row>
    <row r="66" spans="1:22" ht="15.75" thickBot="1" x14ac:dyDescent="0.3">
      <c r="B66" s="47" t="s">
        <v>58</v>
      </c>
      <c r="C66" s="45">
        <f>SUM(C64:C65)</f>
        <v>1.7221396049622237</v>
      </c>
      <c r="D66" s="45">
        <f>SUM(D64:D65)</f>
        <v>1.6576156114620233</v>
      </c>
      <c r="E66" s="45">
        <f t="shared" ref="E66:J66" si="13">SUM(E64:E65)</f>
        <v>1.7252770185828767</v>
      </c>
      <c r="F66" s="45">
        <f t="shared" si="13"/>
        <v>1.6707324065280806</v>
      </c>
      <c r="G66" s="45">
        <f t="shared" si="13"/>
        <v>1.5170099615969841</v>
      </c>
      <c r="H66" s="45">
        <f t="shared" si="13"/>
        <v>1.7730567514929807</v>
      </c>
      <c r="I66" s="45">
        <f t="shared" si="13"/>
        <v>1.7698500340616115</v>
      </c>
      <c r="J66" s="45">
        <f t="shared" si="13"/>
        <v>1.5868996453314981</v>
      </c>
      <c r="K66" s="45">
        <f t="shared" ref="K66:V66" si="14">SUM(K64:K65)</f>
        <v>1.6043047458887183</v>
      </c>
      <c r="L66" s="45">
        <f t="shared" si="14"/>
        <v>1.8628998372648771</v>
      </c>
      <c r="M66" s="45">
        <f t="shared" si="14"/>
        <v>1.949471842298812</v>
      </c>
      <c r="N66" s="45">
        <f t="shared" si="14"/>
        <v>1.7949118429650386</v>
      </c>
      <c r="O66" s="45">
        <f t="shared" si="14"/>
        <v>1.5209005792531824</v>
      </c>
      <c r="P66" s="45">
        <f t="shared" si="14"/>
        <v>1.2195824302244502</v>
      </c>
      <c r="Q66" s="45">
        <f t="shared" si="14"/>
        <v>1.6101417739734256</v>
      </c>
      <c r="R66" s="45">
        <f t="shared" si="14"/>
        <v>1.6498410501447931</v>
      </c>
      <c r="S66" s="45">
        <f t="shared" si="14"/>
        <v>1.4452314095475671</v>
      </c>
      <c r="T66" s="45">
        <f t="shared" si="14"/>
        <v>1.7051153544383477</v>
      </c>
      <c r="U66" s="45">
        <f t="shared" si="14"/>
        <v>1.3373520291768801</v>
      </c>
      <c r="V66" s="45">
        <f t="shared" si="14"/>
        <v>1.7443455840894546</v>
      </c>
    </row>
    <row r="68" spans="1:22" ht="15.75" thickBot="1" x14ac:dyDescent="0.3"/>
    <row r="69" spans="1:22" ht="15.75" thickBot="1" x14ac:dyDescent="0.3">
      <c r="B69" s="46" t="s">
        <v>59</v>
      </c>
      <c r="C69" s="46" t="s">
        <v>175</v>
      </c>
      <c r="D69" s="46" t="s">
        <v>176</v>
      </c>
      <c r="E69" s="46" t="s">
        <v>177</v>
      </c>
      <c r="F69" s="46" t="s">
        <v>178</v>
      </c>
      <c r="G69" s="46" t="s">
        <v>179</v>
      </c>
      <c r="H69" s="46" t="s">
        <v>180</v>
      </c>
      <c r="I69" s="46" t="s">
        <v>181</v>
      </c>
      <c r="J69" s="46" t="s">
        <v>182</v>
      </c>
      <c r="K69" s="46" t="s">
        <v>183</v>
      </c>
      <c r="L69" s="46" t="s">
        <v>184</v>
      </c>
      <c r="M69" s="46" t="s">
        <v>185</v>
      </c>
      <c r="N69" s="46" t="s">
        <v>186</v>
      </c>
      <c r="O69" s="46" t="s">
        <v>187</v>
      </c>
      <c r="P69" s="46" t="s">
        <v>188</v>
      </c>
      <c r="Q69" s="46" t="s">
        <v>189</v>
      </c>
      <c r="R69" s="46" t="s">
        <v>190</v>
      </c>
      <c r="S69" s="46" t="s">
        <v>191</v>
      </c>
      <c r="T69" s="46" t="s">
        <v>192</v>
      </c>
      <c r="U69" s="46" t="s">
        <v>193</v>
      </c>
      <c r="V69" s="46" t="s">
        <v>194</v>
      </c>
    </row>
    <row r="70" spans="1:22" ht="15" customHeight="1" x14ac:dyDescent="0.25">
      <c r="A70" s="60" t="s">
        <v>3</v>
      </c>
      <c r="B70" s="37" t="s">
        <v>4</v>
      </c>
      <c r="C70" s="55">
        <f t="shared" ref="C70:V70" si="15">C9/C$60</f>
        <v>0</v>
      </c>
      <c r="D70" s="55">
        <f t="shared" si="15"/>
        <v>0</v>
      </c>
      <c r="E70" s="55">
        <f t="shared" si="15"/>
        <v>0</v>
      </c>
      <c r="F70" s="55">
        <f t="shared" si="15"/>
        <v>0</v>
      </c>
      <c r="G70" s="55">
        <f t="shared" si="15"/>
        <v>0</v>
      </c>
      <c r="H70" s="55">
        <f t="shared" si="15"/>
        <v>0</v>
      </c>
      <c r="I70" s="55">
        <f t="shared" si="15"/>
        <v>0</v>
      </c>
      <c r="J70" s="55">
        <f t="shared" si="15"/>
        <v>0</v>
      </c>
      <c r="K70" s="55">
        <f t="shared" si="15"/>
        <v>0</v>
      </c>
      <c r="L70" s="55">
        <f t="shared" si="15"/>
        <v>0</v>
      </c>
      <c r="M70" s="55">
        <f t="shared" si="15"/>
        <v>0</v>
      </c>
      <c r="N70" s="55">
        <f t="shared" si="15"/>
        <v>0</v>
      </c>
      <c r="O70" s="55">
        <f t="shared" si="15"/>
        <v>0</v>
      </c>
      <c r="P70" s="55">
        <f t="shared" si="15"/>
        <v>0</v>
      </c>
      <c r="Q70" s="55">
        <f t="shared" si="15"/>
        <v>0</v>
      </c>
      <c r="R70" s="55">
        <f t="shared" si="15"/>
        <v>0</v>
      </c>
      <c r="S70" s="55">
        <f t="shared" si="15"/>
        <v>0</v>
      </c>
      <c r="T70" s="55">
        <f t="shared" si="15"/>
        <v>0</v>
      </c>
      <c r="U70" s="55">
        <f t="shared" si="15"/>
        <v>0</v>
      </c>
      <c r="V70" s="55">
        <f t="shared" si="15"/>
        <v>0</v>
      </c>
    </row>
    <row r="71" spans="1:22" ht="15" customHeight="1" x14ac:dyDescent="0.25">
      <c r="A71" s="61"/>
      <c r="B71" s="38" t="s">
        <v>5</v>
      </c>
      <c r="C71" s="53">
        <f t="shared" ref="C71:V71" si="16">C10/C$60</f>
        <v>0</v>
      </c>
      <c r="D71" s="53">
        <f t="shared" si="16"/>
        <v>0</v>
      </c>
      <c r="E71" s="53">
        <f t="shared" si="16"/>
        <v>0</v>
      </c>
      <c r="F71" s="53">
        <f t="shared" si="16"/>
        <v>0</v>
      </c>
      <c r="G71" s="53">
        <f t="shared" si="16"/>
        <v>0</v>
      </c>
      <c r="H71" s="53">
        <f t="shared" si="16"/>
        <v>0</v>
      </c>
      <c r="I71" s="53">
        <f t="shared" si="16"/>
        <v>0</v>
      </c>
      <c r="J71" s="53">
        <f t="shared" si="16"/>
        <v>0</v>
      </c>
      <c r="K71" s="53">
        <f t="shared" si="16"/>
        <v>0</v>
      </c>
      <c r="L71" s="53">
        <f t="shared" si="16"/>
        <v>0</v>
      </c>
      <c r="M71" s="53">
        <f t="shared" si="16"/>
        <v>0</v>
      </c>
      <c r="N71" s="53">
        <f t="shared" si="16"/>
        <v>0</v>
      </c>
      <c r="O71" s="53">
        <f t="shared" si="16"/>
        <v>0</v>
      </c>
      <c r="P71" s="53">
        <f t="shared" si="16"/>
        <v>0</v>
      </c>
      <c r="Q71" s="53">
        <f t="shared" si="16"/>
        <v>0</v>
      </c>
      <c r="R71" s="53">
        <f t="shared" si="16"/>
        <v>0</v>
      </c>
      <c r="S71" s="53">
        <f t="shared" si="16"/>
        <v>0</v>
      </c>
      <c r="T71" s="53">
        <f t="shared" si="16"/>
        <v>0</v>
      </c>
      <c r="U71" s="53">
        <f t="shared" si="16"/>
        <v>0</v>
      </c>
      <c r="V71" s="53">
        <f t="shared" si="16"/>
        <v>0</v>
      </c>
    </row>
    <row r="72" spans="1:22" ht="15" customHeight="1" x14ac:dyDescent="0.25">
      <c r="A72" s="61"/>
      <c r="B72" s="38" t="s">
        <v>6</v>
      </c>
      <c r="C72" s="53">
        <f t="shared" ref="C72:V72" si="17">C11/C$60</f>
        <v>0</v>
      </c>
      <c r="D72" s="53">
        <f t="shared" si="17"/>
        <v>0</v>
      </c>
      <c r="E72" s="53">
        <f t="shared" si="17"/>
        <v>0</v>
      </c>
      <c r="F72" s="53">
        <f t="shared" si="17"/>
        <v>0</v>
      </c>
      <c r="G72" s="53">
        <f t="shared" si="17"/>
        <v>0</v>
      </c>
      <c r="H72" s="53">
        <f t="shared" si="17"/>
        <v>0</v>
      </c>
      <c r="I72" s="53">
        <f t="shared" si="17"/>
        <v>0</v>
      </c>
      <c r="J72" s="53">
        <f t="shared" si="17"/>
        <v>0</v>
      </c>
      <c r="K72" s="53">
        <f t="shared" si="17"/>
        <v>0</v>
      </c>
      <c r="L72" s="53">
        <f t="shared" si="17"/>
        <v>0</v>
      </c>
      <c r="M72" s="53">
        <f t="shared" si="17"/>
        <v>0</v>
      </c>
      <c r="N72" s="53">
        <f t="shared" si="17"/>
        <v>0</v>
      </c>
      <c r="O72" s="53">
        <f t="shared" si="17"/>
        <v>0</v>
      </c>
      <c r="P72" s="53">
        <f t="shared" si="17"/>
        <v>0</v>
      </c>
      <c r="Q72" s="53">
        <f t="shared" si="17"/>
        <v>0</v>
      </c>
      <c r="R72" s="53">
        <f t="shared" si="17"/>
        <v>0</v>
      </c>
      <c r="S72" s="53">
        <f t="shared" si="17"/>
        <v>0</v>
      </c>
      <c r="T72" s="53">
        <f t="shared" si="17"/>
        <v>0</v>
      </c>
      <c r="U72" s="53">
        <f t="shared" si="17"/>
        <v>0</v>
      </c>
      <c r="V72" s="53">
        <f t="shared" si="17"/>
        <v>0</v>
      </c>
    </row>
    <row r="73" spans="1:22" ht="15" customHeight="1" x14ac:dyDescent="0.25">
      <c r="A73" s="61"/>
      <c r="B73" s="38" t="s">
        <v>7</v>
      </c>
      <c r="C73" s="53">
        <f t="shared" ref="C73:V73" si="18">C12/C$60</f>
        <v>0</v>
      </c>
      <c r="D73" s="53">
        <f t="shared" si="18"/>
        <v>0</v>
      </c>
      <c r="E73" s="53">
        <f t="shared" si="18"/>
        <v>0</v>
      </c>
      <c r="F73" s="53">
        <f t="shared" si="18"/>
        <v>0</v>
      </c>
      <c r="G73" s="53">
        <f t="shared" si="18"/>
        <v>0</v>
      </c>
      <c r="H73" s="53">
        <f t="shared" si="18"/>
        <v>0</v>
      </c>
      <c r="I73" s="53">
        <f t="shared" si="18"/>
        <v>0</v>
      </c>
      <c r="J73" s="53">
        <f t="shared" si="18"/>
        <v>0</v>
      </c>
      <c r="K73" s="53">
        <f t="shared" si="18"/>
        <v>0</v>
      </c>
      <c r="L73" s="53">
        <f t="shared" si="18"/>
        <v>0</v>
      </c>
      <c r="M73" s="53">
        <f t="shared" si="18"/>
        <v>0</v>
      </c>
      <c r="N73" s="53">
        <f t="shared" si="18"/>
        <v>0</v>
      </c>
      <c r="O73" s="53">
        <f t="shared" si="18"/>
        <v>0</v>
      </c>
      <c r="P73" s="53">
        <f t="shared" si="18"/>
        <v>0</v>
      </c>
      <c r="Q73" s="53">
        <f t="shared" si="18"/>
        <v>0</v>
      </c>
      <c r="R73" s="53">
        <f t="shared" si="18"/>
        <v>0</v>
      </c>
      <c r="S73" s="53">
        <f t="shared" si="18"/>
        <v>0</v>
      </c>
      <c r="T73" s="53">
        <f t="shared" si="18"/>
        <v>0</v>
      </c>
      <c r="U73" s="53">
        <f t="shared" si="18"/>
        <v>0</v>
      </c>
      <c r="V73" s="53">
        <f t="shared" si="18"/>
        <v>0</v>
      </c>
    </row>
    <row r="74" spans="1:22" ht="15" customHeight="1" x14ac:dyDescent="0.25">
      <c r="A74" s="61"/>
      <c r="B74" s="38" t="s">
        <v>8</v>
      </c>
      <c r="C74" s="53">
        <f t="shared" ref="C74:V74" si="19">C13/C$60</f>
        <v>0</v>
      </c>
      <c r="D74" s="53">
        <f t="shared" si="19"/>
        <v>0</v>
      </c>
      <c r="E74" s="53">
        <f t="shared" si="19"/>
        <v>0</v>
      </c>
      <c r="F74" s="53">
        <f t="shared" si="19"/>
        <v>0</v>
      </c>
      <c r="G74" s="53">
        <f t="shared" si="19"/>
        <v>0</v>
      </c>
      <c r="H74" s="53">
        <f t="shared" si="19"/>
        <v>0</v>
      </c>
      <c r="I74" s="53">
        <f t="shared" si="19"/>
        <v>0</v>
      </c>
      <c r="J74" s="53">
        <f t="shared" si="19"/>
        <v>0</v>
      </c>
      <c r="K74" s="53">
        <f t="shared" si="19"/>
        <v>0</v>
      </c>
      <c r="L74" s="53">
        <f t="shared" si="19"/>
        <v>0</v>
      </c>
      <c r="M74" s="53">
        <f t="shared" si="19"/>
        <v>0</v>
      </c>
      <c r="N74" s="53">
        <f t="shared" si="19"/>
        <v>0</v>
      </c>
      <c r="O74" s="53">
        <f t="shared" si="19"/>
        <v>0</v>
      </c>
      <c r="P74" s="53">
        <f t="shared" si="19"/>
        <v>0</v>
      </c>
      <c r="Q74" s="53">
        <f t="shared" si="19"/>
        <v>0</v>
      </c>
      <c r="R74" s="53">
        <f t="shared" si="19"/>
        <v>0</v>
      </c>
      <c r="S74" s="53">
        <f t="shared" si="19"/>
        <v>0</v>
      </c>
      <c r="T74" s="53">
        <f t="shared" si="19"/>
        <v>0</v>
      </c>
      <c r="U74" s="53">
        <f t="shared" si="19"/>
        <v>0</v>
      </c>
      <c r="V74" s="53">
        <f t="shared" si="19"/>
        <v>0</v>
      </c>
    </row>
    <row r="75" spans="1:22" ht="15" customHeight="1" x14ac:dyDescent="0.25">
      <c r="A75" s="61"/>
      <c r="B75" s="38" t="s">
        <v>9</v>
      </c>
      <c r="C75" s="53">
        <f t="shared" ref="C75:V75" si="20">C14/C$60</f>
        <v>0</v>
      </c>
      <c r="D75" s="53">
        <f t="shared" si="20"/>
        <v>0</v>
      </c>
      <c r="E75" s="53">
        <f t="shared" si="20"/>
        <v>0</v>
      </c>
      <c r="F75" s="53">
        <f t="shared" si="20"/>
        <v>0</v>
      </c>
      <c r="G75" s="53">
        <f t="shared" si="20"/>
        <v>0</v>
      </c>
      <c r="H75" s="53">
        <f t="shared" si="20"/>
        <v>0</v>
      </c>
      <c r="I75" s="53">
        <f t="shared" si="20"/>
        <v>0</v>
      </c>
      <c r="J75" s="53">
        <f t="shared" si="20"/>
        <v>0</v>
      </c>
      <c r="K75" s="53">
        <f t="shared" si="20"/>
        <v>0</v>
      </c>
      <c r="L75" s="53">
        <f t="shared" si="20"/>
        <v>0</v>
      </c>
      <c r="M75" s="53">
        <f t="shared" si="20"/>
        <v>0</v>
      </c>
      <c r="N75" s="53">
        <f t="shared" si="20"/>
        <v>0</v>
      </c>
      <c r="O75" s="53">
        <f t="shared" si="20"/>
        <v>0</v>
      </c>
      <c r="P75" s="53">
        <f t="shared" si="20"/>
        <v>0</v>
      </c>
      <c r="Q75" s="53">
        <f t="shared" si="20"/>
        <v>0</v>
      </c>
      <c r="R75" s="53">
        <f t="shared" si="20"/>
        <v>0</v>
      </c>
      <c r="S75" s="53">
        <f t="shared" si="20"/>
        <v>0</v>
      </c>
      <c r="T75" s="53">
        <f t="shared" si="20"/>
        <v>0</v>
      </c>
      <c r="U75" s="53">
        <f t="shared" si="20"/>
        <v>0</v>
      </c>
      <c r="V75" s="53">
        <f t="shared" si="20"/>
        <v>0</v>
      </c>
    </row>
    <row r="76" spans="1:22" ht="15" customHeight="1" x14ac:dyDescent="0.25">
      <c r="A76" s="61"/>
      <c r="B76" s="38" t="s">
        <v>10</v>
      </c>
      <c r="C76" s="53">
        <f t="shared" ref="C76:V76" si="21">C15/C$60</f>
        <v>0</v>
      </c>
      <c r="D76" s="53">
        <f t="shared" si="21"/>
        <v>0</v>
      </c>
      <c r="E76" s="53">
        <f t="shared" si="21"/>
        <v>0</v>
      </c>
      <c r="F76" s="53">
        <f t="shared" si="21"/>
        <v>0</v>
      </c>
      <c r="G76" s="53">
        <f t="shared" si="21"/>
        <v>0</v>
      </c>
      <c r="H76" s="53">
        <f t="shared" si="21"/>
        <v>0</v>
      </c>
      <c r="I76" s="53">
        <f t="shared" si="21"/>
        <v>0</v>
      </c>
      <c r="J76" s="53">
        <f t="shared" si="21"/>
        <v>0</v>
      </c>
      <c r="K76" s="53">
        <f t="shared" si="21"/>
        <v>0</v>
      </c>
      <c r="L76" s="53">
        <f t="shared" si="21"/>
        <v>0</v>
      </c>
      <c r="M76" s="53">
        <f t="shared" si="21"/>
        <v>0</v>
      </c>
      <c r="N76" s="53">
        <f t="shared" si="21"/>
        <v>0</v>
      </c>
      <c r="O76" s="53">
        <f t="shared" si="21"/>
        <v>0</v>
      </c>
      <c r="P76" s="53">
        <f t="shared" si="21"/>
        <v>0</v>
      </c>
      <c r="Q76" s="53">
        <f t="shared" si="21"/>
        <v>0</v>
      </c>
      <c r="R76" s="53">
        <f t="shared" si="21"/>
        <v>0</v>
      </c>
      <c r="S76" s="53">
        <f t="shared" si="21"/>
        <v>0</v>
      </c>
      <c r="T76" s="53">
        <f t="shared" si="21"/>
        <v>0</v>
      </c>
      <c r="U76" s="53">
        <f t="shared" si="21"/>
        <v>0</v>
      </c>
      <c r="V76" s="53">
        <f t="shared" si="21"/>
        <v>0</v>
      </c>
    </row>
    <row r="77" spans="1:22" ht="15" customHeight="1" x14ac:dyDescent="0.25">
      <c r="A77" s="61"/>
      <c r="B77" s="38" t="s">
        <v>11</v>
      </c>
      <c r="C77" s="53">
        <f t="shared" ref="C77:V77" si="22">C16/C$60</f>
        <v>0.23786962274753354</v>
      </c>
      <c r="D77" s="53">
        <f t="shared" si="22"/>
        <v>0.30578687372180252</v>
      </c>
      <c r="E77" s="53">
        <f t="shared" si="22"/>
        <v>0.24656661514688322</v>
      </c>
      <c r="F77" s="53">
        <f t="shared" si="22"/>
        <v>0.23275785178115374</v>
      </c>
      <c r="G77" s="53">
        <f t="shared" si="22"/>
        <v>0.27809446729020254</v>
      </c>
      <c r="H77" s="53">
        <f t="shared" si="22"/>
        <v>0.24581141578216242</v>
      </c>
      <c r="I77" s="53">
        <f t="shared" si="22"/>
        <v>0.24217206813037973</v>
      </c>
      <c r="J77" s="53">
        <f t="shared" si="22"/>
        <v>0.28143615314562009</v>
      </c>
      <c r="K77" s="53">
        <f t="shared" si="22"/>
        <v>0.27014238019137266</v>
      </c>
      <c r="L77" s="53">
        <f t="shared" si="22"/>
        <v>0.25748558263595717</v>
      </c>
      <c r="M77" s="53">
        <f t="shared" si="22"/>
        <v>0.20289705235392935</v>
      </c>
      <c r="N77" s="53">
        <f t="shared" si="22"/>
        <v>0.23425301784957717</v>
      </c>
      <c r="O77" s="53">
        <f t="shared" si="22"/>
        <v>0.28704924834229717</v>
      </c>
      <c r="P77" s="53">
        <f t="shared" si="22"/>
        <v>0.3274188600607158</v>
      </c>
      <c r="Q77" s="53">
        <f t="shared" si="22"/>
        <v>0.2944822881228088</v>
      </c>
      <c r="R77" s="53">
        <f t="shared" si="22"/>
        <v>0.25345699367657276</v>
      </c>
      <c r="S77" s="53">
        <f t="shared" si="22"/>
        <v>0.26425123758014962</v>
      </c>
      <c r="T77" s="53">
        <f t="shared" si="22"/>
        <v>0.24299743973855142</v>
      </c>
      <c r="U77" s="53">
        <f t="shared" si="22"/>
        <v>0.30618043555070901</v>
      </c>
      <c r="V77" s="53">
        <f t="shared" si="22"/>
        <v>0.26188875667357048</v>
      </c>
    </row>
    <row r="78" spans="1:22" ht="15" customHeight="1" x14ac:dyDescent="0.25">
      <c r="A78" s="61"/>
      <c r="B78" s="38" t="s">
        <v>13</v>
      </c>
      <c r="C78" s="53">
        <f t="shared" ref="C78:V78" si="23">C17/C$60</f>
        <v>0.11186784666433555</v>
      </c>
      <c r="D78" s="53">
        <f t="shared" si="23"/>
        <v>6.1633272194494965E-2</v>
      </c>
      <c r="E78" s="53">
        <f t="shared" si="23"/>
        <v>0.1080110375477429</v>
      </c>
      <c r="F78" s="53">
        <f t="shared" si="23"/>
        <v>0.12266704755784734</v>
      </c>
      <c r="G78" s="53">
        <f t="shared" si="23"/>
        <v>0.10574144527191548</v>
      </c>
      <c r="H78" s="53">
        <f t="shared" si="23"/>
        <v>9.8584267218097973E-2</v>
      </c>
      <c r="I78" s="53">
        <f t="shared" si="23"/>
        <v>0.10986632563165931</v>
      </c>
      <c r="J78" s="53">
        <f t="shared" si="23"/>
        <v>9.8149742768997905E-2</v>
      </c>
      <c r="K78" s="53">
        <f t="shared" si="23"/>
        <v>0.1059508022865551</v>
      </c>
      <c r="L78" s="53">
        <f t="shared" si="23"/>
        <v>8.3333347282445583E-2</v>
      </c>
      <c r="M78" s="53">
        <f t="shared" si="23"/>
        <v>0.1145928854704174</v>
      </c>
      <c r="N78" s="53">
        <f t="shared" si="23"/>
        <v>0.11417453371836754</v>
      </c>
      <c r="O78" s="53">
        <f t="shared" si="23"/>
        <v>9.9507239956933308E-2</v>
      </c>
      <c r="P78" s="53">
        <f t="shared" si="23"/>
        <v>0.11436359815957463</v>
      </c>
      <c r="Q78" s="53">
        <f t="shared" si="23"/>
        <v>8.3414937172349851E-2</v>
      </c>
      <c r="R78" s="53">
        <f t="shared" si="23"/>
        <v>0.11009065778668914</v>
      </c>
      <c r="S78" s="53">
        <f t="shared" si="23"/>
        <v>0.130294444630429</v>
      </c>
      <c r="T78" s="53">
        <f t="shared" si="23"/>
        <v>0.11266919561769027</v>
      </c>
      <c r="U78" s="53">
        <f t="shared" si="23"/>
        <v>0.11270292641501087</v>
      </c>
      <c r="V78" s="53">
        <f t="shared" si="23"/>
        <v>9.5234178405440004E-2</v>
      </c>
    </row>
    <row r="79" spans="1:22" ht="15" customHeight="1" x14ac:dyDescent="0.25">
      <c r="A79" s="61"/>
      <c r="B79" s="38" t="s">
        <v>14</v>
      </c>
      <c r="C79" s="53">
        <f t="shared" ref="C79:V79" si="24">C18/C$60</f>
        <v>0</v>
      </c>
      <c r="D79" s="53">
        <f t="shared" si="24"/>
        <v>0</v>
      </c>
      <c r="E79" s="53">
        <f t="shared" si="24"/>
        <v>0</v>
      </c>
      <c r="F79" s="53">
        <f t="shared" si="24"/>
        <v>0</v>
      </c>
      <c r="G79" s="53">
        <f t="shared" si="24"/>
        <v>0</v>
      </c>
      <c r="H79" s="53">
        <f t="shared" si="24"/>
        <v>0</v>
      </c>
      <c r="I79" s="53">
        <f t="shared" si="24"/>
        <v>0</v>
      </c>
      <c r="J79" s="53">
        <f t="shared" si="24"/>
        <v>0</v>
      </c>
      <c r="K79" s="53">
        <f t="shared" si="24"/>
        <v>0</v>
      </c>
      <c r="L79" s="53">
        <f t="shared" si="24"/>
        <v>0</v>
      </c>
      <c r="M79" s="53">
        <f t="shared" si="24"/>
        <v>0</v>
      </c>
      <c r="N79" s="53">
        <f t="shared" si="24"/>
        <v>0</v>
      </c>
      <c r="O79" s="53">
        <f t="shared" si="24"/>
        <v>0</v>
      </c>
      <c r="P79" s="53">
        <f t="shared" si="24"/>
        <v>0</v>
      </c>
      <c r="Q79" s="53">
        <f t="shared" si="24"/>
        <v>0</v>
      </c>
      <c r="R79" s="53">
        <f t="shared" si="24"/>
        <v>0</v>
      </c>
      <c r="S79" s="53">
        <f t="shared" si="24"/>
        <v>0</v>
      </c>
      <c r="T79" s="53">
        <f t="shared" si="24"/>
        <v>0</v>
      </c>
      <c r="U79" s="53">
        <f t="shared" si="24"/>
        <v>0</v>
      </c>
      <c r="V79" s="53">
        <f t="shared" si="24"/>
        <v>0</v>
      </c>
    </row>
    <row r="80" spans="1:22" ht="15" customHeight="1" x14ac:dyDescent="0.25">
      <c r="A80" s="61"/>
      <c r="B80" s="38" t="s">
        <v>15</v>
      </c>
      <c r="C80" s="53">
        <f t="shared" ref="C80:V80" si="25">C19/C$60</f>
        <v>0</v>
      </c>
      <c r="D80" s="53">
        <f t="shared" si="25"/>
        <v>0</v>
      </c>
      <c r="E80" s="53">
        <f t="shared" si="25"/>
        <v>0</v>
      </c>
      <c r="F80" s="53">
        <f t="shared" si="25"/>
        <v>0</v>
      </c>
      <c r="G80" s="53">
        <f t="shared" si="25"/>
        <v>0</v>
      </c>
      <c r="H80" s="53">
        <f t="shared" si="25"/>
        <v>0</v>
      </c>
      <c r="I80" s="53">
        <f t="shared" si="25"/>
        <v>0</v>
      </c>
      <c r="J80" s="53">
        <f t="shared" si="25"/>
        <v>0</v>
      </c>
      <c r="K80" s="53">
        <f t="shared" si="25"/>
        <v>0</v>
      </c>
      <c r="L80" s="53">
        <f t="shared" si="25"/>
        <v>0</v>
      </c>
      <c r="M80" s="53">
        <f t="shared" si="25"/>
        <v>0</v>
      </c>
      <c r="N80" s="53">
        <f t="shared" si="25"/>
        <v>0</v>
      </c>
      <c r="O80" s="53">
        <f t="shared" si="25"/>
        <v>0</v>
      </c>
      <c r="P80" s="53">
        <f t="shared" si="25"/>
        <v>0</v>
      </c>
      <c r="Q80" s="53">
        <f t="shared" si="25"/>
        <v>0</v>
      </c>
      <c r="R80" s="53">
        <f t="shared" si="25"/>
        <v>0</v>
      </c>
      <c r="S80" s="53">
        <f t="shared" si="25"/>
        <v>0</v>
      </c>
      <c r="T80" s="53">
        <f t="shared" si="25"/>
        <v>0</v>
      </c>
      <c r="U80" s="53">
        <f t="shared" si="25"/>
        <v>0</v>
      </c>
      <c r="V80" s="53">
        <f t="shared" si="25"/>
        <v>0</v>
      </c>
    </row>
    <row r="81" spans="1:22" ht="15" customHeight="1" x14ac:dyDescent="0.25">
      <c r="A81" s="61"/>
      <c r="B81" s="38" t="s">
        <v>16</v>
      </c>
      <c r="C81" s="53">
        <f t="shared" ref="C81:V81" si="26">C20/C$60</f>
        <v>0</v>
      </c>
      <c r="D81" s="53">
        <f t="shared" si="26"/>
        <v>0</v>
      </c>
      <c r="E81" s="53">
        <f t="shared" si="26"/>
        <v>0</v>
      </c>
      <c r="F81" s="53">
        <f t="shared" si="26"/>
        <v>0</v>
      </c>
      <c r="G81" s="53">
        <f t="shared" si="26"/>
        <v>0</v>
      </c>
      <c r="H81" s="53">
        <f t="shared" si="26"/>
        <v>0</v>
      </c>
      <c r="I81" s="53">
        <f t="shared" si="26"/>
        <v>0</v>
      </c>
      <c r="J81" s="53">
        <f t="shared" si="26"/>
        <v>0</v>
      </c>
      <c r="K81" s="53">
        <f t="shared" si="26"/>
        <v>0</v>
      </c>
      <c r="L81" s="53">
        <f t="shared" si="26"/>
        <v>0</v>
      </c>
      <c r="M81" s="53">
        <f t="shared" si="26"/>
        <v>0</v>
      </c>
      <c r="N81" s="53">
        <f t="shared" si="26"/>
        <v>0</v>
      </c>
      <c r="O81" s="53">
        <f t="shared" si="26"/>
        <v>0</v>
      </c>
      <c r="P81" s="53">
        <f t="shared" si="26"/>
        <v>0</v>
      </c>
      <c r="Q81" s="53">
        <f t="shared" si="26"/>
        <v>0</v>
      </c>
      <c r="R81" s="53">
        <f t="shared" si="26"/>
        <v>0</v>
      </c>
      <c r="S81" s="53">
        <f t="shared" si="26"/>
        <v>0</v>
      </c>
      <c r="T81" s="53">
        <f t="shared" si="26"/>
        <v>0</v>
      </c>
      <c r="U81" s="53">
        <f t="shared" si="26"/>
        <v>0</v>
      </c>
      <c r="V81" s="53">
        <f t="shared" si="26"/>
        <v>0</v>
      </c>
    </row>
    <row r="82" spans="1:22" ht="15" customHeight="1" x14ac:dyDescent="0.25">
      <c r="A82" s="61"/>
      <c r="B82" s="38" t="s">
        <v>17</v>
      </c>
      <c r="C82" s="53">
        <f t="shared" ref="C82:V82" si="27">C21/C$60</f>
        <v>0</v>
      </c>
      <c r="D82" s="53">
        <f t="shared" si="27"/>
        <v>0</v>
      </c>
      <c r="E82" s="53">
        <f t="shared" si="27"/>
        <v>0</v>
      </c>
      <c r="F82" s="53">
        <f t="shared" si="27"/>
        <v>0</v>
      </c>
      <c r="G82" s="53">
        <f t="shared" si="27"/>
        <v>0</v>
      </c>
      <c r="H82" s="53">
        <f t="shared" si="27"/>
        <v>0</v>
      </c>
      <c r="I82" s="53">
        <f t="shared" si="27"/>
        <v>0</v>
      </c>
      <c r="J82" s="53">
        <f t="shared" si="27"/>
        <v>0</v>
      </c>
      <c r="K82" s="53">
        <f t="shared" si="27"/>
        <v>0</v>
      </c>
      <c r="L82" s="53">
        <f t="shared" si="27"/>
        <v>0</v>
      </c>
      <c r="M82" s="53">
        <f t="shared" si="27"/>
        <v>0</v>
      </c>
      <c r="N82" s="53">
        <f t="shared" si="27"/>
        <v>0</v>
      </c>
      <c r="O82" s="53">
        <f t="shared" si="27"/>
        <v>0</v>
      </c>
      <c r="P82" s="53">
        <f t="shared" si="27"/>
        <v>0</v>
      </c>
      <c r="Q82" s="53">
        <f t="shared" si="27"/>
        <v>0</v>
      </c>
      <c r="R82" s="53">
        <f t="shared" si="27"/>
        <v>0</v>
      </c>
      <c r="S82" s="53">
        <f t="shared" si="27"/>
        <v>0</v>
      </c>
      <c r="T82" s="53">
        <f t="shared" si="27"/>
        <v>0</v>
      </c>
      <c r="U82" s="53">
        <f t="shared" si="27"/>
        <v>0</v>
      </c>
      <c r="V82" s="53">
        <f t="shared" si="27"/>
        <v>0</v>
      </c>
    </row>
    <row r="83" spans="1:22" ht="15.75" customHeight="1" thickBot="1" x14ac:dyDescent="0.3">
      <c r="A83" s="62"/>
      <c r="B83" s="39" t="s">
        <v>18</v>
      </c>
      <c r="C83" s="56">
        <f t="shared" ref="C83:V83" si="28">C22/C$60</f>
        <v>1.7620618386819508E-2</v>
      </c>
      <c r="D83" s="56">
        <f t="shared" si="28"/>
        <v>8.8569935191808811E-3</v>
      </c>
      <c r="E83" s="56">
        <f t="shared" si="28"/>
        <v>1.2357522401809547E-2</v>
      </c>
      <c r="F83" s="56">
        <f t="shared" si="28"/>
        <v>1.9004226377860894E-2</v>
      </c>
      <c r="G83" s="56">
        <f t="shared" si="28"/>
        <v>1.3460886122589383E-2</v>
      </c>
      <c r="H83" s="56">
        <f t="shared" si="28"/>
        <v>1.6217203649683602E-2</v>
      </c>
      <c r="I83" s="56">
        <f t="shared" si="28"/>
        <v>8.9919825048070633E-3</v>
      </c>
      <c r="J83" s="56">
        <f t="shared" si="28"/>
        <v>6.9772248483658842E-3</v>
      </c>
      <c r="K83" s="56">
        <f t="shared" si="28"/>
        <v>7.8864579918170499E-3</v>
      </c>
      <c r="L83" s="56">
        <f t="shared" si="28"/>
        <v>8.477258157589462E-3</v>
      </c>
      <c r="M83" s="56">
        <f t="shared" si="28"/>
        <v>2.1553814232835866E-2</v>
      </c>
      <c r="N83" s="56">
        <f t="shared" si="28"/>
        <v>9.3654867051801895E-3</v>
      </c>
      <c r="O83" s="56">
        <f t="shared" si="28"/>
        <v>1.0127144617483123E-2</v>
      </c>
      <c r="P83" s="56">
        <f t="shared" si="28"/>
        <v>8.7527354192074233E-3</v>
      </c>
      <c r="Q83" s="56">
        <f t="shared" si="28"/>
        <v>5.2237262069115007E-3</v>
      </c>
      <c r="R83" s="56">
        <f t="shared" si="28"/>
        <v>1.3833474829335019E-2</v>
      </c>
      <c r="S83" s="56">
        <f t="shared" si="28"/>
        <v>1.4413566429625414E-2</v>
      </c>
      <c r="T83" s="56">
        <f t="shared" si="28"/>
        <v>1.4003367203640218E-2</v>
      </c>
      <c r="U83" s="56">
        <f t="shared" si="28"/>
        <v>8.9512078881669541E-3</v>
      </c>
      <c r="V83" s="56">
        <f t="shared" si="28"/>
        <v>7.2626604515136041E-3</v>
      </c>
    </row>
    <row r="84" spans="1:22" ht="15.75" thickBot="1" x14ac:dyDescent="0.3"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</row>
    <row r="85" spans="1:22" x14ac:dyDescent="0.25">
      <c r="A85" s="60" t="s">
        <v>19</v>
      </c>
      <c r="B85" s="37" t="s">
        <v>20</v>
      </c>
      <c r="C85" s="55">
        <f t="shared" ref="C85:V85" si="29">C24/C$60</f>
        <v>0</v>
      </c>
      <c r="D85" s="55">
        <f t="shared" si="29"/>
        <v>0</v>
      </c>
      <c r="E85" s="55">
        <f t="shared" si="29"/>
        <v>0</v>
      </c>
      <c r="F85" s="55">
        <f t="shared" si="29"/>
        <v>0</v>
      </c>
      <c r="G85" s="55">
        <f t="shared" si="29"/>
        <v>0</v>
      </c>
      <c r="H85" s="55">
        <f t="shared" si="29"/>
        <v>0</v>
      </c>
      <c r="I85" s="55">
        <f t="shared" si="29"/>
        <v>0</v>
      </c>
      <c r="J85" s="55">
        <f t="shared" si="29"/>
        <v>0</v>
      </c>
      <c r="K85" s="55">
        <f t="shared" si="29"/>
        <v>0</v>
      </c>
      <c r="L85" s="55">
        <f t="shared" si="29"/>
        <v>0</v>
      </c>
      <c r="M85" s="55">
        <f t="shared" si="29"/>
        <v>0</v>
      </c>
      <c r="N85" s="55">
        <f t="shared" si="29"/>
        <v>0</v>
      </c>
      <c r="O85" s="55">
        <f t="shared" si="29"/>
        <v>0</v>
      </c>
      <c r="P85" s="55">
        <f t="shared" si="29"/>
        <v>0</v>
      </c>
      <c r="Q85" s="55">
        <f t="shared" si="29"/>
        <v>0</v>
      </c>
      <c r="R85" s="55">
        <f t="shared" si="29"/>
        <v>0</v>
      </c>
      <c r="S85" s="55">
        <f t="shared" si="29"/>
        <v>0</v>
      </c>
      <c r="T85" s="55">
        <f t="shared" si="29"/>
        <v>0</v>
      </c>
      <c r="U85" s="55">
        <f t="shared" si="29"/>
        <v>0</v>
      </c>
      <c r="V85" s="55">
        <f t="shared" si="29"/>
        <v>0</v>
      </c>
    </row>
    <row r="86" spans="1:22" x14ac:dyDescent="0.25">
      <c r="A86" s="61"/>
      <c r="B86" s="38" t="s">
        <v>21</v>
      </c>
      <c r="C86" s="53">
        <f t="shared" ref="C86:V86" si="30">C25/C$60</f>
        <v>0</v>
      </c>
      <c r="D86" s="53">
        <f t="shared" si="30"/>
        <v>0</v>
      </c>
      <c r="E86" s="53">
        <f t="shared" si="30"/>
        <v>0</v>
      </c>
      <c r="F86" s="53">
        <f t="shared" si="30"/>
        <v>0</v>
      </c>
      <c r="G86" s="53">
        <f t="shared" si="30"/>
        <v>0</v>
      </c>
      <c r="H86" s="53">
        <f t="shared" si="30"/>
        <v>0</v>
      </c>
      <c r="I86" s="53">
        <f t="shared" si="30"/>
        <v>0</v>
      </c>
      <c r="J86" s="53">
        <f t="shared" si="30"/>
        <v>0</v>
      </c>
      <c r="K86" s="53">
        <f t="shared" si="30"/>
        <v>0</v>
      </c>
      <c r="L86" s="53">
        <f t="shared" si="30"/>
        <v>0</v>
      </c>
      <c r="M86" s="53">
        <f t="shared" si="30"/>
        <v>0</v>
      </c>
      <c r="N86" s="53">
        <f t="shared" si="30"/>
        <v>0</v>
      </c>
      <c r="O86" s="53">
        <f t="shared" si="30"/>
        <v>0</v>
      </c>
      <c r="P86" s="53">
        <f t="shared" si="30"/>
        <v>0</v>
      </c>
      <c r="Q86" s="53">
        <f t="shared" si="30"/>
        <v>0</v>
      </c>
      <c r="R86" s="53">
        <f t="shared" si="30"/>
        <v>0</v>
      </c>
      <c r="S86" s="53">
        <f t="shared" si="30"/>
        <v>0</v>
      </c>
      <c r="T86" s="53">
        <f t="shared" si="30"/>
        <v>0</v>
      </c>
      <c r="U86" s="53">
        <f t="shared" si="30"/>
        <v>0</v>
      </c>
      <c r="V86" s="53">
        <f t="shared" si="30"/>
        <v>0</v>
      </c>
    </row>
    <row r="87" spans="1:22" x14ac:dyDescent="0.25">
      <c r="A87" s="61"/>
      <c r="B87" s="38" t="s">
        <v>22</v>
      </c>
      <c r="C87" s="53">
        <f t="shared" ref="C87:V87" si="31">C26/C$60</f>
        <v>0</v>
      </c>
      <c r="D87" s="53">
        <f t="shared" si="31"/>
        <v>0</v>
      </c>
      <c r="E87" s="53">
        <f t="shared" si="31"/>
        <v>0</v>
      </c>
      <c r="F87" s="53">
        <f t="shared" si="31"/>
        <v>0</v>
      </c>
      <c r="G87" s="53">
        <f t="shared" si="31"/>
        <v>0</v>
      </c>
      <c r="H87" s="53">
        <f t="shared" si="31"/>
        <v>0</v>
      </c>
      <c r="I87" s="53">
        <f t="shared" si="31"/>
        <v>0</v>
      </c>
      <c r="J87" s="53">
        <f t="shared" si="31"/>
        <v>0</v>
      </c>
      <c r="K87" s="53">
        <f t="shared" si="31"/>
        <v>0</v>
      </c>
      <c r="L87" s="53">
        <f t="shared" si="31"/>
        <v>0</v>
      </c>
      <c r="M87" s="53">
        <f t="shared" si="31"/>
        <v>0</v>
      </c>
      <c r="N87" s="53">
        <f t="shared" si="31"/>
        <v>0</v>
      </c>
      <c r="O87" s="53">
        <f t="shared" si="31"/>
        <v>0</v>
      </c>
      <c r="P87" s="53">
        <f t="shared" si="31"/>
        <v>0</v>
      </c>
      <c r="Q87" s="53">
        <f t="shared" si="31"/>
        <v>0</v>
      </c>
      <c r="R87" s="53">
        <f t="shared" si="31"/>
        <v>0</v>
      </c>
      <c r="S87" s="53">
        <f t="shared" si="31"/>
        <v>0</v>
      </c>
      <c r="T87" s="53">
        <f t="shared" si="31"/>
        <v>0</v>
      </c>
      <c r="U87" s="53">
        <f t="shared" si="31"/>
        <v>0</v>
      </c>
      <c r="V87" s="53">
        <f t="shared" si="31"/>
        <v>0</v>
      </c>
    </row>
    <row r="88" spans="1:22" x14ac:dyDescent="0.25">
      <c r="A88" s="61"/>
      <c r="B88" s="38" t="s">
        <v>23</v>
      </c>
      <c r="C88" s="53">
        <f t="shared" ref="C88:V88" si="32">C27/C$60</f>
        <v>1.4074225071155036E-2</v>
      </c>
      <c r="D88" s="53">
        <f t="shared" si="32"/>
        <v>3.8555398670853717E-2</v>
      </c>
      <c r="E88" s="53">
        <f t="shared" si="32"/>
        <v>2.1006976031087202E-2</v>
      </c>
      <c r="F88" s="53">
        <f t="shared" si="32"/>
        <v>1.3381530714571623E-2</v>
      </c>
      <c r="G88" s="53">
        <f t="shared" si="32"/>
        <v>2.6330007208683007E-2</v>
      </c>
      <c r="H88" s="53">
        <f t="shared" si="32"/>
        <v>1.4091535857297128E-2</v>
      </c>
      <c r="I88" s="53">
        <f t="shared" si="32"/>
        <v>1.3305796336278316E-2</v>
      </c>
      <c r="J88" s="53">
        <f t="shared" si="32"/>
        <v>3.0962903851292831E-2</v>
      </c>
      <c r="K88" s="53">
        <f t="shared" si="32"/>
        <v>1.4686916803899571E-2</v>
      </c>
      <c r="L88" s="53">
        <f t="shared" si="32"/>
        <v>2.455318852268373E-2</v>
      </c>
      <c r="M88" s="53">
        <f t="shared" si="32"/>
        <v>8.5290648981014537E-3</v>
      </c>
      <c r="N88" s="53">
        <f t="shared" si="32"/>
        <v>1.7166206288820287E-2</v>
      </c>
      <c r="O88" s="53">
        <f t="shared" si="32"/>
        <v>2.5301783336205658E-2</v>
      </c>
      <c r="P88" s="53">
        <f t="shared" si="32"/>
        <v>1.5967614842268676E-2</v>
      </c>
      <c r="Q88" s="53">
        <f t="shared" si="32"/>
        <v>2.0581947745658771E-2</v>
      </c>
      <c r="R88" s="53">
        <f t="shared" si="32"/>
        <v>1.3012882292017707E-2</v>
      </c>
      <c r="S88" s="53">
        <f t="shared" si="32"/>
        <v>1.8097635376586801E-2</v>
      </c>
      <c r="T88" s="53">
        <f t="shared" si="32"/>
        <v>1.706784829635417E-2</v>
      </c>
      <c r="U88" s="53">
        <f t="shared" si="32"/>
        <v>2.1724422326590921E-2</v>
      </c>
      <c r="V88" s="53">
        <f t="shared" si="32"/>
        <v>1.7526134799227277E-2</v>
      </c>
    </row>
    <row r="89" spans="1:22" x14ac:dyDescent="0.25">
      <c r="A89" s="61"/>
      <c r="B89" s="38" t="s">
        <v>24</v>
      </c>
      <c r="C89" s="53">
        <f t="shared" ref="C89:V89" si="33">C28/C$60</f>
        <v>0</v>
      </c>
      <c r="D89" s="53">
        <f t="shared" si="33"/>
        <v>0</v>
      </c>
      <c r="E89" s="53">
        <f t="shared" si="33"/>
        <v>0</v>
      </c>
      <c r="F89" s="53">
        <f t="shared" si="33"/>
        <v>0</v>
      </c>
      <c r="G89" s="53">
        <f t="shared" si="33"/>
        <v>0</v>
      </c>
      <c r="H89" s="53">
        <f t="shared" si="33"/>
        <v>0</v>
      </c>
      <c r="I89" s="53">
        <f t="shared" si="33"/>
        <v>0</v>
      </c>
      <c r="J89" s="53">
        <f t="shared" si="33"/>
        <v>0</v>
      </c>
      <c r="K89" s="53">
        <f t="shared" si="33"/>
        <v>0</v>
      </c>
      <c r="L89" s="53">
        <f t="shared" si="33"/>
        <v>0</v>
      </c>
      <c r="M89" s="53">
        <f t="shared" si="33"/>
        <v>0</v>
      </c>
      <c r="N89" s="53">
        <f t="shared" si="33"/>
        <v>0</v>
      </c>
      <c r="O89" s="53">
        <f t="shared" si="33"/>
        <v>0</v>
      </c>
      <c r="P89" s="53">
        <f t="shared" si="33"/>
        <v>0</v>
      </c>
      <c r="Q89" s="53">
        <f t="shared" si="33"/>
        <v>0</v>
      </c>
      <c r="R89" s="53">
        <f t="shared" si="33"/>
        <v>0</v>
      </c>
      <c r="S89" s="53">
        <f t="shared" si="33"/>
        <v>0</v>
      </c>
      <c r="T89" s="53">
        <f t="shared" si="33"/>
        <v>0</v>
      </c>
      <c r="U89" s="53">
        <f t="shared" si="33"/>
        <v>0</v>
      </c>
      <c r="V89" s="53">
        <f t="shared" si="33"/>
        <v>0</v>
      </c>
    </row>
    <row r="90" spans="1:22" x14ac:dyDescent="0.25">
      <c r="A90" s="61"/>
      <c r="B90" s="38" t="s">
        <v>25</v>
      </c>
      <c r="C90" s="53">
        <f t="shared" ref="C90:V90" si="34">C29/C$60</f>
        <v>1.7614401234684458E-2</v>
      </c>
      <c r="D90" s="53">
        <f t="shared" si="34"/>
        <v>2.9383263710166269E-2</v>
      </c>
      <c r="E90" s="53">
        <f t="shared" si="34"/>
        <v>1.758023326060949E-2</v>
      </c>
      <c r="F90" s="53">
        <f t="shared" si="34"/>
        <v>2.2095294071647495E-2</v>
      </c>
      <c r="G90" s="53">
        <f t="shared" si="34"/>
        <v>1.7201899870762091E-2</v>
      </c>
      <c r="H90" s="53">
        <f t="shared" si="34"/>
        <v>1.8983206186143284E-2</v>
      </c>
      <c r="I90" s="53">
        <f t="shared" si="34"/>
        <v>1.9338448194842709E-2</v>
      </c>
      <c r="J90" s="53">
        <f t="shared" si="34"/>
        <v>1.5350526898855254E-2</v>
      </c>
      <c r="K90" s="53">
        <f t="shared" si="34"/>
        <v>2.6164744990731029E-2</v>
      </c>
      <c r="L90" s="53">
        <f t="shared" si="34"/>
        <v>2.3813773710933048E-2</v>
      </c>
      <c r="M90" s="53">
        <f t="shared" si="34"/>
        <v>2.0475659095457795E-2</v>
      </c>
      <c r="N90" s="53">
        <f t="shared" si="34"/>
        <v>1.5574993924520438E-2</v>
      </c>
      <c r="O90" s="53">
        <f t="shared" si="34"/>
        <v>2.1680994958921705E-2</v>
      </c>
      <c r="P90" s="53">
        <f t="shared" si="34"/>
        <v>1.4614093855056224E-2</v>
      </c>
      <c r="Q90" s="53">
        <f t="shared" si="34"/>
        <v>1.2717325125472297E-2</v>
      </c>
      <c r="R90" s="53">
        <f t="shared" si="34"/>
        <v>1.9344884140417438E-2</v>
      </c>
      <c r="S90" s="53">
        <f t="shared" si="34"/>
        <v>1.7922221745907324E-2</v>
      </c>
      <c r="T90" s="53">
        <f t="shared" si="34"/>
        <v>2.0228808066267794E-2</v>
      </c>
      <c r="U90" s="53">
        <f t="shared" si="34"/>
        <v>1.5026896704379858E-2</v>
      </c>
      <c r="V90" s="53">
        <f t="shared" si="34"/>
        <v>1.9050031861487914E-2</v>
      </c>
    </row>
    <row r="91" spans="1:22" x14ac:dyDescent="0.25">
      <c r="A91" s="61"/>
      <c r="B91" s="38" t="s">
        <v>26</v>
      </c>
      <c r="C91" s="53">
        <f t="shared" ref="C91:V91" si="35">C30/C$60</f>
        <v>0</v>
      </c>
      <c r="D91" s="53">
        <f t="shared" si="35"/>
        <v>0</v>
      </c>
      <c r="E91" s="53">
        <f t="shared" si="35"/>
        <v>0</v>
      </c>
      <c r="F91" s="53">
        <f t="shared" si="35"/>
        <v>0</v>
      </c>
      <c r="G91" s="53">
        <f t="shared" si="35"/>
        <v>0</v>
      </c>
      <c r="H91" s="53">
        <f t="shared" si="35"/>
        <v>0</v>
      </c>
      <c r="I91" s="53">
        <f t="shared" si="35"/>
        <v>0</v>
      </c>
      <c r="J91" s="53">
        <f t="shared" si="35"/>
        <v>0</v>
      </c>
      <c r="K91" s="53">
        <f t="shared" si="35"/>
        <v>0</v>
      </c>
      <c r="L91" s="53">
        <f t="shared" si="35"/>
        <v>0</v>
      </c>
      <c r="M91" s="53">
        <f t="shared" si="35"/>
        <v>0</v>
      </c>
      <c r="N91" s="53">
        <f t="shared" si="35"/>
        <v>0</v>
      </c>
      <c r="O91" s="53">
        <f t="shared" si="35"/>
        <v>0</v>
      </c>
      <c r="P91" s="53">
        <f t="shared" si="35"/>
        <v>0</v>
      </c>
      <c r="Q91" s="53">
        <f t="shared" si="35"/>
        <v>0</v>
      </c>
      <c r="R91" s="53">
        <f t="shared" si="35"/>
        <v>0</v>
      </c>
      <c r="S91" s="53">
        <f t="shared" si="35"/>
        <v>0</v>
      </c>
      <c r="T91" s="53">
        <f t="shared" si="35"/>
        <v>0</v>
      </c>
      <c r="U91" s="53">
        <f t="shared" si="35"/>
        <v>0</v>
      </c>
      <c r="V91" s="53">
        <f t="shared" si="35"/>
        <v>0</v>
      </c>
    </row>
    <row r="92" spans="1:22" x14ac:dyDescent="0.25">
      <c r="A92" s="61"/>
      <c r="B92" s="38" t="s">
        <v>27</v>
      </c>
      <c r="C92" s="53">
        <f t="shared" ref="C92:V92" si="36">C31/C$60</f>
        <v>0.21857676812258631</v>
      </c>
      <c r="D92" s="53">
        <f t="shared" si="36"/>
        <v>0.2524661004702401</v>
      </c>
      <c r="E92" s="53">
        <f t="shared" si="36"/>
        <v>0.2867849345475787</v>
      </c>
      <c r="F92" s="53">
        <f t="shared" si="36"/>
        <v>0.20314520937770061</v>
      </c>
      <c r="G92" s="53">
        <f t="shared" si="36"/>
        <v>0.25905047435585093</v>
      </c>
      <c r="H92" s="53">
        <f t="shared" si="36"/>
        <v>0.23448386783912906</v>
      </c>
      <c r="I92" s="53">
        <f t="shared" si="36"/>
        <v>0.28891110599997527</v>
      </c>
      <c r="J92" s="53">
        <f t="shared" si="36"/>
        <v>0.28740401562429202</v>
      </c>
      <c r="K92" s="53">
        <f t="shared" si="36"/>
        <v>0.2435814239858948</v>
      </c>
      <c r="L92" s="53">
        <f t="shared" si="36"/>
        <v>0.310170495783952</v>
      </c>
      <c r="M92" s="53">
        <f t="shared" si="36"/>
        <v>0.22591586793835639</v>
      </c>
      <c r="N92" s="53">
        <f t="shared" si="36"/>
        <v>0.26696213528810253</v>
      </c>
      <c r="O92" s="53">
        <f t="shared" si="36"/>
        <v>0.2403450327181785</v>
      </c>
      <c r="P92" s="53">
        <f t="shared" si="36"/>
        <v>0.24653903545699643</v>
      </c>
      <c r="Q92" s="53">
        <f t="shared" si="36"/>
        <v>0.21515354329156958</v>
      </c>
      <c r="R92" s="53">
        <f t="shared" si="36"/>
        <v>0.23288724614527254</v>
      </c>
      <c r="S92" s="53">
        <f t="shared" si="36"/>
        <v>0.21042097052058889</v>
      </c>
      <c r="T92" s="53">
        <f t="shared" si="36"/>
        <v>0.22500450157612553</v>
      </c>
      <c r="U92" s="53">
        <f t="shared" si="36"/>
        <v>0.24944797381216896</v>
      </c>
      <c r="V92" s="53">
        <f t="shared" si="36"/>
        <v>0.32111947937459362</v>
      </c>
    </row>
    <row r="93" spans="1:22" x14ac:dyDescent="0.25">
      <c r="A93" s="61"/>
      <c r="B93" s="38" t="s">
        <v>28</v>
      </c>
      <c r="C93" s="53">
        <f t="shared" ref="C93:V93" si="37">C32/C$60</f>
        <v>0</v>
      </c>
      <c r="D93" s="53">
        <f t="shared" si="37"/>
        <v>0</v>
      </c>
      <c r="E93" s="53">
        <f t="shared" si="37"/>
        <v>0</v>
      </c>
      <c r="F93" s="53">
        <f t="shared" si="37"/>
        <v>0</v>
      </c>
      <c r="G93" s="53">
        <f t="shared" si="37"/>
        <v>0</v>
      </c>
      <c r="H93" s="53">
        <f t="shared" si="37"/>
        <v>0</v>
      </c>
      <c r="I93" s="53">
        <f t="shared" si="37"/>
        <v>0</v>
      </c>
      <c r="J93" s="53">
        <f t="shared" si="37"/>
        <v>0</v>
      </c>
      <c r="K93" s="53">
        <f t="shared" si="37"/>
        <v>0</v>
      </c>
      <c r="L93" s="53">
        <f t="shared" si="37"/>
        <v>0</v>
      </c>
      <c r="M93" s="53">
        <f t="shared" si="37"/>
        <v>0</v>
      </c>
      <c r="N93" s="53">
        <f t="shared" si="37"/>
        <v>0</v>
      </c>
      <c r="O93" s="53">
        <f t="shared" si="37"/>
        <v>0</v>
      </c>
      <c r="P93" s="53">
        <f t="shared" si="37"/>
        <v>0</v>
      </c>
      <c r="Q93" s="53">
        <f t="shared" si="37"/>
        <v>0</v>
      </c>
      <c r="R93" s="53">
        <f t="shared" si="37"/>
        <v>0</v>
      </c>
      <c r="S93" s="53">
        <f t="shared" si="37"/>
        <v>0</v>
      </c>
      <c r="T93" s="53">
        <f t="shared" si="37"/>
        <v>0</v>
      </c>
      <c r="U93" s="53">
        <f t="shared" si="37"/>
        <v>0</v>
      </c>
      <c r="V93" s="53">
        <f t="shared" si="37"/>
        <v>0</v>
      </c>
    </row>
    <row r="94" spans="1:22" x14ac:dyDescent="0.25">
      <c r="A94" s="61"/>
      <c r="B94" s="38" t="s">
        <v>29</v>
      </c>
      <c r="C94" s="53">
        <f t="shared" ref="C94:V94" si="38">C33/C$60</f>
        <v>0</v>
      </c>
      <c r="D94" s="53">
        <f t="shared" si="38"/>
        <v>0</v>
      </c>
      <c r="E94" s="53">
        <f t="shared" si="38"/>
        <v>0</v>
      </c>
      <c r="F94" s="53">
        <f t="shared" si="38"/>
        <v>0</v>
      </c>
      <c r="G94" s="53">
        <f t="shared" si="38"/>
        <v>0</v>
      </c>
      <c r="H94" s="53">
        <f t="shared" si="38"/>
        <v>0</v>
      </c>
      <c r="I94" s="53">
        <f t="shared" si="38"/>
        <v>0</v>
      </c>
      <c r="J94" s="53">
        <f t="shared" si="38"/>
        <v>0</v>
      </c>
      <c r="K94" s="53">
        <f t="shared" si="38"/>
        <v>0</v>
      </c>
      <c r="L94" s="53">
        <f t="shared" si="38"/>
        <v>0</v>
      </c>
      <c r="M94" s="53">
        <f t="shared" si="38"/>
        <v>0</v>
      </c>
      <c r="N94" s="53">
        <f t="shared" si="38"/>
        <v>0</v>
      </c>
      <c r="O94" s="53">
        <f t="shared" si="38"/>
        <v>0</v>
      </c>
      <c r="P94" s="53">
        <f t="shared" si="38"/>
        <v>0</v>
      </c>
      <c r="Q94" s="53">
        <f t="shared" si="38"/>
        <v>0</v>
      </c>
      <c r="R94" s="53">
        <f t="shared" si="38"/>
        <v>0</v>
      </c>
      <c r="S94" s="53">
        <f t="shared" si="38"/>
        <v>0</v>
      </c>
      <c r="T94" s="53">
        <f t="shared" si="38"/>
        <v>0</v>
      </c>
      <c r="U94" s="53">
        <f t="shared" si="38"/>
        <v>0</v>
      </c>
      <c r="V94" s="53">
        <f t="shared" si="38"/>
        <v>0</v>
      </c>
    </row>
    <row r="95" spans="1:22" ht="15.75" thickBot="1" x14ac:dyDescent="0.3">
      <c r="A95" s="62"/>
      <c r="B95" s="39" t="s">
        <v>30</v>
      </c>
      <c r="C95" s="56">
        <f t="shared" ref="C95:V95" si="39">C34/C$60</f>
        <v>0</v>
      </c>
      <c r="D95" s="56">
        <f t="shared" si="39"/>
        <v>0</v>
      </c>
      <c r="E95" s="56">
        <f t="shared" si="39"/>
        <v>0</v>
      </c>
      <c r="F95" s="56">
        <f t="shared" si="39"/>
        <v>0</v>
      </c>
      <c r="G95" s="56">
        <f t="shared" si="39"/>
        <v>0</v>
      </c>
      <c r="H95" s="56">
        <f t="shared" si="39"/>
        <v>0</v>
      </c>
      <c r="I95" s="56">
        <f t="shared" si="39"/>
        <v>0</v>
      </c>
      <c r="J95" s="56">
        <f t="shared" si="39"/>
        <v>0</v>
      </c>
      <c r="K95" s="56">
        <f t="shared" si="39"/>
        <v>0</v>
      </c>
      <c r="L95" s="56">
        <f t="shared" si="39"/>
        <v>0</v>
      </c>
      <c r="M95" s="56">
        <f t="shared" si="39"/>
        <v>0</v>
      </c>
      <c r="N95" s="56">
        <f t="shared" si="39"/>
        <v>0</v>
      </c>
      <c r="O95" s="56">
        <f t="shared" si="39"/>
        <v>0</v>
      </c>
      <c r="P95" s="56">
        <f t="shared" si="39"/>
        <v>0</v>
      </c>
      <c r="Q95" s="56">
        <f t="shared" si="39"/>
        <v>0</v>
      </c>
      <c r="R95" s="56">
        <f t="shared" si="39"/>
        <v>0</v>
      </c>
      <c r="S95" s="56">
        <f t="shared" si="39"/>
        <v>0</v>
      </c>
      <c r="T95" s="56">
        <f t="shared" si="39"/>
        <v>0</v>
      </c>
      <c r="U95" s="56">
        <f t="shared" si="39"/>
        <v>0</v>
      </c>
      <c r="V95" s="56">
        <f t="shared" si="39"/>
        <v>0</v>
      </c>
    </row>
    <row r="96" spans="1:22" ht="15.75" thickBot="1" x14ac:dyDescent="0.3"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</row>
    <row r="97" spans="1:22" x14ac:dyDescent="0.25">
      <c r="A97" s="60" t="s">
        <v>31</v>
      </c>
      <c r="B97" s="37" t="s">
        <v>32</v>
      </c>
      <c r="C97" s="55">
        <f t="shared" ref="C97:V97" si="40">C36/C$60</f>
        <v>0</v>
      </c>
      <c r="D97" s="55">
        <f t="shared" si="40"/>
        <v>0</v>
      </c>
      <c r="E97" s="55">
        <f t="shared" si="40"/>
        <v>0</v>
      </c>
      <c r="F97" s="55">
        <f t="shared" si="40"/>
        <v>0</v>
      </c>
      <c r="G97" s="55">
        <f t="shared" si="40"/>
        <v>0</v>
      </c>
      <c r="H97" s="55">
        <f t="shared" si="40"/>
        <v>0</v>
      </c>
      <c r="I97" s="55">
        <f t="shared" si="40"/>
        <v>0</v>
      </c>
      <c r="J97" s="55">
        <f t="shared" si="40"/>
        <v>0</v>
      </c>
      <c r="K97" s="55">
        <f t="shared" si="40"/>
        <v>0</v>
      </c>
      <c r="L97" s="55">
        <f t="shared" si="40"/>
        <v>0</v>
      </c>
      <c r="M97" s="55">
        <f t="shared" si="40"/>
        <v>0</v>
      </c>
      <c r="N97" s="55">
        <f t="shared" si="40"/>
        <v>0</v>
      </c>
      <c r="O97" s="55">
        <f t="shared" si="40"/>
        <v>0</v>
      </c>
      <c r="P97" s="55">
        <f t="shared" si="40"/>
        <v>0</v>
      </c>
      <c r="Q97" s="55">
        <f t="shared" si="40"/>
        <v>0</v>
      </c>
      <c r="R97" s="55">
        <f t="shared" si="40"/>
        <v>0</v>
      </c>
      <c r="S97" s="55">
        <f t="shared" si="40"/>
        <v>0</v>
      </c>
      <c r="T97" s="55">
        <f t="shared" si="40"/>
        <v>0</v>
      </c>
      <c r="U97" s="55">
        <f t="shared" si="40"/>
        <v>0</v>
      </c>
      <c r="V97" s="55">
        <f t="shared" si="40"/>
        <v>0</v>
      </c>
    </row>
    <row r="98" spans="1:22" x14ac:dyDescent="0.25">
      <c r="A98" s="61"/>
      <c r="B98" s="38" t="s">
        <v>33</v>
      </c>
      <c r="C98" s="53">
        <f t="shared" ref="C98:V98" si="41">C37/C$60</f>
        <v>0</v>
      </c>
      <c r="D98" s="53">
        <f t="shared" si="41"/>
        <v>0</v>
      </c>
      <c r="E98" s="53">
        <f t="shared" si="41"/>
        <v>0</v>
      </c>
      <c r="F98" s="53">
        <f t="shared" si="41"/>
        <v>0</v>
      </c>
      <c r="G98" s="53">
        <f t="shared" si="41"/>
        <v>0</v>
      </c>
      <c r="H98" s="53">
        <f t="shared" si="41"/>
        <v>0</v>
      </c>
      <c r="I98" s="53">
        <f t="shared" si="41"/>
        <v>0</v>
      </c>
      <c r="J98" s="53">
        <f t="shared" si="41"/>
        <v>0</v>
      </c>
      <c r="K98" s="53">
        <f t="shared" si="41"/>
        <v>0</v>
      </c>
      <c r="L98" s="53">
        <f t="shared" si="41"/>
        <v>0</v>
      </c>
      <c r="M98" s="53">
        <f t="shared" si="41"/>
        <v>0</v>
      </c>
      <c r="N98" s="53">
        <f t="shared" si="41"/>
        <v>0</v>
      </c>
      <c r="O98" s="53">
        <f t="shared" si="41"/>
        <v>0</v>
      </c>
      <c r="P98" s="53">
        <f t="shared" si="41"/>
        <v>0</v>
      </c>
      <c r="Q98" s="53">
        <f t="shared" si="41"/>
        <v>0</v>
      </c>
      <c r="R98" s="53">
        <f t="shared" si="41"/>
        <v>0</v>
      </c>
      <c r="S98" s="53">
        <f t="shared" si="41"/>
        <v>0</v>
      </c>
      <c r="T98" s="53">
        <f t="shared" si="41"/>
        <v>0</v>
      </c>
      <c r="U98" s="53">
        <f t="shared" si="41"/>
        <v>0</v>
      </c>
      <c r="V98" s="53">
        <f t="shared" si="41"/>
        <v>0</v>
      </c>
    </row>
    <row r="99" spans="1:22" x14ac:dyDescent="0.25">
      <c r="A99" s="61"/>
      <c r="B99" s="38" t="s">
        <v>34</v>
      </c>
      <c r="C99" s="53">
        <f t="shared" ref="C99:V99" si="42">C38/C$60</f>
        <v>0</v>
      </c>
      <c r="D99" s="53">
        <f t="shared" si="42"/>
        <v>0</v>
      </c>
      <c r="E99" s="53">
        <f t="shared" si="42"/>
        <v>0</v>
      </c>
      <c r="F99" s="53">
        <f t="shared" si="42"/>
        <v>0</v>
      </c>
      <c r="G99" s="53">
        <f t="shared" si="42"/>
        <v>0</v>
      </c>
      <c r="H99" s="53">
        <f t="shared" si="42"/>
        <v>0</v>
      </c>
      <c r="I99" s="53">
        <f t="shared" si="42"/>
        <v>0</v>
      </c>
      <c r="J99" s="53">
        <f t="shared" si="42"/>
        <v>0</v>
      </c>
      <c r="K99" s="53">
        <f t="shared" si="42"/>
        <v>0</v>
      </c>
      <c r="L99" s="53">
        <f t="shared" si="42"/>
        <v>0</v>
      </c>
      <c r="M99" s="53">
        <f t="shared" si="42"/>
        <v>0</v>
      </c>
      <c r="N99" s="53">
        <f t="shared" si="42"/>
        <v>0</v>
      </c>
      <c r="O99" s="53">
        <f t="shared" si="42"/>
        <v>0</v>
      </c>
      <c r="P99" s="53">
        <f t="shared" si="42"/>
        <v>0</v>
      </c>
      <c r="Q99" s="53">
        <f t="shared" si="42"/>
        <v>0</v>
      </c>
      <c r="R99" s="53">
        <f t="shared" si="42"/>
        <v>0</v>
      </c>
      <c r="S99" s="53">
        <f t="shared" si="42"/>
        <v>0</v>
      </c>
      <c r="T99" s="53">
        <f t="shared" si="42"/>
        <v>0</v>
      </c>
      <c r="U99" s="53">
        <f t="shared" si="42"/>
        <v>0</v>
      </c>
      <c r="V99" s="53">
        <f t="shared" si="42"/>
        <v>0</v>
      </c>
    </row>
    <row r="100" spans="1:22" x14ac:dyDescent="0.25">
      <c r="A100" s="61"/>
      <c r="B100" s="38" t="s">
        <v>35</v>
      </c>
      <c r="C100" s="53">
        <f t="shared" ref="C100:V100" si="43">C39/C$60</f>
        <v>0</v>
      </c>
      <c r="D100" s="53">
        <f t="shared" si="43"/>
        <v>0</v>
      </c>
      <c r="E100" s="53">
        <f t="shared" si="43"/>
        <v>0</v>
      </c>
      <c r="F100" s="53">
        <f t="shared" si="43"/>
        <v>0</v>
      </c>
      <c r="G100" s="53">
        <f t="shared" si="43"/>
        <v>0</v>
      </c>
      <c r="H100" s="53">
        <f t="shared" si="43"/>
        <v>0</v>
      </c>
      <c r="I100" s="53">
        <f t="shared" si="43"/>
        <v>0</v>
      </c>
      <c r="J100" s="53">
        <f t="shared" si="43"/>
        <v>0</v>
      </c>
      <c r="K100" s="53">
        <f t="shared" si="43"/>
        <v>0</v>
      </c>
      <c r="L100" s="53">
        <f t="shared" si="43"/>
        <v>0</v>
      </c>
      <c r="M100" s="53">
        <f t="shared" si="43"/>
        <v>0</v>
      </c>
      <c r="N100" s="53">
        <f t="shared" si="43"/>
        <v>0</v>
      </c>
      <c r="O100" s="53">
        <f t="shared" si="43"/>
        <v>0</v>
      </c>
      <c r="P100" s="53">
        <f t="shared" si="43"/>
        <v>0</v>
      </c>
      <c r="Q100" s="53">
        <f t="shared" si="43"/>
        <v>0</v>
      </c>
      <c r="R100" s="53">
        <f t="shared" si="43"/>
        <v>0</v>
      </c>
      <c r="S100" s="53">
        <f t="shared" si="43"/>
        <v>0</v>
      </c>
      <c r="T100" s="53">
        <f t="shared" si="43"/>
        <v>0</v>
      </c>
      <c r="U100" s="53">
        <f t="shared" si="43"/>
        <v>0</v>
      </c>
      <c r="V100" s="53">
        <f t="shared" si="43"/>
        <v>0</v>
      </c>
    </row>
    <row r="101" spans="1:22" x14ac:dyDescent="0.25">
      <c r="A101" s="61"/>
      <c r="B101" s="38" t="s">
        <v>36</v>
      </c>
      <c r="C101" s="53">
        <f t="shared" ref="C101:V101" si="44">C40/C$60</f>
        <v>0.26883209608382996</v>
      </c>
      <c r="D101" s="53">
        <f t="shared" si="44"/>
        <v>0.20098715929921673</v>
      </c>
      <c r="E101" s="53">
        <f t="shared" si="44"/>
        <v>0.21490816926103981</v>
      </c>
      <c r="F101" s="53">
        <f t="shared" si="44"/>
        <v>0.26431589159370261</v>
      </c>
      <c r="G101" s="53">
        <f t="shared" si="44"/>
        <v>0.20385455161319965</v>
      </c>
      <c r="H101" s="53">
        <f t="shared" si="44"/>
        <v>0.29072321859093292</v>
      </c>
      <c r="I101" s="53">
        <f t="shared" si="44"/>
        <v>0.24496670001947835</v>
      </c>
      <c r="J101" s="53">
        <f t="shared" si="44"/>
        <v>0.21336480748975367</v>
      </c>
      <c r="K101" s="53">
        <f t="shared" si="44"/>
        <v>0.26215137757819762</v>
      </c>
      <c r="L101" s="53">
        <f t="shared" si="44"/>
        <v>0.21215242942921139</v>
      </c>
      <c r="M101" s="53">
        <f t="shared" si="44"/>
        <v>0.29040307680243682</v>
      </c>
      <c r="N101" s="53">
        <f t="shared" si="44"/>
        <v>0.25563198001643239</v>
      </c>
      <c r="O101" s="53">
        <f t="shared" si="44"/>
        <v>0.22817491828513994</v>
      </c>
      <c r="P101" s="53">
        <f t="shared" si="44"/>
        <v>0.19880792612300949</v>
      </c>
      <c r="Q101" s="53">
        <f t="shared" si="44"/>
        <v>0.26899212108501691</v>
      </c>
      <c r="R101" s="53">
        <f t="shared" si="44"/>
        <v>0.24477219564940997</v>
      </c>
      <c r="S101" s="53">
        <f t="shared" si="44"/>
        <v>0.23836982185556921</v>
      </c>
      <c r="T101" s="53">
        <f t="shared" si="44"/>
        <v>0.2255959265171549</v>
      </c>
      <c r="U101" s="53">
        <f t="shared" si="44"/>
        <v>0.18824874125896732</v>
      </c>
      <c r="V101" s="53">
        <f t="shared" si="44"/>
        <v>0.21132173701226897</v>
      </c>
    </row>
    <row r="102" spans="1:22" x14ac:dyDescent="0.25">
      <c r="A102" s="61"/>
      <c r="B102" s="38" t="s">
        <v>37</v>
      </c>
      <c r="C102" s="53">
        <f t="shared" ref="C102:V102" si="45">C41/C$60</f>
        <v>0</v>
      </c>
      <c r="D102" s="53">
        <f t="shared" si="45"/>
        <v>0</v>
      </c>
      <c r="E102" s="53">
        <f t="shared" si="45"/>
        <v>0</v>
      </c>
      <c r="F102" s="53">
        <f t="shared" si="45"/>
        <v>0</v>
      </c>
      <c r="G102" s="53">
        <f t="shared" si="45"/>
        <v>0</v>
      </c>
      <c r="H102" s="53">
        <f t="shared" si="45"/>
        <v>0</v>
      </c>
      <c r="I102" s="53">
        <f t="shared" si="45"/>
        <v>0</v>
      </c>
      <c r="J102" s="53">
        <f t="shared" si="45"/>
        <v>0</v>
      </c>
      <c r="K102" s="53">
        <f t="shared" si="45"/>
        <v>0</v>
      </c>
      <c r="L102" s="53">
        <f t="shared" si="45"/>
        <v>0</v>
      </c>
      <c r="M102" s="53">
        <f t="shared" si="45"/>
        <v>0</v>
      </c>
      <c r="N102" s="53">
        <f t="shared" si="45"/>
        <v>0</v>
      </c>
      <c r="O102" s="53">
        <f t="shared" si="45"/>
        <v>0</v>
      </c>
      <c r="P102" s="53">
        <f t="shared" si="45"/>
        <v>0</v>
      </c>
      <c r="Q102" s="53">
        <f t="shared" si="45"/>
        <v>0</v>
      </c>
      <c r="R102" s="53">
        <f t="shared" si="45"/>
        <v>0</v>
      </c>
      <c r="S102" s="53">
        <f t="shared" si="45"/>
        <v>0</v>
      </c>
      <c r="T102" s="53">
        <f t="shared" si="45"/>
        <v>0</v>
      </c>
      <c r="U102" s="53">
        <f t="shared" si="45"/>
        <v>0</v>
      </c>
      <c r="V102" s="53">
        <f t="shared" si="45"/>
        <v>0</v>
      </c>
    </row>
    <row r="103" spans="1:22" x14ac:dyDescent="0.25">
      <c r="A103" s="61"/>
      <c r="B103" s="38" t="s">
        <v>38</v>
      </c>
      <c r="C103" s="53">
        <f t="shared" ref="C103:V103" si="46">C42/C$60</f>
        <v>0</v>
      </c>
      <c r="D103" s="53">
        <f t="shared" si="46"/>
        <v>0</v>
      </c>
      <c r="E103" s="53">
        <f t="shared" si="46"/>
        <v>0</v>
      </c>
      <c r="F103" s="53">
        <f t="shared" si="46"/>
        <v>0</v>
      </c>
      <c r="G103" s="53">
        <f t="shared" si="46"/>
        <v>0</v>
      </c>
      <c r="H103" s="53">
        <f t="shared" si="46"/>
        <v>0</v>
      </c>
      <c r="I103" s="53">
        <f t="shared" si="46"/>
        <v>0</v>
      </c>
      <c r="J103" s="53">
        <f t="shared" si="46"/>
        <v>0</v>
      </c>
      <c r="K103" s="53">
        <f t="shared" si="46"/>
        <v>0</v>
      </c>
      <c r="L103" s="53">
        <f t="shared" si="46"/>
        <v>0</v>
      </c>
      <c r="M103" s="53">
        <f t="shared" si="46"/>
        <v>0</v>
      </c>
      <c r="N103" s="53">
        <f t="shared" si="46"/>
        <v>0</v>
      </c>
      <c r="O103" s="53">
        <f t="shared" si="46"/>
        <v>0</v>
      </c>
      <c r="P103" s="53">
        <f t="shared" si="46"/>
        <v>0</v>
      </c>
      <c r="Q103" s="53">
        <f t="shared" si="46"/>
        <v>0</v>
      </c>
      <c r="R103" s="53">
        <f t="shared" si="46"/>
        <v>0</v>
      </c>
      <c r="S103" s="53">
        <f t="shared" si="46"/>
        <v>0</v>
      </c>
      <c r="T103" s="53">
        <f t="shared" si="46"/>
        <v>0</v>
      </c>
      <c r="U103" s="53">
        <f t="shared" si="46"/>
        <v>0</v>
      </c>
      <c r="V103" s="53">
        <f t="shared" si="46"/>
        <v>0</v>
      </c>
    </row>
    <row r="104" spans="1:22" x14ac:dyDescent="0.25">
      <c r="A104" s="61"/>
      <c r="B104" s="38" t="s">
        <v>39</v>
      </c>
      <c r="C104" s="53">
        <f t="shared" ref="C104:V104" si="47">C43/C$60</f>
        <v>0</v>
      </c>
      <c r="D104" s="53">
        <f t="shared" si="47"/>
        <v>0</v>
      </c>
      <c r="E104" s="53">
        <f t="shared" si="47"/>
        <v>0</v>
      </c>
      <c r="F104" s="53">
        <f t="shared" si="47"/>
        <v>0</v>
      </c>
      <c r="G104" s="53">
        <f t="shared" si="47"/>
        <v>0</v>
      </c>
      <c r="H104" s="53">
        <f t="shared" si="47"/>
        <v>0</v>
      </c>
      <c r="I104" s="53">
        <f t="shared" si="47"/>
        <v>0</v>
      </c>
      <c r="J104" s="53">
        <f t="shared" si="47"/>
        <v>0</v>
      </c>
      <c r="K104" s="53">
        <f t="shared" si="47"/>
        <v>0</v>
      </c>
      <c r="L104" s="53">
        <f t="shared" si="47"/>
        <v>0</v>
      </c>
      <c r="M104" s="53">
        <f t="shared" si="47"/>
        <v>0</v>
      </c>
      <c r="N104" s="53">
        <f t="shared" si="47"/>
        <v>0</v>
      </c>
      <c r="O104" s="53">
        <f t="shared" si="47"/>
        <v>0</v>
      </c>
      <c r="P104" s="53">
        <f t="shared" si="47"/>
        <v>0</v>
      </c>
      <c r="Q104" s="53">
        <f t="shared" si="47"/>
        <v>0</v>
      </c>
      <c r="R104" s="53">
        <f t="shared" si="47"/>
        <v>0</v>
      </c>
      <c r="S104" s="53">
        <f t="shared" si="47"/>
        <v>0</v>
      </c>
      <c r="T104" s="53">
        <f t="shared" si="47"/>
        <v>0</v>
      </c>
      <c r="U104" s="53">
        <f t="shared" si="47"/>
        <v>0</v>
      </c>
      <c r="V104" s="53">
        <f t="shared" si="47"/>
        <v>0</v>
      </c>
    </row>
    <row r="105" spans="1:22" x14ac:dyDescent="0.25">
      <c r="A105" s="61"/>
      <c r="B105" s="38" t="s">
        <v>40</v>
      </c>
      <c r="C105" s="53">
        <f t="shared" ref="C105:V105" si="48">C44/C$60</f>
        <v>0</v>
      </c>
      <c r="D105" s="53">
        <f t="shared" si="48"/>
        <v>0</v>
      </c>
      <c r="E105" s="53">
        <f t="shared" si="48"/>
        <v>0</v>
      </c>
      <c r="F105" s="53">
        <f t="shared" si="48"/>
        <v>0</v>
      </c>
      <c r="G105" s="53">
        <f t="shared" si="48"/>
        <v>0</v>
      </c>
      <c r="H105" s="53">
        <f t="shared" si="48"/>
        <v>0</v>
      </c>
      <c r="I105" s="53">
        <f t="shared" si="48"/>
        <v>0</v>
      </c>
      <c r="J105" s="53">
        <f t="shared" si="48"/>
        <v>0</v>
      </c>
      <c r="K105" s="53">
        <f t="shared" si="48"/>
        <v>0</v>
      </c>
      <c r="L105" s="53">
        <f t="shared" si="48"/>
        <v>0</v>
      </c>
      <c r="M105" s="53">
        <f t="shared" si="48"/>
        <v>0</v>
      </c>
      <c r="N105" s="53">
        <f t="shared" si="48"/>
        <v>0</v>
      </c>
      <c r="O105" s="53">
        <f t="shared" si="48"/>
        <v>0</v>
      </c>
      <c r="P105" s="53">
        <f t="shared" si="48"/>
        <v>0</v>
      </c>
      <c r="Q105" s="53">
        <f t="shared" si="48"/>
        <v>0</v>
      </c>
      <c r="R105" s="53">
        <f t="shared" si="48"/>
        <v>0</v>
      </c>
      <c r="S105" s="53">
        <f t="shared" si="48"/>
        <v>0</v>
      </c>
      <c r="T105" s="53">
        <f t="shared" si="48"/>
        <v>0</v>
      </c>
      <c r="U105" s="53">
        <f t="shared" si="48"/>
        <v>0</v>
      </c>
      <c r="V105" s="53">
        <f t="shared" si="48"/>
        <v>0</v>
      </c>
    </row>
    <row r="106" spans="1:22" x14ac:dyDescent="0.25">
      <c r="A106" s="61"/>
      <c r="B106" s="38" t="s">
        <v>41</v>
      </c>
      <c r="C106" s="53">
        <f t="shared" ref="C106:V106" si="49">C45/C$60</f>
        <v>4.2977611316685534E-3</v>
      </c>
      <c r="D106" s="53">
        <f t="shared" si="49"/>
        <v>5.9073714716393723E-3</v>
      </c>
      <c r="E106" s="53">
        <f t="shared" si="49"/>
        <v>3.9973759296859706E-3</v>
      </c>
      <c r="F106" s="53">
        <f t="shared" si="49"/>
        <v>3.990913393430863E-3</v>
      </c>
      <c r="G106" s="53">
        <f t="shared" si="49"/>
        <v>5.6130637538813364E-3</v>
      </c>
      <c r="H106" s="53">
        <f t="shared" si="49"/>
        <v>3.402323489372765E-3</v>
      </c>
      <c r="I106" s="53">
        <f t="shared" si="49"/>
        <v>4.2061365956010321E-3</v>
      </c>
      <c r="J106" s="53">
        <f t="shared" si="49"/>
        <v>3.6026493508559037E-3</v>
      </c>
      <c r="K106" s="53">
        <f t="shared" si="49"/>
        <v>2.4856168151014945E-3</v>
      </c>
      <c r="L106" s="53">
        <f t="shared" si="49"/>
        <v>2.8889334370740091E-3</v>
      </c>
      <c r="M106" s="53">
        <f t="shared" si="49"/>
        <v>3.7463713954246176E-3</v>
      </c>
      <c r="N106" s="53">
        <f t="shared" si="49"/>
        <v>4.0197826099003667E-3</v>
      </c>
      <c r="O106" s="53">
        <f t="shared" si="49"/>
        <v>3.4189937876799859E-3</v>
      </c>
      <c r="P106" s="53">
        <f t="shared" si="49"/>
        <v>3.3923904991070794E-3</v>
      </c>
      <c r="Q106" s="53">
        <f t="shared" si="49"/>
        <v>4.051917468315739E-3</v>
      </c>
      <c r="R106" s="53">
        <f t="shared" si="49"/>
        <v>4.2298743918066962E-3</v>
      </c>
      <c r="S106" s="53">
        <f t="shared" si="49"/>
        <v>4.7395754663365755E-3</v>
      </c>
      <c r="T106" s="53">
        <f t="shared" si="49"/>
        <v>4.3726136118810276E-3</v>
      </c>
      <c r="U106" s="53">
        <f t="shared" si="49"/>
        <v>6.0306488920798098E-3</v>
      </c>
      <c r="V106" s="53">
        <f t="shared" si="49"/>
        <v>3.6571940678755696E-3</v>
      </c>
    </row>
    <row r="107" spans="1:22" x14ac:dyDescent="0.25">
      <c r="A107" s="61"/>
      <c r="B107" s="38" t="s">
        <v>42</v>
      </c>
      <c r="C107" s="53">
        <f t="shared" ref="C107:V107" si="50">C46/C$60</f>
        <v>0</v>
      </c>
      <c r="D107" s="53">
        <f t="shared" si="50"/>
        <v>0</v>
      </c>
      <c r="E107" s="53">
        <f t="shared" si="50"/>
        <v>0</v>
      </c>
      <c r="F107" s="53">
        <f t="shared" si="50"/>
        <v>0</v>
      </c>
      <c r="G107" s="53">
        <f t="shared" si="50"/>
        <v>0</v>
      </c>
      <c r="H107" s="53">
        <f t="shared" si="50"/>
        <v>0</v>
      </c>
      <c r="I107" s="53">
        <f t="shared" si="50"/>
        <v>0</v>
      </c>
      <c r="J107" s="53">
        <f t="shared" si="50"/>
        <v>0</v>
      </c>
      <c r="K107" s="53">
        <f t="shared" si="50"/>
        <v>0</v>
      </c>
      <c r="L107" s="53">
        <f t="shared" si="50"/>
        <v>0</v>
      </c>
      <c r="M107" s="53">
        <f t="shared" si="50"/>
        <v>0</v>
      </c>
      <c r="N107" s="53">
        <f t="shared" si="50"/>
        <v>0</v>
      </c>
      <c r="O107" s="53">
        <f t="shared" si="50"/>
        <v>0</v>
      </c>
      <c r="P107" s="53">
        <f t="shared" si="50"/>
        <v>0</v>
      </c>
      <c r="Q107" s="53">
        <f t="shared" si="50"/>
        <v>0</v>
      </c>
      <c r="R107" s="53">
        <f t="shared" si="50"/>
        <v>0</v>
      </c>
      <c r="S107" s="53">
        <f t="shared" si="50"/>
        <v>0</v>
      </c>
      <c r="T107" s="53">
        <f t="shared" si="50"/>
        <v>0</v>
      </c>
      <c r="U107" s="53">
        <f t="shared" si="50"/>
        <v>0</v>
      </c>
      <c r="V107" s="53">
        <f t="shared" si="50"/>
        <v>0</v>
      </c>
    </row>
    <row r="108" spans="1:22" x14ac:dyDescent="0.25">
      <c r="A108" s="61"/>
      <c r="B108" s="38" t="s">
        <v>43</v>
      </c>
      <c r="C108" s="53">
        <f t="shared" ref="C108:V108" si="51">C47/C$60</f>
        <v>1.9399054523528449E-2</v>
      </c>
      <c r="D108" s="53">
        <f t="shared" si="51"/>
        <v>2.2863895990099938E-2</v>
      </c>
      <c r="E108" s="53">
        <f t="shared" si="51"/>
        <v>1.890046189640229E-2</v>
      </c>
      <c r="F108" s="53">
        <f t="shared" si="51"/>
        <v>1.7201694795482926E-2</v>
      </c>
      <c r="G108" s="53">
        <f t="shared" si="51"/>
        <v>1.8630438627251986E-2</v>
      </c>
      <c r="H108" s="53">
        <f t="shared" si="51"/>
        <v>1.1582406263362224E-2</v>
      </c>
      <c r="I108" s="53">
        <f t="shared" si="51"/>
        <v>1.2861267802107111E-2</v>
      </c>
      <c r="J108" s="53">
        <f t="shared" si="51"/>
        <v>1.5363997647691877E-2</v>
      </c>
      <c r="K108" s="53">
        <f t="shared" si="51"/>
        <v>1.5219331720351052E-2</v>
      </c>
      <c r="L108" s="53">
        <f t="shared" si="51"/>
        <v>1.4132002695326698E-2</v>
      </c>
      <c r="M108" s="53">
        <f t="shared" si="51"/>
        <v>1.5907858894531526E-2</v>
      </c>
      <c r="N108" s="53">
        <f t="shared" si="51"/>
        <v>1.6648511173373945E-2</v>
      </c>
      <c r="O108" s="53">
        <f t="shared" si="51"/>
        <v>1.9135418672922174E-2</v>
      </c>
      <c r="P108" s="53">
        <f t="shared" si="51"/>
        <v>1.5703781628967951E-2</v>
      </c>
      <c r="Q108" s="53">
        <f t="shared" si="51"/>
        <v>2.8130403348744715E-2</v>
      </c>
      <c r="R108" s="53">
        <f t="shared" si="51"/>
        <v>1.8128041178406145E-2</v>
      </c>
      <c r="S108" s="53">
        <f t="shared" si="51"/>
        <v>1.6127154987983609E-2</v>
      </c>
      <c r="T108" s="53">
        <f t="shared" si="51"/>
        <v>1.8430554706185497E-2</v>
      </c>
      <c r="U108" s="53">
        <f t="shared" si="51"/>
        <v>1.9060282716868954E-2</v>
      </c>
      <c r="V108" s="53">
        <f t="shared" si="51"/>
        <v>1.4836221558418175E-2</v>
      </c>
    </row>
    <row r="109" spans="1:22" x14ac:dyDescent="0.25">
      <c r="A109" s="61"/>
      <c r="B109" s="38" t="s">
        <v>44</v>
      </c>
      <c r="C109" s="53">
        <f t="shared" ref="C109:V109" si="52">C48/C$60</f>
        <v>8.4183730307129931E-2</v>
      </c>
      <c r="D109" s="53">
        <f t="shared" si="52"/>
        <v>7.2547549662942468E-2</v>
      </c>
      <c r="E109" s="53">
        <f t="shared" si="52"/>
        <v>6.4892385637171784E-2</v>
      </c>
      <c r="F109" s="53">
        <f t="shared" si="52"/>
        <v>9.4980578228862675E-2</v>
      </c>
      <c r="G109" s="53">
        <f t="shared" si="52"/>
        <v>6.6913533460237207E-2</v>
      </c>
      <c r="H109" s="53">
        <f t="shared" si="52"/>
        <v>6.0514313932709014E-2</v>
      </c>
      <c r="I109" s="53">
        <f t="shared" si="52"/>
        <v>5.2294078761383748E-2</v>
      </c>
      <c r="J109" s="53">
        <f t="shared" si="52"/>
        <v>4.5959476330138228E-2</v>
      </c>
      <c r="K109" s="53">
        <f t="shared" si="52"/>
        <v>5.0112103393997715E-2</v>
      </c>
      <c r="L109" s="53">
        <f t="shared" si="52"/>
        <v>6.1821313418301674E-2</v>
      </c>
      <c r="M109" s="53">
        <f t="shared" si="52"/>
        <v>9.2851724199498012E-2</v>
      </c>
      <c r="N109" s="53">
        <f t="shared" si="52"/>
        <v>6.3779449437366131E-2</v>
      </c>
      <c r="O109" s="53">
        <f t="shared" si="52"/>
        <v>6.114390017186537E-2</v>
      </c>
      <c r="P109" s="53">
        <f t="shared" si="52"/>
        <v>5.0454466531489404E-2</v>
      </c>
      <c r="Q109" s="53">
        <f t="shared" si="52"/>
        <v>6.0570546691169153E-2</v>
      </c>
      <c r="R109" s="53">
        <f t="shared" si="52"/>
        <v>8.2870562663850039E-2</v>
      </c>
      <c r="S109" s="53">
        <f t="shared" si="52"/>
        <v>7.8822671445537548E-2</v>
      </c>
      <c r="T109" s="53">
        <f t="shared" si="52"/>
        <v>0.11373442091848882</v>
      </c>
      <c r="U109" s="53">
        <f t="shared" si="52"/>
        <v>6.8461268538451567E-2</v>
      </c>
      <c r="V109" s="53">
        <f t="shared" si="52"/>
        <v>4.5633418295983316E-2</v>
      </c>
    </row>
    <row r="110" spans="1:22" x14ac:dyDescent="0.25">
      <c r="A110" s="61"/>
      <c r="B110" s="38" t="s">
        <v>45</v>
      </c>
      <c r="C110" s="53">
        <f t="shared" ref="C110:V110" si="53">C49/C$60</f>
        <v>3.2641059175831603E-3</v>
      </c>
      <c r="D110" s="53">
        <f t="shared" si="53"/>
        <v>1.0121212893629242E-3</v>
      </c>
      <c r="E110" s="53">
        <f t="shared" si="53"/>
        <v>2.3557515204437169E-3</v>
      </c>
      <c r="F110" s="53">
        <f t="shared" si="53"/>
        <v>3.4468003314945539E-3</v>
      </c>
      <c r="G110" s="53">
        <f t="shared" si="53"/>
        <v>2.2105798002281314E-3</v>
      </c>
      <c r="H110" s="53">
        <f t="shared" si="53"/>
        <v>2.4507218251087052E-3</v>
      </c>
      <c r="I110" s="53">
        <f t="shared" si="53"/>
        <v>1.3791237933115121E-3</v>
      </c>
      <c r="J110" s="53">
        <f t="shared" si="53"/>
        <v>0</v>
      </c>
      <c r="K110" s="53">
        <f t="shared" si="53"/>
        <v>0</v>
      </c>
      <c r="L110" s="53">
        <f t="shared" si="53"/>
        <v>0</v>
      </c>
      <c r="M110" s="53">
        <f t="shared" si="53"/>
        <v>0</v>
      </c>
      <c r="N110" s="53">
        <f t="shared" si="53"/>
        <v>0</v>
      </c>
      <c r="O110" s="53">
        <f t="shared" si="53"/>
        <v>1.8611476232180298E-3</v>
      </c>
      <c r="P110" s="53">
        <f t="shared" si="53"/>
        <v>1.6798678446699792E-3</v>
      </c>
      <c r="Q110" s="53">
        <f t="shared" si="53"/>
        <v>4.0519470971638943E-3</v>
      </c>
      <c r="R110" s="53">
        <f t="shared" si="53"/>
        <v>4.0699222314583986E-3</v>
      </c>
      <c r="S110" s="53">
        <f t="shared" si="53"/>
        <v>3.4449211550930297E-3</v>
      </c>
      <c r="T110" s="53">
        <f t="shared" si="53"/>
        <v>2.8850538314131174E-3</v>
      </c>
      <c r="U110" s="53">
        <f t="shared" si="53"/>
        <v>2.1704176005452316E-3</v>
      </c>
      <c r="V110" s="53">
        <f t="shared" si="53"/>
        <v>1.1702286049360775E-3</v>
      </c>
    </row>
    <row r="111" spans="1:22" x14ac:dyDescent="0.25">
      <c r="A111" s="61"/>
      <c r="B111" s="38" t="s">
        <v>46</v>
      </c>
      <c r="C111" s="53">
        <f t="shared" ref="C111:V111" si="54">C50/C$60</f>
        <v>0</v>
      </c>
      <c r="D111" s="53">
        <f t="shared" si="54"/>
        <v>0</v>
      </c>
      <c r="E111" s="53">
        <f t="shared" si="54"/>
        <v>0</v>
      </c>
      <c r="F111" s="53">
        <f t="shared" si="54"/>
        <v>0</v>
      </c>
      <c r="G111" s="53">
        <f t="shared" si="54"/>
        <v>0</v>
      </c>
      <c r="H111" s="53">
        <f t="shared" si="54"/>
        <v>0</v>
      </c>
      <c r="I111" s="53">
        <f t="shared" si="54"/>
        <v>0</v>
      </c>
      <c r="J111" s="53">
        <f t="shared" si="54"/>
        <v>0</v>
      </c>
      <c r="K111" s="53">
        <f t="shared" si="54"/>
        <v>0</v>
      </c>
      <c r="L111" s="53">
        <f t="shared" si="54"/>
        <v>0</v>
      </c>
      <c r="M111" s="53">
        <f t="shared" si="54"/>
        <v>0</v>
      </c>
      <c r="N111" s="53">
        <f t="shared" si="54"/>
        <v>0</v>
      </c>
      <c r="O111" s="53">
        <f t="shared" si="54"/>
        <v>0</v>
      </c>
      <c r="P111" s="53">
        <f t="shared" si="54"/>
        <v>0</v>
      </c>
      <c r="Q111" s="53">
        <f t="shared" si="54"/>
        <v>0</v>
      </c>
      <c r="R111" s="53">
        <f t="shared" si="54"/>
        <v>0</v>
      </c>
      <c r="S111" s="53">
        <f t="shared" si="54"/>
        <v>0</v>
      </c>
      <c r="T111" s="53">
        <f t="shared" si="54"/>
        <v>0</v>
      </c>
      <c r="U111" s="53">
        <f t="shared" si="54"/>
        <v>0</v>
      </c>
      <c r="V111" s="53">
        <f t="shared" si="54"/>
        <v>0</v>
      </c>
    </row>
    <row r="112" spans="1:22" x14ac:dyDescent="0.25">
      <c r="A112" s="61"/>
      <c r="B112" s="38" t="s">
        <v>47</v>
      </c>
      <c r="C112" s="53">
        <f t="shared" ref="C112:V112" si="55">C51/C$60</f>
        <v>0</v>
      </c>
      <c r="D112" s="53">
        <f t="shared" si="55"/>
        <v>0</v>
      </c>
      <c r="E112" s="53">
        <f t="shared" si="55"/>
        <v>0</v>
      </c>
      <c r="F112" s="53">
        <f t="shared" si="55"/>
        <v>0</v>
      </c>
      <c r="G112" s="53">
        <f t="shared" si="55"/>
        <v>0</v>
      </c>
      <c r="H112" s="53">
        <f t="shared" si="55"/>
        <v>0</v>
      </c>
      <c r="I112" s="53">
        <f t="shared" si="55"/>
        <v>0</v>
      </c>
      <c r="J112" s="53">
        <f t="shared" si="55"/>
        <v>0</v>
      </c>
      <c r="K112" s="53">
        <f t="shared" si="55"/>
        <v>0</v>
      </c>
      <c r="L112" s="53">
        <f t="shared" si="55"/>
        <v>0</v>
      </c>
      <c r="M112" s="53">
        <f t="shared" si="55"/>
        <v>0</v>
      </c>
      <c r="N112" s="53">
        <f t="shared" si="55"/>
        <v>0</v>
      </c>
      <c r="O112" s="53">
        <f t="shared" si="55"/>
        <v>0</v>
      </c>
      <c r="P112" s="53">
        <f t="shared" si="55"/>
        <v>0</v>
      </c>
      <c r="Q112" s="53">
        <f t="shared" si="55"/>
        <v>0</v>
      </c>
      <c r="R112" s="53">
        <f t="shared" si="55"/>
        <v>0</v>
      </c>
      <c r="S112" s="53">
        <f t="shared" si="55"/>
        <v>0</v>
      </c>
      <c r="T112" s="53">
        <f t="shared" si="55"/>
        <v>0</v>
      </c>
      <c r="U112" s="53">
        <f t="shared" si="55"/>
        <v>0</v>
      </c>
      <c r="V112" s="53">
        <f t="shared" si="55"/>
        <v>0</v>
      </c>
    </row>
    <row r="113" spans="1:22" x14ac:dyDescent="0.25">
      <c r="A113" s="61"/>
      <c r="B113" s="38" t="s">
        <v>48</v>
      </c>
      <c r="C113" s="53">
        <f t="shared" ref="C113:V113" si="56">C52/C$60</f>
        <v>0</v>
      </c>
      <c r="D113" s="53">
        <f t="shared" si="56"/>
        <v>0</v>
      </c>
      <c r="E113" s="53">
        <f t="shared" si="56"/>
        <v>0</v>
      </c>
      <c r="F113" s="53">
        <f t="shared" si="56"/>
        <v>0</v>
      </c>
      <c r="G113" s="53">
        <f t="shared" si="56"/>
        <v>0</v>
      </c>
      <c r="H113" s="53">
        <f t="shared" si="56"/>
        <v>0</v>
      </c>
      <c r="I113" s="53">
        <f t="shared" si="56"/>
        <v>0</v>
      </c>
      <c r="J113" s="53">
        <f t="shared" si="56"/>
        <v>0</v>
      </c>
      <c r="K113" s="53">
        <f t="shared" si="56"/>
        <v>0</v>
      </c>
      <c r="L113" s="53">
        <f t="shared" si="56"/>
        <v>0</v>
      </c>
      <c r="M113" s="53">
        <f t="shared" si="56"/>
        <v>0</v>
      </c>
      <c r="N113" s="53">
        <f t="shared" si="56"/>
        <v>0</v>
      </c>
      <c r="O113" s="53">
        <f t="shared" si="56"/>
        <v>0</v>
      </c>
      <c r="P113" s="53">
        <f t="shared" si="56"/>
        <v>0</v>
      </c>
      <c r="Q113" s="53">
        <f t="shared" si="56"/>
        <v>0</v>
      </c>
      <c r="R113" s="53">
        <f t="shared" si="56"/>
        <v>0</v>
      </c>
      <c r="S113" s="53">
        <f t="shared" si="56"/>
        <v>0</v>
      </c>
      <c r="T113" s="53">
        <f t="shared" si="56"/>
        <v>0</v>
      </c>
      <c r="U113" s="53">
        <f t="shared" si="56"/>
        <v>0</v>
      </c>
      <c r="V113" s="53">
        <f t="shared" si="56"/>
        <v>0</v>
      </c>
    </row>
    <row r="114" spans="1:22" ht="15.75" thickBot="1" x14ac:dyDescent="0.3">
      <c r="A114" s="61"/>
      <c r="B114" s="38" t="s">
        <v>49</v>
      </c>
      <c r="C114" s="53">
        <f t="shared" ref="C114:V114" si="57">C53/C$60</f>
        <v>2.3997698091455942E-3</v>
      </c>
      <c r="D114" s="53">
        <f t="shared" si="57"/>
        <v>0</v>
      </c>
      <c r="E114" s="53">
        <f t="shared" si="57"/>
        <v>2.6385368195454141E-3</v>
      </c>
      <c r="F114" s="53">
        <f t="shared" si="57"/>
        <v>3.0129617762445827E-3</v>
      </c>
      <c r="G114" s="53">
        <f t="shared" si="57"/>
        <v>2.8986526251982372E-3</v>
      </c>
      <c r="H114" s="53">
        <f t="shared" si="57"/>
        <v>3.1555193660010349E-3</v>
      </c>
      <c r="I114" s="53">
        <f t="shared" si="57"/>
        <v>1.7069662301758552E-3</v>
      </c>
      <c r="J114" s="53">
        <f t="shared" si="57"/>
        <v>1.4285020441363919E-3</v>
      </c>
      <c r="K114" s="53">
        <f t="shared" si="57"/>
        <v>1.618844242081946E-3</v>
      </c>
      <c r="L114" s="53">
        <f t="shared" si="57"/>
        <v>1.171674926525179E-3</v>
      </c>
      <c r="M114" s="53">
        <f t="shared" si="57"/>
        <v>3.1266247190108172E-3</v>
      </c>
      <c r="N114" s="53">
        <f t="shared" si="57"/>
        <v>2.4239029883590356E-3</v>
      </c>
      <c r="O114" s="53">
        <f t="shared" si="57"/>
        <v>2.2541775291550423E-3</v>
      </c>
      <c r="P114" s="53">
        <f t="shared" si="57"/>
        <v>2.3056295789368217E-3</v>
      </c>
      <c r="Q114" s="53">
        <f t="shared" si="57"/>
        <v>2.6292966448188742E-3</v>
      </c>
      <c r="R114" s="53">
        <f t="shared" si="57"/>
        <v>3.3032650147640369E-3</v>
      </c>
      <c r="S114" s="53">
        <f t="shared" si="57"/>
        <v>3.0957788061931023E-3</v>
      </c>
      <c r="T114" s="53">
        <f t="shared" si="57"/>
        <v>3.0102699162472156E-3</v>
      </c>
      <c r="U114" s="53">
        <f t="shared" si="57"/>
        <v>1.9947782960605619E-3</v>
      </c>
      <c r="V114" s="53">
        <f t="shared" si="57"/>
        <v>1.2999588946849636E-3</v>
      </c>
    </row>
    <row r="115" spans="1:22" ht="15.75" thickBot="1" x14ac:dyDescent="0.3">
      <c r="A115" s="62"/>
      <c r="B115" s="14" t="s">
        <v>50</v>
      </c>
      <c r="C115" s="56">
        <f t="shared" ref="C115:V115" si="58">C54/C$60</f>
        <v>0</v>
      </c>
      <c r="D115" s="56">
        <f t="shared" si="58"/>
        <v>0</v>
      </c>
      <c r="E115" s="56">
        <f t="shared" si="58"/>
        <v>0</v>
      </c>
      <c r="F115" s="56">
        <f t="shared" si="58"/>
        <v>0</v>
      </c>
      <c r="G115" s="56">
        <f t="shared" si="58"/>
        <v>0</v>
      </c>
      <c r="H115" s="56">
        <f t="shared" si="58"/>
        <v>0</v>
      </c>
      <c r="I115" s="56">
        <f t="shared" si="58"/>
        <v>0</v>
      </c>
      <c r="J115" s="56">
        <f t="shared" si="58"/>
        <v>0</v>
      </c>
      <c r="K115" s="56">
        <f t="shared" si="58"/>
        <v>0</v>
      </c>
      <c r="L115" s="56">
        <f t="shared" si="58"/>
        <v>0</v>
      </c>
      <c r="M115" s="56">
        <f t="shared" si="58"/>
        <v>0</v>
      </c>
      <c r="N115" s="56">
        <f t="shared" si="58"/>
        <v>0</v>
      </c>
      <c r="O115" s="56">
        <f t="shared" si="58"/>
        <v>0</v>
      </c>
      <c r="P115" s="56">
        <f t="shared" si="58"/>
        <v>0</v>
      </c>
      <c r="Q115" s="56">
        <f t="shared" si="58"/>
        <v>0</v>
      </c>
      <c r="R115" s="56">
        <f t="shared" si="58"/>
        <v>0</v>
      </c>
      <c r="S115" s="56">
        <f t="shared" si="58"/>
        <v>0</v>
      </c>
      <c r="T115" s="56">
        <f t="shared" si="58"/>
        <v>0</v>
      </c>
      <c r="U115" s="56">
        <f t="shared" si="58"/>
        <v>0</v>
      </c>
      <c r="V115" s="56">
        <f t="shared" si="58"/>
        <v>0</v>
      </c>
    </row>
    <row r="116" spans="1:22" ht="15.75" thickBot="1" x14ac:dyDescent="0.3"/>
    <row r="117" spans="1:22" ht="15.75" thickBot="1" x14ac:dyDescent="0.3">
      <c r="B117" s="46" t="s">
        <v>59</v>
      </c>
      <c r="C117" s="46" t="str">
        <f t="shared" ref="C117:H117" si="59">C69</f>
        <v>JV-015-RAN-IC-M2</v>
      </c>
      <c r="D117" s="46" t="str">
        <f t="shared" si="59"/>
        <v>BS-007-RAN-01-M3</v>
      </c>
      <c r="E117" s="46" t="str">
        <f t="shared" si="59"/>
        <v>BS-007-RAN-02-M3</v>
      </c>
      <c r="F117" s="46" t="str">
        <f t="shared" si="59"/>
        <v>KT-004-SOC-16-M1</v>
      </c>
      <c r="G117" s="46" t="str">
        <f t="shared" si="59"/>
        <v>BS-135-RAN-IC-M3</v>
      </c>
      <c r="H117" s="46" t="str">
        <f t="shared" si="59"/>
        <v>JV-070-DAV-07-M3</v>
      </c>
      <c r="I117" s="46" t="str">
        <f t="shared" ref="I117:V117" si="60">I69</f>
        <v>BS-129-RAT-10-M5</v>
      </c>
      <c r="J117" s="46" t="str">
        <f t="shared" si="60"/>
        <v>JV-036-SOC-10-M2</v>
      </c>
      <c r="K117" s="46" t="str">
        <f t="shared" si="60"/>
        <v>BS-126-RAT-05-M2</v>
      </c>
      <c r="L117" s="46" t="str">
        <f t="shared" si="60"/>
        <v>JV-017-RAN-10-M3</v>
      </c>
      <c r="M117" s="46" t="str">
        <f t="shared" si="60"/>
        <v>JV-070-DAV-04-M1</v>
      </c>
      <c r="N117" s="46" t="str">
        <f t="shared" si="60"/>
        <v>BS-356-RAN-03-M4</v>
      </c>
      <c r="O117" s="46" t="str">
        <f t="shared" si="60"/>
        <v>JV-090-MIN-IC-M4</v>
      </c>
      <c r="P117" s="46" t="str">
        <f t="shared" si="60"/>
        <v>BS-391-RAN-06-M2</v>
      </c>
      <c r="Q117" s="46" t="str">
        <f t="shared" si="60"/>
        <v>JV-061-MIN-03-M5</v>
      </c>
      <c r="R117" s="46" t="str">
        <f t="shared" si="60"/>
        <v>JV-070-MIN-01-M1</v>
      </c>
      <c r="S117" s="46" t="str">
        <f t="shared" si="60"/>
        <v>KT-004-SOC-14-M1</v>
      </c>
      <c r="T117" s="46" t="str">
        <f t="shared" si="60"/>
        <v>JV-089-SOC-04-M1</v>
      </c>
      <c r="U117" s="46" t="str">
        <f t="shared" si="60"/>
        <v>BS-472-RAT-01-M1</v>
      </c>
      <c r="V117" s="46" t="str">
        <f t="shared" si="60"/>
        <v>BS-172-RAT-10-M3</v>
      </c>
    </row>
    <row r="118" spans="1:22" ht="15.75" thickBot="1" x14ac:dyDescent="0.3">
      <c r="B118" s="1" t="s">
        <v>60</v>
      </c>
      <c r="C118" s="53">
        <f t="shared" ref="C118:V118" si="61">SUM(C70:C83)</f>
        <v>0.36735808779868862</v>
      </c>
      <c r="D118" s="53">
        <f t="shared" si="61"/>
        <v>0.37627713943547836</v>
      </c>
      <c r="E118" s="53">
        <f t="shared" si="61"/>
        <v>0.36693517509643564</v>
      </c>
      <c r="F118" s="53">
        <f t="shared" si="61"/>
        <v>0.37442912571686193</v>
      </c>
      <c r="G118" s="53">
        <f t="shared" si="61"/>
        <v>0.39729679868470741</v>
      </c>
      <c r="H118" s="53">
        <f t="shared" si="61"/>
        <v>0.36061288664994401</v>
      </c>
      <c r="I118" s="53">
        <f t="shared" si="61"/>
        <v>0.36103037626684609</v>
      </c>
      <c r="J118" s="53">
        <f t="shared" si="61"/>
        <v>0.38656312076298388</v>
      </c>
      <c r="K118" s="53">
        <f t="shared" si="61"/>
        <v>0.38397964046974481</v>
      </c>
      <c r="L118" s="53">
        <f t="shared" si="61"/>
        <v>0.34929618807599222</v>
      </c>
      <c r="M118" s="53">
        <f t="shared" si="61"/>
        <v>0.33904375205718262</v>
      </c>
      <c r="N118" s="53">
        <f t="shared" si="61"/>
        <v>0.35779303827312486</v>
      </c>
      <c r="O118" s="53">
        <f t="shared" si="61"/>
        <v>0.3966836329167136</v>
      </c>
      <c r="P118" s="53">
        <f t="shared" si="61"/>
        <v>0.45053519363949784</v>
      </c>
      <c r="Q118" s="53">
        <f t="shared" si="61"/>
        <v>0.38312095150207021</v>
      </c>
      <c r="R118" s="53">
        <f t="shared" si="61"/>
        <v>0.3773811262925969</v>
      </c>
      <c r="S118" s="53">
        <f t="shared" si="61"/>
        <v>0.40895924864020405</v>
      </c>
      <c r="T118" s="53">
        <f t="shared" si="61"/>
        <v>0.36967000255988192</v>
      </c>
      <c r="U118" s="53">
        <f t="shared" si="61"/>
        <v>0.42783456985388679</v>
      </c>
      <c r="V118" s="53">
        <f t="shared" si="61"/>
        <v>0.36438559553052408</v>
      </c>
    </row>
    <row r="119" spans="1:22" ht="15.75" thickBot="1" x14ac:dyDescent="0.3">
      <c r="B119" s="1" t="s">
        <v>61</v>
      </c>
      <c r="C119" s="53">
        <f>SUM(C85:C95)</f>
        <v>0.25026539442842577</v>
      </c>
      <c r="D119" s="53">
        <f t="shared" ref="D119:I119" si="62">SUM(D85:D95)</f>
        <v>0.32040476285126007</v>
      </c>
      <c r="E119" s="53">
        <f t="shared" si="62"/>
        <v>0.32537214383927537</v>
      </c>
      <c r="F119" s="53">
        <f t="shared" si="62"/>
        <v>0.23862203416391975</v>
      </c>
      <c r="G119" s="53">
        <f t="shared" si="62"/>
        <v>0.30258238143529603</v>
      </c>
      <c r="H119" s="53">
        <f t="shared" si="62"/>
        <v>0.26755860988256946</v>
      </c>
      <c r="I119" s="53">
        <f t="shared" si="62"/>
        <v>0.3215553505310963</v>
      </c>
      <c r="J119" s="53">
        <f t="shared" ref="J119:V119" si="63">SUM(J85:J95)</f>
        <v>0.33371744637444012</v>
      </c>
      <c r="K119" s="53">
        <f t="shared" si="63"/>
        <v>0.2844330857805254</v>
      </c>
      <c r="L119" s="53">
        <f t="shared" si="63"/>
        <v>0.35853745801756876</v>
      </c>
      <c r="M119" s="53">
        <f t="shared" si="63"/>
        <v>0.25492059193191563</v>
      </c>
      <c r="N119" s="53">
        <f t="shared" si="63"/>
        <v>0.29970333550144324</v>
      </c>
      <c r="O119" s="53">
        <f t="shared" si="63"/>
        <v>0.28732781101330584</v>
      </c>
      <c r="P119" s="53">
        <f t="shared" si="63"/>
        <v>0.27712074415432131</v>
      </c>
      <c r="Q119" s="53">
        <f t="shared" si="63"/>
        <v>0.24845281616270065</v>
      </c>
      <c r="R119" s="53">
        <f t="shared" si="63"/>
        <v>0.26524501257770766</v>
      </c>
      <c r="S119" s="53">
        <f t="shared" si="63"/>
        <v>0.246440827643083</v>
      </c>
      <c r="T119" s="53">
        <f t="shared" si="63"/>
        <v>0.26230115793874748</v>
      </c>
      <c r="U119" s="53">
        <f t="shared" si="63"/>
        <v>0.28619929284313972</v>
      </c>
      <c r="V119" s="53">
        <f t="shared" si="63"/>
        <v>0.35769564603530879</v>
      </c>
    </row>
    <row r="120" spans="1:22" ht="15.75" thickBot="1" x14ac:dyDescent="0.3">
      <c r="B120" s="1" t="s">
        <v>62</v>
      </c>
      <c r="C120" s="53">
        <f>SUM(C97:C115)</f>
        <v>0.38237651777288567</v>
      </c>
      <c r="D120" s="53">
        <f t="shared" ref="D120:I120" si="64">SUM(D97:D115)</f>
        <v>0.3033180977132614</v>
      </c>
      <c r="E120" s="53">
        <f t="shared" si="64"/>
        <v>0.30769268106428899</v>
      </c>
      <c r="F120" s="53">
        <f t="shared" si="64"/>
        <v>0.38694884011921832</v>
      </c>
      <c r="G120" s="53">
        <f t="shared" si="64"/>
        <v>0.30012081987999656</v>
      </c>
      <c r="H120" s="53">
        <f t="shared" si="64"/>
        <v>0.37182850346748664</v>
      </c>
      <c r="I120" s="53">
        <f t="shared" si="64"/>
        <v>0.31741427320205762</v>
      </c>
      <c r="J120" s="53">
        <f t="shared" ref="J120:V120" si="65">SUM(J97:J115)</f>
        <v>0.27971943286257611</v>
      </c>
      <c r="K120" s="53">
        <f t="shared" si="65"/>
        <v>0.33158727374972985</v>
      </c>
      <c r="L120" s="53">
        <f t="shared" si="65"/>
        <v>0.29216635390643897</v>
      </c>
      <c r="M120" s="53">
        <f t="shared" si="65"/>
        <v>0.40603565601090175</v>
      </c>
      <c r="N120" s="53">
        <f t="shared" si="65"/>
        <v>0.3425036262254319</v>
      </c>
      <c r="O120" s="53">
        <f t="shared" si="65"/>
        <v>0.31598855606998055</v>
      </c>
      <c r="P120" s="53">
        <f t="shared" si="65"/>
        <v>0.27234406220618074</v>
      </c>
      <c r="Q120" s="53">
        <f t="shared" si="65"/>
        <v>0.36842623233522931</v>
      </c>
      <c r="R120" s="53">
        <f t="shared" si="65"/>
        <v>0.35737386112969532</v>
      </c>
      <c r="S120" s="53">
        <f t="shared" si="65"/>
        <v>0.34459992371671311</v>
      </c>
      <c r="T120" s="53">
        <f t="shared" si="65"/>
        <v>0.36802883950137055</v>
      </c>
      <c r="U120" s="53">
        <f t="shared" si="65"/>
        <v>0.28596613730297338</v>
      </c>
      <c r="V120" s="53">
        <f t="shared" si="65"/>
        <v>0.27791875843416713</v>
      </c>
    </row>
    <row r="121" spans="1:22" ht="15.75" thickBot="1" x14ac:dyDescent="0.3">
      <c r="B121" s="11" t="s">
        <v>63</v>
      </c>
      <c r="C121" s="54">
        <f>SUM(C118:C120)</f>
        <v>1</v>
      </c>
      <c r="D121" s="54">
        <f>SUM(D118:D120)</f>
        <v>0.99999999999999978</v>
      </c>
      <c r="E121" s="54">
        <f t="shared" ref="E121:J121" si="66">SUM(E118:E120)</f>
        <v>1</v>
      </c>
      <c r="F121" s="54">
        <f t="shared" si="66"/>
        <v>1</v>
      </c>
      <c r="G121" s="54">
        <f t="shared" si="66"/>
        <v>1</v>
      </c>
      <c r="H121" s="54">
        <f t="shared" si="66"/>
        <v>1</v>
      </c>
      <c r="I121" s="54">
        <f t="shared" si="66"/>
        <v>1</v>
      </c>
      <c r="J121" s="54">
        <f t="shared" si="66"/>
        <v>1</v>
      </c>
      <c r="K121" s="54">
        <f t="shared" ref="K121:V121" si="67">SUM(K118:K120)</f>
        <v>1</v>
      </c>
      <c r="L121" s="54">
        <f t="shared" si="67"/>
        <v>1</v>
      </c>
      <c r="M121" s="54">
        <f t="shared" si="67"/>
        <v>1</v>
      </c>
      <c r="N121" s="54">
        <f t="shared" si="67"/>
        <v>1</v>
      </c>
      <c r="O121" s="54">
        <f t="shared" si="67"/>
        <v>1</v>
      </c>
      <c r="P121" s="54">
        <f t="shared" si="67"/>
        <v>1</v>
      </c>
      <c r="Q121" s="54">
        <f t="shared" si="67"/>
        <v>1</v>
      </c>
      <c r="R121" s="54">
        <f t="shared" si="67"/>
        <v>0.99999999999999978</v>
      </c>
      <c r="S121" s="54">
        <f t="shared" si="67"/>
        <v>1</v>
      </c>
      <c r="T121" s="54">
        <f t="shared" si="67"/>
        <v>0.99999999999999989</v>
      </c>
      <c r="U121" s="54">
        <f t="shared" si="67"/>
        <v>0.99999999999999989</v>
      </c>
      <c r="V121" s="54">
        <f t="shared" si="67"/>
        <v>1</v>
      </c>
    </row>
    <row r="124" spans="1:22" ht="15.75" thickBot="1" x14ac:dyDescent="0.3"/>
    <row r="125" spans="1:22" ht="15.75" thickBot="1" x14ac:dyDescent="0.3">
      <c r="A125" s="58"/>
      <c r="B125" s="46" t="s">
        <v>175</v>
      </c>
      <c r="C125" s="46" t="s">
        <v>176</v>
      </c>
      <c r="D125" s="46" t="s">
        <v>177</v>
      </c>
      <c r="E125" s="46" t="s">
        <v>178</v>
      </c>
      <c r="F125" s="46" t="s">
        <v>179</v>
      </c>
      <c r="G125" s="46" t="s">
        <v>180</v>
      </c>
      <c r="H125" s="46" t="s">
        <v>181</v>
      </c>
      <c r="I125" s="46" t="s">
        <v>182</v>
      </c>
      <c r="J125" s="46" t="s">
        <v>183</v>
      </c>
      <c r="K125" s="46" t="s">
        <v>184</v>
      </c>
      <c r="L125" s="46" t="s">
        <v>185</v>
      </c>
      <c r="M125" s="46" t="s">
        <v>186</v>
      </c>
      <c r="N125" s="46" t="s">
        <v>187</v>
      </c>
      <c r="O125" s="46" t="s">
        <v>188</v>
      </c>
      <c r="P125" s="46" t="s">
        <v>189</v>
      </c>
      <c r="Q125" s="46" t="s">
        <v>190</v>
      </c>
      <c r="R125" s="46" t="s">
        <v>191</v>
      </c>
      <c r="S125" s="46" t="s">
        <v>192</v>
      </c>
      <c r="T125" s="46" t="s">
        <v>193</v>
      </c>
      <c r="U125" s="46" t="s">
        <v>194</v>
      </c>
    </row>
    <row r="126" spans="1:22" ht="15.75" thickBot="1" x14ac:dyDescent="0.3">
      <c r="A126" s="58" t="s">
        <v>12</v>
      </c>
      <c r="B126" s="58">
        <v>0.17550440333333306</v>
      </c>
      <c r="C126" s="58">
        <v>0.19152890916666765</v>
      </c>
      <c r="D126" s="58">
        <v>0.17026601416666898</v>
      </c>
      <c r="E126" s="58">
        <v>0.14258109347773074</v>
      </c>
      <c r="F126" s="58">
        <v>0.19375300499999959</v>
      </c>
      <c r="G126" s="58">
        <v>0.29781269750000039</v>
      </c>
      <c r="H126" s="58">
        <v>0.26662024166666853</v>
      </c>
      <c r="I126" s="58">
        <v>0.19931433666666587</v>
      </c>
      <c r="J126" s="58">
        <v>0.25353875166666606</v>
      </c>
      <c r="K126" s="58">
        <v>0.218580316666666</v>
      </c>
      <c r="L126" s="58">
        <v>0.18749275677061306</v>
      </c>
      <c r="M126" s="58">
        <v>0.24308561749999891</v>
      </c>
      <c r="N126" s="58">
        <v>0.18965130166666544</v>
      </c>
      <c r="O126" s="58">
        <v>0.10512871250000044</v>
      </c>
      <c r="P126" s="58">
        <v>0.26024184666666672</v>
      </c>
      <c r="Q126" s="58">
        <v>0.25003897666666663</v>
      </c>
      <c r="R126" s="58">
        <v>0.25586134916666836</v>
      </c>
      <c r="S126" s="58">
        <v>0.21407768499999902</v>
      </c>
      <c r="T126" s="58">
        <v>0.18282958333333577</v>
      </c>
      <c r="U126" s="58">
        <v>0.23358931000000105</v>
      </c>
    </row>
    <row r="127" spans="1:22" ht="15.75" thickBot="1" x14ac:dyDescent="0.3">
      <c r="A127" s="59" t="s">
        <v>197</v>
      </c>
      <c r="B127" s="58">
        <f>AVERAGE(B126:U126)</f>
        <v>0.21157484542908414</v>
      </c>
    </row>
  </sheetData>
  <mergeCells count="7">
    <mergeCell ref="A85:A95"/>
    <mergeCell ref="A97:A115"/>
    <mergeCell ref="A70:A83"/>
    <mergeCell ref="B1:H1"/>
    <mergeCell ref="A9:A22"/>
    <mergeCell ref="A24:A34"/>
    <mergeCell ref="A36:A54"/>
  </mergeCells>
  <dataValidations count="2">
    <dataValidation type="list" allowBlank="1" showInputMessage="1" showErrorMessage="1" sqref="C4">
      <formula1>"Fluid, Tissue, Cells"</formula1>
    </dataValidation>
    <dataValidation type="list" allowBlank="1" showInputMessage="1" showErrorMessage="1" sqref="C5">
      <formula1>"Weight, Volume, Protein, Million"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V99"/>
  <sheetViews>
    <sheetView zoomScale="90" zoomScaleNormal="90" workbookViewId="0">
      <selection activeCell="V3" sqref="A3:V3"/>
    </sheetView>
  </sheetViews>
  <sheetFormatPr baseColWidth="10" defaultColWidth="11.42578125" defaultRowHeight="15" x14ac:dyDescent="0.25"/>
  <cols>
    <col min="1" max="1" width="27" bestFit="1" customWidth="1"/>
    <col min="2" max="2" width="7.42578125" bestFit="1" customWidth="1"/>
    <col min="3" max="3" width="22.42578125" style="3" customWidth="1"/>
    <col min="4" max="8" width="22.140625" style="3" bestFit="1" customWidth="1"/>
    <col min="9" max="9" width="27.28515625" bestFit="1" customWidth="1"/>
  </cols>
  <sheetData>
    <row r="1" spans="1:22" x14ac:dyDescent="0.25">
      <c r="A1" s="65" t="s">
        <v>64</v>
      </c>
      <c r="B1" s="66"/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184</v>
      </c>
      <c r="M1" s="5" t="s">
        <v>185</v>
      </c>
      <c r="N1" s="5" t="s">
        <v>186</v>
      </c>
      <c r="O1" s="5" t="s">
        <v>187</v>
      </c>
      <c r="P1" s="5" t="s">
        <v>188</v>
      </c>
      <c r="Q1" s="5" t="s">
        <v>189</v>
      </c>
      <c r="R1" s="5" t="s">
        <v>190</v>
      </c>
      <c r="S1" s="5" t="s">
        <v>191</v>
      </c>
      <c r="T1" s="5" t="s">
        <v>192</v>
      </c>
      <c r="U1" s="5" t="s">
        <v>193</v>
      </c>
      <c r="V1" s="5" t="s">
        <v>194</v>
      </c>
    </row>
    <row r="2" spans="1:22" x14ac:dyDescent="0.25">
      <c r="A2" s="65" t="s">
        <v>65</v>
      </c>
      <c r="B2" s="66"/>
      <c r="C2" s="5" t="s">
        <v>154</v>
      </c>
      <c r="D2" s="5" t="s">
        <v>155</v>
      </c>
      <c r="E2" s="5" t="s">
        <v>156</v>
      </c>
      <c r="F2" s="5" t="s">
        <v>157</v>
      </c>
      <c r="G2" s="5" t="s">
        <v>158</v>
      </c>
      <c r="H2" s="5" t="s">
        <v>159</v>
      </c>
      <c r="I2" s="5" t="s">
        <v>160</v>
      </c>
      <c r="J2" s="5" t="s">
        <v>161</v>
      </c>
      <c r="K2" s="5" t="s">
        <v>162</v>
      </c>
      <c r="L2" s="5" t="s">
        <v>163</v>
      </c>
      <c r="M2" s="5" t="s">
        <v>164</v>
      </c>
      <c r="N2" s="5" t="s">
        <v>165</v>
      </c>
      <c r="O2" s="5" t="s">
        <v>166</v>
      </c>
      <c r="P2" s="5" t="s">
        <v>167</v>
      </c>
      <c r="Q2" s="5" t="s">
        <v>168</v>
      </c>
      <c r="R2" s="5" t="s">
        <v>169</v>
      </c>
      <c r="S2" s="5" t="s">
        <v>170</v>
      </c>
      <c r="T2" s="5" t="s">
        <v>171</v>
      </c>
      <c r="U2" s="5" t="s">
        <v>172</v>
      </c>
      <c r="V2" s="5" t="s">
        <v>173</v>
      </c>
    </row>
    <row r="3" spans="1:22" x14ac:dyDescent="0.25">
      <c r="A3" s="51" t="s">
        <v>12</v>
      </c>
      <c r="B3" s="49"/>
      <c r="C3" s="13">
        <v>0.17550440333333306</v>
      </c>
      <c r="D3" s="13">
        <v>0.19152890916666765</v>
      </c>
      <c r="E3" s="13">
        <v>0.17026601416666898</v>
      </c>
      <c r="F3" s="13">
        <v>0.14258109347773074</v>
      </c>
      <c r="G3" s="13">
        <v>0.19375300499999959</v>
      </c>
      <c r="H3" s="13">
        <v>0.29781269750000039</v>
      </c>
      <c r="I3" s="13">
        <v>0.26662024166666853</v>
      </c>
      <c r="J3" s="13">
        <v>0.19931433666666587</v>
      </c>
      <c r="K3" s="13">
        <v>0.25353875166666606</v>
      </c>
      <c r="L3" s="13">
        <v>0.218580316666666</v>
      </c>
      <c r="M3" s="13">
        <v>0.18749275677061306</v>
      </c>
      <c r="N3" s="13">
        <v>0.24308561749999891</v>
      </c>
      <c r="O3" s="13">
        <v>0.18965130166666544</v>
      </c>
      <c r="P3" s="13">
        <v>0.10512871250000044</v>
      </c>
      <c r="Q3" s="13">
        <v>0.26024184666666672</v>
      </c>
      <c r="R3" s="13">
        <v>0.25003897666666663</v>
      </c>
      <c r="S3" s="13">
        <v>0.25586134916666836</v>
      </c>
      <c r="T3" s="13">
        <v>0.21407768499999902</v>
      </c>
      <c r="U3" s="13">
        <v>0.18282958333333577</v>
      </c>
      <c r="V3" s="13">
        <v>0.23358931000000105</v>
      </c>
    </row>
    <row r="4" spans="1:22" x14ac:dyDescent="0.25">
      <c r="A4" s="48" t="s">
        <v>4</v>
      </c>
      <c r="B4" s="49"/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</row>
    <row r="5" spans="1:22" x14ac:dyDescent="0.25">
      <c r="A5" s="48" t="s">
        <v>5</v>
      </c>
      <c r="B5" s="49"/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</row>
    <row r="6" spans="1:22" x14ac:dyDescent="0.25">
      <c r="A6" s="48" t="s">
        <v>6</v>
      </c>
      <c r="B6" s="49"/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</row>
    <row r="7" spans="1:22" x14ac:dyDescent="0.25">
      <c r="A7" s="48" t="s">
        <v>7</v>
      </c>
      <c r="B7" s="49"/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</row>
    <row r="8" spans="1:22" x14ac:dyDescent="0.25">
      <c r="A8" s="48" t="s">
        <v>8</v>
      </c>
      <c r="B8" s="49"/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</row>
    <row r="9" spans="1:22" x14ac:dyDescent="0.25">
      <c r="A9" s="48" t="s">
        <v>9</v>
      </c>
      <c r="B9" s="49"/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</row>
    <row r="10" spans="1:22" x14ac:dyDescent="0.25">
      <c r="A10" s="48" t="s">
        <v>10</v>
      </c>
      <c r="B10" s="49"/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</row>
    <row r="11" spans="1:22" x14ac:dyDescent="0.25">
      <c r="A11" s="48" t="s">
        <v>11</v>
      </c>
      <c r="B11" s="49"/>
      <c r="C11" s="13">
        <v>1.7944334107884914</v>
      </c>
      <c r="D11" s="13">
        <v>3.4127123541218252</v>
      </c>
      <c r="E11" s="13">
        <v>2.31298280245516</v>
      </c>
      <c r="F11" s="13">
        <v>1.3186029624551558</v>
      </c>
      <c r="G11" s="13">
        <v>2.7271194532884935</v>
      </c>
      <c r="H11" s="13">
        <v>3.794583104121823</v>
      </c>
      <c r="I11" s="13">
        <v>2.4921651624551537</v>
      </c>
      <c r="J11" s="13">
        <v>2.0827593441218246</v>
      </c>
      <c r="K11" s="13">
        <v>2.7005075399551592</v>
      </c>
      <c r="L11" s="13">
        <v>2.9265773491218203</v>
      </c>
      <c r="M11" s="13">
        <v>1.5554937532884903</v>
      </c>
      <c r="N11" s="13">
        <v>2.1009549891218238</v>
      </c>
      <c r="O11" s="13">
        <v>2.798789269121825</v>
      </c>
      <c r="P11" s="13">
        <v>3.5253171607884894</v>
      </c>
      <c r="Q11" s="13">
        <v>4.041876015788489</v>
      </c>
      <c r="R11" s="13">
        <v>2.2282403524551553</v>
      </c>
      <c r="S11" s="13">
        <v>3.1599925841218224</v>
      </c>
      <c r="T11" s="13">
        <v>2.8232468357884897</v>
      </c>
      <c r="U11" s="13">
        <v>5.953430839955149</v>
      </c>
      <c r="V11" s="13">
        <v>3.4131358741218261</v>
      </c>
    </row>
    <row r="12" spans="1:22" x14ac:dyDescent="0.25">
      <c r="A12" s="51" t="s">
        <v>66</v>
      </c>
      <c r="B12" s="52"/>
      <c r="C12" s="50" t="s">
        <v>174</v>
      </c>
      <c r="D12" s="50" t="s">
        <v>174</v>
      </c>
      <c r="E12" s="50" t="s">
        <v>174</v>
      </c>
      <c r="F12" s="50" t="s">
        <v>174</v>
      </c>
      <c r="G12" s="50" t="s">
        <v>174</v>
      </c>
      <c r="H12" s="50" t="s">
        <v>174</v>
      </c>
      <c r="I12" s="50" t="s">
        <v>174</v>
      </c>
      <c r="J12" s="50" t="s">
        <v>174</v>
      </c>
      <c r="K12" s="50" t="s">
        <v>174</v>
      </c>
      <c r="L12" s="50" t="s">
        <v>174</v>
      </c>
      <c r="M12" s="50" t="s">
        <v>174</v>
      </c>
      <c r="N12" s="50" t="s">
        <v>174</v>
      </c>
      <c r="O12" s="50" t="s">
        <v>174</v>
      </c>
      <c r="P12" s="50" t="s">
        <v>174</v>
      </c>
      <c r="Q12" s="50" t="s">
        <v>174</v>
      </c>
      <c r="R12" s="50" t="s">
        <v>174</v>
      </c>
      <c r="S12" s="50" t="s">
        <v>174</v>
      </c>
      <c r="T12" s="50" t="s">
        <v>174</v>
      </c>
      <c r="U12" s="50" t="s">
        <v>174</v>
      </c>
      <c r="V12" s="50" t="s">
        <v>174</v>
      </c>
    </row>
    <row r="13" spans="1:22" x14ac:dyDescent="0.25">
      <c r="A13" s="48" t="s">
        <v>13</v>
      </c>
      <c r="B13" s="49"/>
      <c r="C13" s="13">
        <v>0.84390515833333346</v>
      </c>
      <c r="D13" s="13">
        <v>0.68785369000000074</v>
      </c>
      <c r="E13" s="13">
        <v>1.0132258666666694</v>
      </c>
      <c r="F13" s="13">
        <v>0.69492449370724829</v>
      </c>
      <c r="G13" s="13">
        <v>1.0369481825000002</v>
      </c>
      <c r="H13" s="13">
        <v>1.521842236365214</v>
      </c>
      <c r="I13" s="13">
        <v>1.130621839999999</v>
      </c>
      <c r="J13" s="13">
        <v>0.72635406500000066</v>
      </c>
      <c r="K13" s="13">
        <v>1.0591486616666672</v>
      </c>
      <c r="L13" s="13">
        <v>0.94716560083333468</v>
      </c>
      <c r="M13" s="13">
        <v>0.87851703833333517</v>
      </c>
      <c r="N13" s="13">
        <v>1.0240019891666687</v>
      </c>
      <c r="O13" s="13">
        <v>0.9702160761601899</v>
      </c>
      <c r="P13" s="13">
        <v>1.2313522656779905</v>
      </c>
      <c r="Q13" s="13">
        <v>1.144900211366263</v>
      </c>
      <c r="R13" s="13">
        <v>0.96785037394415419</v>
      </c>
      <c r="S13" s="13">
        <v>1.5580985828289489</v>
      </c>
      <c r="T13" s="13">
        <v>1.3090382777724927</v>
      </c>
      <c r="U13" s="13">
        <v>2.1914172166666637</v>
      </c>
      <c r="V13" s="13">
        <v>1.2411651225000022</v>
      </c>
    </row>
    <row r="14" spans="1:22" x14ac:dyDescent="0.25">
      <c r="A14" s="48" t="s">
        <v>14</v>
      </c>
      <c r="B14" s="49"/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</row>
    <row r="15" spans="1:22" x14ac:dyDescent="0.25">
      <c r="A15" s="48" t="s">
        <v>15</v>
      </c>
      <c r="B15" s="49"/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</row>
    <row r="16" spans="1:22" x14ac:dyDescent="0.25">
      <c r="A16" s="48" t="s">
        <v>16</v>
      </c>
      <c r="B16" s="49"/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</row>
    <row r="17" spans="1:22" x14ac:dyDescent="0.25">
      <c r="A17" s="48" t="s">
        <v>17</v>
      </c>
      <c r="B17" s="49"/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</row>
    <row r="18" spans="1:22" x14ac:dyDescent="0.25">
      <c r="A18" s="48" t="s">
        <v>18</v>
      </c>
      <c r="B18" s="49"/>
      <c r="C18" s="13">
        <v>0.13292586916666638</v>
      </c>
      <c r="D18" s="13">
        <v>9.8847837499999258E-2</v>
      </c>
      <c r="E18" s="13">
        <v>0.11592298000000012</v>
      </c>
      <c r="F18" s="13">
        <v>0.10766136999999931</v>
      </c>
      <c r="G18" s="13">
        <v>0.13200350500000013</v>
      </c>
      <c r="H18" s="13">
        <v>0.25034446333333271</v>
      </c>
      <c r="I18" s="13">
        <v>9.2535467499999413E-2</v>
      </c>
      <c r="J18" s="13">
        <v>5.1634731666666767E-2</v>
      </c>
      <c r="K18" s="13">
        <v>7.8837830833333733E-2</v>
      </c>
      <c r="L18" s="13">
        <v>9.6352391666666204E-2</v>
      </c>
      <c r="M18" s="13">
        <v>0.16524056416666544</v>
      </c>
      <c r="N18" s="13">
        <v>8.3996638333331708E-2</v>
      </c>
      <c r="O18" s="13">
        <v>9.8741744999999437E-2</v>
      </c>
      <c r="P18" s="13">
        <v>9.4240656666666256E-2</v>
      </c>
      <c r="Q18" s="13">
        <v>7.1697533333333396E-2</v>
      </c>
      <c r="R18" s="13">
        <v>0.12161553083333243</v>
      </c>
      <c r="S18" s="13">
        <v>0.17236158833333315</v>
      </c>
      <c r="T18" s="13">
        <v>0.16269703166666472</v>
      </c>
      <c r="U18" s="13">
        <v>0.17404899499999926</v>
      </c>
      <c r="V18" s="13">
        <v>9.4652581666666569E-2</v>
      </c>
    </row>
    <row r="19" spans="1:22" x14ac:dyDescent="0.25">
      <c r="A19" s="48" t="s">
        <v>20</v>
      </c>
      <c r="B19" s="49"/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</row>
    <row r="20" spans="1:22" x14ac:dyDescent="0.25">
      <c r="A20" s="48" t="s">
        <v>21</v>
      </c>
      <c r="B20" s="49"/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</row>
    <row r="21" spans="1:22" x14ac:dyDescent="0.25">
      <c r="A21" s="48" t="s">
        <v>22</v>
      </c>
      <c r="B21" s="49"/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</row>
    <row r="22" spans="1:22" x14ac:dyDescent="0.25">
      <c r="A22" s="48" t="s">
        <v>23</v>
      </c>
      <c r="B22" s="49"/>
      <c r="C22" s="13">
        <v>0.10617269833333309</v>
      </c>
      <c r="D22" s="13">
        <v>0.43029474666666556</v>
      </c>
      <c r="E22" s="13">
        <v>0.1970614483333335</v>
      </c>
      <c r="F22" s="13">
        <v>7.580808083333368E-2</v>
      </c>
      <c r="G22" s="13">
        <v>0.25820389583333303</v>
      </c>
      <c r="H22" s="13">
        <v>0.21753059639269501</v>
      </c>
      <c r="I22" s="13">
        <v>0.13692843416666678</v>
      </c>
      <c r="J22" s="13">
        <v>0.22913998999999974</v>
      </c>
      <c r="K22" s="13">
        <v>0.14681935333333374</v>
      </c>
      <c r="L22" s="13">
        <v>0.27907117999999986</v>
      </c>
      <c r="M22" s="13">
        <v>6.5387382500000202E-2</v>
      </c>
      <c r="N22" s="13">
        <v>0.1539592833333332</v>
      </c>
      <c r="O22" s="13">
        <v>0.24669759666666646</v>
      </c>
      <c r="P22" s="13">
        <v>0.17192322583333253</v>
      </c>
      <c r="Q22" s="13">
        <v>0.28249468408333378</v>
      </c>
      <c r="R22" s="13">
        <v>0.11440137833333375</v>
      </c>
      <c r="S22" s="13">
        <v>0.21641674833333302</v>
      </c>
      <c r="T22" s="13">
        <v>0.19830146666666737</v>
      </c>
      <c r="U22" s="13">
        <v>0.42241381499999986</v>
      </c>
      <c r="V22" s="13">
        <v>0.2284140800000003</v>
      </c>
    </row>
    <row r="23" spans="1:22" x14ac:dyDescent="0.25">
      <c r="A23" s="48" t="s">
        <v>24</v>
      </c>
      <c r="B23" s="49"/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</row>
    <row r="24" spans="1:22" x14ac:dyDescent="0.25">
      <c r="A24" s="48" t="s">
        <v>25</v>
      </c>
      <c r="B24" s="49"/>
      <c r="C24" s="13">
        <v>0.13287896840909075</v>
      </c>
      <c r="D24" s="13">
        <v>0.32792979583333315</v>
      </c>
      <c r="E24" s="13">
        <v>0.16491598901463833</v>
      </c>
      <c r="F24" s="13">
        <v>0.12517266333333321</v>
      </c>
      <c r="G24" s="13">
        <v>0.1686895687936214</v>
      </c>
      <c r="H24" s="13">
        <v>0.29304315760434818</v>
      </c>
      <c r="I24" s="13">
        <v>0.19900976714285612</v>
      </c>
      <c r="J24" s="13">
        <v>0.11360108848290573</v>
      </c>
      <c r="K24" s="13">
        <v>0.26155870500000011</v>
      </c>
      <c r="L24" s="13">
        <v>0.2706670021135269</v>
      </c>
      <c r="M24" s="13">
        <v>0.15697497547618977</v>
      </c>
      <c r="N24" s="13">
        <v>0.13968810942822341</v>
      </c>
      <c r="O24" s="13">
        <v>0.21139416453916238</v>
      </c>
      <c r="P24" s="13">
        <v>0.15734987241434317</v>
      </c>
      <c r="Q24" s="13">
        <v>0.17454989139514754</v>
      </c>
      <c r="R24" s="13">
        <v>0.17006850286503705</v>
      </c>
      <c r="S24" s="13">
        <v>0.21431910149853661</v>
      </c>
      <c r="T24" s="13">
        <v>0.23502683166666549</v>
      </c>
      <c r="U24" s="13">
        <v>0.29218584821648075</v>
      </c>
      <c r="V24" s="13">
        <v>0.24827467958333305</v>
      </c>
    </row>
    <row r="25" spans="1:22" x14ac:dyDescent="0.25">
      <c r="A25" s="48" t="s">
        <v>26</v>
      </c>
      <c r="B25" s="49"/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</row>
    <row r="26" spans="1:22" x14ac:dyDescent="0.25">
      <c r="A26" s="48" t="s">
        <v>27</v>
      </c>
      <c r="B26" s="49"/>
      <c r="C26" s="13">
        <v>1.6488925782575767</v>
      </c>
      <c r="D26" s="13">
        <v>2.8176297091666784</v>
      </c>
      <c r="E26" s="13">
        <v>2.6902612959853629</v>
      </c>
      <c r="F26" s="13">
        <v>1.1508435605681167</v>
      </c>
      <c r="G26" s="13">
        <v>2.5403654912063844</v>
      </c>
      <c r="H26" s="13">
        <v>3.6197201023405876</v>
      </c>
      <c r="I26" s="13">
        <v>2.9731512761904808</v>
      </c>
      <c r="J26" s="13">
        <v>2.1269243215170945</v>
      </c>
      <c r="K26" s="13">
        <v>2.434988066666671</v>
      </c>
      <c r="L26" s="13">
        <v>3.5253932978864801</v>
      </c>
      <c r="M26" s="13">
        <v>1.7319656311904785</v>
      </c>
      <c r="N26" s="13">
        <v>2.3943146397384467</v>
      </c>
      <c r="O26" s="13">
        <v>2.3434135513088963</v>
      </c>
      <c r="P26" s="13">
        <v>2.6544845105734662</v>
      </c>
      <c r="Q26" s="13">
        <v>2.9530602736265203</v>
      </c>
      <c r="R26" s="13">
        <v>2.0474035926396201</v>
      </c>
      <c r="S26" s="13">
        <v>2.516274710679828</v>
      </c>
      <c r="T26" s="13">
        <v>2.6141972845328771</v>
      </c>
      <c r="U26" s="13">
        <v>4.8503140234501902</v>
      </c>
      <c r="V26" s="13">
        <v>4.1850762470833436</v>
      </c>
    </row>
    <row r="27" spans="1:22" x14ac:dyDescent="0.25">
      <c r="A27" s="48" t="s">
        <v>28</v>
      </c>
      <c r="B27" s="49"/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</row>
    <row r="28" spans="1:22" x14ac:dyDescent="0.25">
      <c r="A28" s="48" t="s">
        <v>29</v>
      </c>
      <c r="B28" s="49"/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</row>
    <row r="29" spans="1:22" x14ac:dyDescent="0.25">
      <c r="A29" s="48" t="s">
        <v>30</v>
      </c>
      <c r="B29" s="49"/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</row>
    <row r="30" spans="1:22" x14ac:dyDescent="0.25">
      <c r="A30" s="48" t="s">
        <v>32</v>
      </c>
      <c r="B30" s="49"/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</row>
    <row r="31" spans="1:22" x14ac:dyDescent="0.25">
      <c r="A31" s="48" t="s">
        <v>33</v>
      </c>
      <c r="B31" s="49"/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x14ac:dyDescent="0.25">
      <c r="A32" s="48" t="s">
        <v>34</v>
      </c>
      <c r="B32" s="49"/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</row>
    <row r="33" spans="1:22" x14ac:dyDescent="0.25">
      <c r="A33" s="48" t="s">
        <v>35</v>
      </c>
      <c r="B33" s="49"/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x14ac:dyDescent="0.25">
      <c r="A34" s="48" t="s">
        <v>36</v>
      </c>
      <c r="B34" s="49"/>
      <c r="C34" s="13">
        <v>2.0280071474999994</v>
      </c>
      <c r="D34" s="13">
        <v>2.2431026983333289</v>
      </c>
      <c r="E34" s="13">
        <v>2.0160024475000022</v>
      </c>
      <c r="F34" s="13">
        <v>1.4973832891666694</v>
      </c>
      <c r="G34" s="13">
        <v>1.9990894416666665</v>
      </c>
      <c r="H34" s="13">
        <v>4.4878851933333301</v>
      </c>
      <c r="I34" s="13">
        <v>2.5209244008333314</v>
      </c>
      <c r="J34" s="13">
        <v>1.5789995050000014</v>
      </c>
      <c r="K34" s="13">
        <v>2.6206246174999959</v>
      </c>
      <c r="L34" s="13">
        <v>2.4113213958333342</v>
      </c>
      <c r="M34" s="13">
        <v>2.2263515741666713</v>
      </c>
      <c r="N34" s="13">
        <v>2.2926973949999994</v>
      </c>
      <c r="O34" s="13">
        <v>2.2247524299999997</v>
      </c>
      <c r="P34" s="13">
        <v>2.1405639050000036</v>
      </c>
      <c r="Q34" s="13">
        <v>3.6920142449999953</v>
      </c>
      <c r="R34" s="13">
        <v>2.151888869166668</v>
      </c>
      <c r="S34" s="13">
        <v>2.8504951433333305</v>
      </c>
      <c r="T34" s="13">
        <v>2.6210687091666682</v>
      </c>
      <c r="U34" s="13">
        <v>3.6603444624999915</v>
      </c>
      <c r="V34" s="13">
        <v>2.7541075483333377</v>
      </c>
    </row>
    <row r="35" spans="1:22" x14ac:dyDescent="0.25">
      <c r="A35" s="48" t="s">
        <v>37</v>
      </c>
      <c r="B35" s="49"/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</row>
    <row r="36" spans="1:22" x14ac:dyDescent="0.25">
      <c r="A36" s="48" t="s">
        <v>38</v>
      </c>
      <c r="B36" s="49"/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</row>
    <row r="37" spans="1:22" x14ac:dyDescent="0.25">
      <c r="A37" s="48" t="s">
        <v>39</v>
      </c>
      <c r="B37" s="49"/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</row>
    <row r="38" spans="1:22" x14ac:dyDescent="0.25">
      <c r="A38" s="48" t="s">
        <v>40</v>
      </c>
      <c r="B38" s="49"/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</row>
    <row r="39" spans="1:22" x14ac:dyDescent="0.25">
      <c r="A39" s="48" t="s">
        <v>41</v>
      </c>
      <c r="B39" s="49"/>
      <c r="C39" s="13">
        <v>3.242131583333574E-2</v>
      </c>
      <c r="D39" s="13">
        <v>6.5928793333332347E-2</v>
      </c>
      <c r="E39" s="13">
        <v>3.7498433333336578E-2</v>
      </c>
      <c r="F39" s="13">
        <v>2.2609034166666042E-2</v>
      </c>
      <c r="G39" s="13">
        <v>5.5044228333332335E-2</v>
      </c>
      <c r="H39" s="13">
        <v>5.2521560833333591E-2</v>
      </c>
      <c r="I39" s="13">
        <v>4.3284872499999238E-2</v>
      </c>
      <c r="J39" s="13">
        <v>2.6661292499997824E-2</v>
      </c>
      <c r="K39" s="13">
        <v>2.4847737500001799E-2</v>
      </c>
      <c r="L39" s="13">
        <v>3.2835574999999118E-2</v>
      </c>
      <c r="M39" s="13">
        <v>2.8721251666664838E-2</v>
      </c>
      <c r="N39" s="13">
        <v>3.6052395000001347E-2</v>
      </c>
      <c r="O39" s="13">
        <v>3.333589333333542E-2</v>
      </c>
      <c r="P39" s="13">
        <v>3.652585083333415E-2</v>
      </c>
      <c r="Q39" s="13">
        <v>5.5614034166665771E-2</v>
      </c>
      <c r="R39" s="13">
        <v>3.7186493333332571E-2</v>
      </c>
      <c r="S39" s="13">
        <v>5.6677211666668725E-2</v>
      </c>
      <c r="T39" s="13">
        <v>5.0802870833335234E-2</v>
      </c>
      <c r="U39" s="13">
        <v>0.11726108833333049</v>
      </c>
      <c r="V39" s="13">
        <v>4.7663368333335399E-2</v>
      </c>
    </row>
    <row r="40" spans="1:22" x14ac:dyDescent="0.25">
      <c r="A40" s="48" t="s">
        <v>42</v>
      </c>
      <c r="B40" s="49"/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</row>
    <row r="41" spans="1:22" x14ac:dyDescent="0.25">
      <c r="A41" s="48" t="s">
        <v>43</v>
      </c>
      <c r="B41" s="49"/>
      <c r="C41" s="13">
        <v>0.14634197999999987</v>
      </c>
      <c r="D41" s="13">
        <v>0.25517086249999865</v>
      </c>
      <c r="E41" s="13">
        <v>0.17730073999999973</v>
      </c>
      <c r="F41" s="13">
        <v>9.7449798333332893E-2</v>
      </c>
      <c r="G41" s="13">
        <v>0.18269846249999899</v>
      </c>
      <c r="H41" s="13">
        <v>0.17879724166666788</v>
      </c>
      <c r="I41" s="13">
        <v>0.13235384166666675</v>
      </c>
      <c r="J41" s="13">
        <v>0.11370077833333259</v>
      </c>
      <c r="K41" s="13">
        <v>0.1521416966666651</v>
      </c>
      <c r="L41" s="13">
        <v>0.16062413499999995</v>
      </c>
      <c r="M41" s="13">
        <v>0.12195630666666668</v>
      </c>
      <c r="N41" s="13">
        <v>0.14931620916666688</v>
      </c>
      <c r="O41" s="13">
        <v>0.18657427166666585</v>
      </c>
      <c r="P41" s="13">
        <v>0.16908253499999892</v>
      </c>
      <c r="Q41" s="13">
        <v>0.38609996999999874</v>
      </c>
      <c r="R41" s="13">
        <v>0.159370756666664</v>
      </c>
      <c r="S41" s="13">
        <v>0.1928531750000011</v>
      </c>
      <c r="T41" s="13">
        <v>0.21413396500000115</v>
      </c>
      <c r="U41" s="13">
        <v>0.37061177583333338</v>
      </c>
      <c r="V41" s="13">
        <v>0.19335705999999897</v>
      </c>
    </row>
    <row r="42" spans="1:22" x14ac:dyDescent="0.25">
      <c r="A42" s="48" t="s">
        <v>44</v>
      </c>
      <c r="B42" s="49"/>
      <c r="C42" s="13">
        <v>0.63506258833333096</v>
      </c>
      <c r="D42" s="13">
        <v>0.80966169666666676</v>
      </c>
      <c r="E42" s="13">
        <v>0.60874004333333165</v>
      </c>
      <c r="F42" s="13">
        <v>0.53807710833333422</v>
      </c>
      <c r="G42" s="13">
        <v>0.65618421166666741</v>
      </c>
      <c r="H42" s="13">
        <v>0.93415756333333233</v>
      </c>
      <c r="I42" s="13">
        <v>0.53815240666666142</v>
      </c>
      <c r="J42" s="13">
        <v>0.34012165000000083</v>
      </c>
      <c r="K42" s="13">
        <v>0.50095106500000108</v>
      </c>
      <c r="L42" s="13">
        <v>0.70266013999999721</v>
      </c>
      <c r="M42" s="13">
        <v>0.71184019333333515</v>
      </c>
      <c r="N42" s="13">
        <v>0.57202145666666526</v>
      </c>
      <c r="O42" s="13">
        <v>0.59616561499999854</v>
      </c>
      <c r="P42" s="13">
        <v>0.54324297833333324</v>
      </c>
      <c r="Q42" s="13">
        <v>0.83135268166666787</v>
      </c>
      <c r="R42" s="13">
        <v>0.72854778666666586</v>
      </c>
      <c r="S42" s="13">
        <v>0.94258426000000028</v>
      </c>
      <c r="T42" s="13">
        <v>1.3214145150000003</v>
      </c>
      <c r="U42" s="13">
        <v>1.3311739750000005</v>
      </c>
      <c r="V42" s="13">
        <v>0.59472983500000076</v>
      </c>
    </row>
    <row r="43" spans="1:22" x14ac:dyDescent="0.25">
      <c r="A43" s="48" t="s">
        <v>45</v>
      </c>
      <c r="B43" s="49"/>
      <c r="C43" s="13">
        <v>2.4623660000000491E-2</v>
      </c>
      <c r="D43" s="13">
        <v>1.1295706666666794E-2</v>
      </c>
      <c r="E43" s="13">
        <v>2.2098744999999198E-2</v>
      </c>
      <c r="F43" s="13">
        <v>1.9526564166666427E-2</v>
      </c>
      <c r="G43" s="13">
        <v>2.1677939999999118E-2</v>
      </c>
      <c r="H43" s="13">
        <v>3.7831715833333224E-2</v>
      </c>
      <c r="I43" s="13">
        <v>1.4192405833333144E-2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1.8146572500000735E-2</v>
      </c>
      <c r="P43" s="13">
        <v>1.8087128333333258E-2</v>
      </c>
      <c r="Q43" s="13">
        <v>5.5614440833333223E-2</v>
      </c>
      <c r="R43" s="13">
        <v>3.5780290833332673E-2</v>
      </c>
      <c r="S43" s="13">
        <v>4.1195361666666042E-2</v>
      </c>
      <c r="T43" s="13">
        <v>3.3519773333333225E-2</v>
      </c>
      <c r="U43" s="13">
        <v>4.2202014166667468E-2</v>
      </c>
      <c r="V43" s="13">
        <v>1.5251320000000401E-2</v>
      </c>
    </row>
    <row r="44" spans="1:22" x14ac:dyDescent="0.25">
      <c r="A44" s="48" t="s">
        <v>46</v>
      </c>
      <c r="B44" s="49"/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</row>
    <row r="45" spans="1:22" x14ac:dyDescent="0.25">
      <c r="A45" s="48" t="s">
        <v>47</v>
      </c>
      <c r="B45" s="49"/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</row>
    <row r="46" spans="1:22" x14ac:dyDescent="0.25">
      <c r="A46" s="48" t="s">
        <v>48</v>
      </c>
      <c r="B46" s="49"/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</row>
    <row r="47" spans="1:22" x14ac:dyDescent="0.25">
      <c r="A47" s="48" t="s">
        <v>49</v>
      </c>
      <c r="B47" s="49"/>
      <c r="C47" s="13">
        <v>1.8103308333333734E-2</v>
      </c>
      <c r="D47" s="13">
        <v>0</v>
      </c>
      <c r="E47" s="13">
        <v>2.4751486666666933E-2</v>
      </c>
      <c r="F47" s="13">
        <v>1.7068813333333654E-2</v>
      </c>
      <c r="G47" s="13">
        <v>2.842549166666708E-2</v>
      </c>
      <c r="H47" s="13">
        <v>4.8711653333334048E-2</v>
      </c>
      <c r="I47" s="13">
        <v>1.7566195000000562E-2</v>
      </c>
      <c r="J47" s="13">
        <v>1.0571584166668035E-2</v>
      </c>
      <c r="K47" s="13">
        <v>1.6182951666666723E-2</v>
      </c>
      <c r="L47" s="13">
        <v>1.3317239999998787E-2</v>
      </c>
      <c r="M47" s="13">
        <v>2.397001416666722E-2</v>
      </c>
      <c r="N47" s="13">
        <v>2.1739361666667234E-2</v>
      </c>
      <c r="O47" s="13">
        <v>2.197869500000027E-2</v>
      </c>
      <c r="P47" s="13">
        <v>2.482470166666717E-2</v>
      </c>
      <c r="Q47" s="13">
        <v>3.6088048333333456E-2</v>
      </c>
      <c r="R47" s="13">
        <v>2.9040304999999433E-2</v>
      </c>
      <c r="S47" s="13">
        <v>3.7020216666665773E-2</v>
      </c>
      <c r="T47" s="13">
        <v>3.4974586666667307E-2</v>
      </c>
      <c r="U47" s="13">
        <v>3.8786850000000372E-2</v>
      </c>
      <c r="V47" s="13">
        <v>1.6942065000000728E-2</v>
      </c>
    </row>
    <row r="48" spans="1:22" x14ac:dyDescent="0.25">
      <c r="A48" s="48" t="s">
        <v>50</v>
      </c>
      <c r="B48" s="49"/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</row>
    <row r="49" spans="1:22" s="13" customFormat="1" ht="15.75" thickBot="1" x14ac:dyDescent="0.3"/>
    <row r="50" spans="1:22" ht="15.75" thickBot="1" x14ac:dyDescent="0.3">
      <c r="A50" s="16" t="s">
        <v>67</v>
      </c>
      <c r="B50" s="16" t="s">
        <v>68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thickBot="1" x14ac:dyDescent="0.3">
      <c r="A51" s="16" t="s">
        <v>69</v>
      </c>
      <c r="B51" s="16" t="s">
        <v>70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5.75" thickBot="1" x14ac:dyDescent="0.3">
      <c r="A52" s="6" t="s">
        <v>71</v>
      </c>
      <c r="B52" s="16" t="s">
        <v>72</v>
      </c>
      <c r="C52" s="3">
        <v>10</v>
      </c>
      <c r="D52" s="3">
        <v>10</v>
      </c>
      <c r="E52" s="3">
        <v>10</v>
      </c>
      <c r="F52" s="3">
        <v>10</v>
      </c>
      <c r="G52" s="3">
        <v>10</v>
      </c>
      <c r="H52" s="3">
        <v>10</v>
      </c>
      <c r="I52" s="3">
        <v>10</v>
      </c>
      <c r="J52" s="3">
        <v>10</v>
      </c>
      <c r="K52" s="3">
        <v>10</v>
      </c>
      <c r="L52" s="3">
        <v>10</v>
      </c>
      <c r="M52" s="3">
        <v>10</v>
      </c>
      <c r="N52" s="3">
        <v>10</v>
      </c>
      <c r="O52" s="3">
        <v>10</v>
      </c>
      <c r="P52" s="3">
        <v>10</v>
      </c>
      <c r="Q52" s="3">
        <v>10</v>
      </c>
      <c r="R52" s="3">
        <v>10</v>
      </c>
      <c r="S52" s="3">
        <v>10</v>
      </c>
      <c r="T52" s="3">
        <v>10</v>
      </c>
      <c r="U52" s="3">
        <v>10</v>
      </c>
      <c r="V52" s="3">
        <v>10</v>
      </c>
    </row>
    <row r="53" spans="1:22" x14ac:dyDescent="0.25">
      <c r="A53" s="17" t="str">
        <f>IF(AND(OR(Results!C4="Tissue",Results!C4="Cells"),Results!C5="Protein",C51&gt;0,B51="mg"),"Relative abundance/mg of protein",IF(AND(OR(Results!C4="Tissue",Results!C4="Cells"),Results!C5="Protein",C51&gt;0,B51="µg"),"Relative abundance/µg of protein",IF(AND(Results!C4="Tissue",Results!C5="Weight",C50&gt;0,B50="mg"),"Relative abundance/mg of tissue",IF(AND(Results!C4="Tissue",Results!C5="Weight",C50&gt;0,B50="g"),"Relative abundance/g of tissue",IF(AND(Results!C4="Fluid",Results!C5="Volume",C52&gt;0,B52="µl"),"Relative abundance/µL of fluid",IF(AND(Results!C4="Fluid",Results!C5="Volume",C52&gt;0,B52="ml"),"Relative abundance/mL of fluid",IF(AND(Results!C4="Cells",Results!C5="Million",C50&gt;0,B50="million"),"Relative abundance/million of cells","-")))))))</f>
        <v>Relative abundance/µL of fluid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25">
      <c r="A54" s="64" t="str">
        <f t="shared" ref="A54:A99" si="0">A3</f>
        <v>L_C17_0</v>
      </c>
      <c r="B54" s="64"/>
      <c r="C54" s="18">
        <f>IF(C3=0,"0",IF(AND(Results!$C$5="Protein",C$51&gt;0,OR(Results!$C$4="Tissue",Results!$C$4="Cells")),((C3)/(C$3*C$51)),IF(AND(Results!$C$5="Weight",C$50&gt;0,Results!$C$4="Tissue"),((C3)/(C$3*C$50)),IF(AND(Results!$C$5="Volume",C$52&gt;0,Results!$C$4="Fluid"),((C3)/(C$3*C$52)),IF(AND(Results!$C$4="Cells",Results!$C$5="Million"),((C3)/(C$3*C$50)),"-")))))</f>
        <v>0.1</v>
      </c>
      <c r="D54" s="18">
        <f>IF(D3=0,"0",IF(AND(Results!$C$5="Protein",D$51&gt;0,OR(Results!$C$4="Tissue",Results!$C$4="Cells")),((D3)/(D$3*D$51)),IF(AND(Results!$C$5="Weight",D$50&gt;0,Results!$C$4="Tissue"),((D3)/(D$3*D$50)),IF(AND(Results!$C$5="Volume",D$52&gt;0,Results!$C$4="Fluid"),((D3)/(D$3*D$52)),IF(AND(Results!$C$4="Cells",Results!$C$5="Million"),((D3)/(D$3*D$50)),"-")))))</f>
        <v>0.1</v>
      </c>
      <c r="E54" s="18">
        <f>IF(E3=0,"0",IF(AND(Results!$C$5="Protein",E$51&gt;0,OR(Results!$C$4="Tissue",Results!$C$4="Cells")),((E3)/(E$3*E$51)),IF(AND(Results!$C$5="Weight",E$50&gt;0,Results!$C$4="Tissue"),((E3)/(E$3*E$50)),IF(AND(Results!$C$5="Volume",E$52&gt;0,Results!$C$4="Fluid"),((E3)/(E$3*E$52)),IF(AND(Results!$C$4="Cells",Results!$C$5="Million"),((E3)/(E$3*E$50)),"-")))))</f>
        <v>0.1</v>
      </c>
      <c r="F54" s="18">
        <f>IF(F3=0,"0",IF(AND(Results!$C$5="Protein",F$51&gt;0,OR(Results!$C$4="Tissue",Results!$C$4="Cells")),((F3)/(F$3*F$51)),IF(AND(Results!$C$5="Weight",F$50&gt;0,Results!$C$4="Tissue"),((F3)/(F$3*F$50)),IF(AND(Results!$C$5="Volume",F$52&gt;0,Results!$C$4="Fluid"),((F3)/(F$3*F$52)),IF(AND(Results!$C$4="Cells",Results!$C$5="Million"),((F3)/(F$3*F$50)),"-")))))</f>
        <v>0.1</v>
      </c>
      <c r="G54" s="18">
        <f>IF(G3=0,"0",IF(AND(Results!$C$5="Protein",G$51&gt;0,OR(Results!$C$4="Tissue",Results!$C$4="Cells")),((G3)/(G$3*G$51)),IF(AND(Results!$C$5="Weight",G$50&gt;0,Results!$C$4="Tissue"),((G3)/(G$3*G$50)),IF(AND(Results!$C$5="Volume",G$52&gt;0,Results!$C$4="Fluid"),((G3)/(G$3*G$52)),IF(AND(Results!$C$4="Cells",Results!$C$5="Million"),((G3)/(G$3*G$50)),"-")))))</f>
        <v>0.1</v>
      </c>
      <c r="H54" s="18">
        <f>IF(H3=0,"0",IF(AND(Results!$C$5="Protein",H$51&gt;0,OR(Results!$C$4="Tissue",Results!$C$4="Cells")),((H3)/(H$3*H$51)),IF(AND(Results!$C$5="Weight",H$50&gt;0,Results!$C$4="Tissue"),((H3)/(H$3*H$50)),IF(AND(Results!$C$5="Volume",H$52&gt;0,Results!$C$4="Fluid"),((H3)/(H$3*H$52)),IF(AND(Results!$C$4="Cells",Results!$C$5="Million"),((H3)/(H$3*H$50)),"-")))))</f>
        <v>0.1</v>
      </c>
      <c r="I54" s="18">
        <f>IF(I3=0,"0",IF(AND(Results!$C$5="Protein",I$51&gt;0,OR(Results!$C$4="Tissue",Results!$C$4="Cells")),((I3)/(I$3*I$51)),IF(AND(Results!$C$5="Weight",I$50&gt;0,Results!$C$4="Tissue"),((I3)/(I$3*I$50)),IF(AND(Results!$C$5="Volume",I$52&gt;0,Results!$C$4="Fluid"),((I3)/(I$3*I$52)),IF(AND(Results!$C$4="Cells",Results!$C$5="Million"),((I3)/(I$3*I$50)),"-")))))</f>
        <v>0.1</v>
      </c>
      <c r="J54" s="18">
        <f>IF(J3=0,"0",IF(AND(Results!$C$5="Protein",J$51&gt;0,OR(Results!$C$4="Tissue",Results!$C$4="Cells")),((J3)/(J$3*J$51)),IF(AND(Results!$C$5="Weight",J$50&gt;0,Results!$C$4="Tissue"),((J3)/(J$3*J$50)),IF(AND(Results!$C$5="Volume",J$52&gt;0,Results!$C$4="Fluid"),((J3)/(J$3*J$52)),IF(AND(Results!$C$4="Cells",Results!$C$5="Million"),((J3)/(J$3*J$50)),"-")))))</f>
        <v>0.1</v>
      </c>
      <c r="K54" s="18">
        <f>IF(K3=0,"0",IF(AND(Results!$C$5="Protein",K$51&gt;0,OR(Results!$C$4="Tissue",Results!$C$4="Cells")),((K3)/(K$3*K$51)),IF(AND(Results!$C$5="Weight",K$50&gt;0,Results!$C$4="Tissue"),((K3)/(K$3*K$50)),IF(AND(Results!$C$5="Volume",K$52&gt;0,Results!$C$4="Fluid"),((K3)/(K$3*K$52)),IF(AND(Results!$C$4="Cells",Results!$C$5="Million"),((K3)/(K$3*K$50)),"-")))))</f>
        <v>0.1</v>
      </c>
      <c r="L54" s="18">
        <f>IF(L3=0,"0",IF(AND(Results!$C$5="Protein",L$51&gt;0,OR(Results!$C$4="Tissue",Results!$C$4="Cells")),((L3)/(L$3*L$51)),IF(AND(Results!$C$5="Weight",L$50&gt;0,Results!$C$4="Tissue"),((L3)/(L$3*L$50)),IF(AND(Results!$C$5="Volume",L$52&gt;0,Results!$C$4="Fluid"),((L3)/(L$3*L$52)),IF(AND(Results!$C$4="Cells",Results!$C$5="Million"),((L3)/(L$3*L$50)),"-")))))</f>
        <v>0.1</v>
      </c>
      <c r="M54" s="18">
        <f>IF(M3=0,"0",IF(AND(Results!$C$5="Protein",M$51&gt;0,OR(Results!$C$4="Tissue",Results!$C$4="Cells")),((M3)/(M$3*M$51)),IF(AND(Results!$C$5="Weight",M$50&gt;0,Results!$C$4="Tissue"),((M3)/(M$3*M$50)),IF(AND(Results!$C$5="Volume",M$52&gt;0,Results!$C$4="Fluid"),((M3)/(M$3*M$52)),IF(AND(Results!$C$4="Cells",Results!$C$5="Million"),((M3)/(M$3*M$50)),"-")))))</f>
        <v>0.1</v>
      </c>
      <c r="N54" s="18">
        <f>IF(N3=0,"0",IF(AND(Results!$C$5="Protein",N$51&gt;0,OR(Results!$C$4="Tissue",Results!$C$4="Cells")),((N3)/(N$3*N$51)),IF(AND(Results!$C$5="Weight",N$50&gt;0,Results!$C$4="Tissue"),((N3)/(N$3*N$50)),IF(AND(Results!$C$5="Volume",N$52&gt;0,Results!$C$4="Fluid"),((N3)/(N$3*N$52)),IF(AND(Results!$C$4="Cells",Results!$C$5="Million"),((N3)/(N$3*N$50)),"-")))))</f>
        <v>0.1</v>
      </c>
      <c r="O54" s="18">
        <f>IF(O3=0,"0",IF(AND(Results!$C$5="Protein",O$51&gt;0,OR(Results!$C$4="Tissue",Results!$C$4="Cells")),((O3)/(O$3*O$51)),IF(AND(Results!$C$5="Weight",O$50&gt;0,Results!$C$4="Tissue"),((O3)/(O$3*O$50)),IF(AND(Results!$C$5="Volume",O$52&gt;0,Results!$C$4="Fluid"),((O3)/(O$3*O$52)),IF(AND(Results!$C$4="Cells",Results!$C$5="Million"),((O3)/(O$3*O$50)),"-")))))</f>
        <v>0.1</v>
      </c>
      <c r="P54" s="18">
        <f>IF(P3=0,"0",IF(AND(Results!$C$5="Protein",P$51&gt;0,OR(Results!$C$4="Tissue",Results!$C$4="Cells")),((P3)/(P$3*P$51)),IF(AND(Results!$C$5="Weight",P$50&gt;0,Results!$C$4="Tissue"),((P3)/(P$3*P$50)),IF(AND(Results!$C$5="Volume",P$52&gt;0,Results!$C$4="Fluid"),((P3)/(P$3*P$52)),IF(AND(Results!$C$4="Cells",Results!$C$5="Million"),((P3)/(P$3*P$50)),"-")))))</f>
        <v>0.1</v>
      </c>
      <c r="Q54" s="18">
        <f>IF(Q3=0,"0",IF(AND(Results!$C$5="Protein",Q$51&gt;0,OR(Results!$C$4="Tissue",Results!$C$4="Cells")),((Q3)/(Q$3*Q$51)),IF(AND(Results!$C$5="Weight",Q$50&gt;0,Results!$C$4="Tissue"),((Q3)/(Q$3*Q$50)),IF(AND(Results!$C$5="Volume",Q$52&gt;0,Results!$C$4="Fluid"),((Q3)/(Q$3*Q$52)),IF(AND(Results!$C$4="Cells",Results!$C$5="Million"),((Q3)/(Q$3*Q$50)),"-")))))</f>
        <v>0.1</v>
      </c>
      <c r="R54" s="18">
        <f>IF(R3=0,"0",IF(AND(Results!$C$5="Protein",R$51&gt;0,OR(Results!$C$4="Tissue",Results!$C$4="Cells")),((R3)/(R$3*R$51)),IF(AND(Results!$C$5="Weight",R$50&gt;0,Results!$C$4="Tissue"),((R3)/(R$3*R$50)),IF(AND(Results!$C$5="Volume",R$52&gt;0,Results!$C$4="Fluid"),((R3)/(R$3*R$52)),IF(AND(Results!$C$4="Cells",Results!$C$5="Million"),((R3)/(R$3*R$50)),"-")))))</f>
        <v>0.1</v>
      </c>
      <c r="S54" s="18">
        <f>IF(S3=0,"0",IF(AND(Results!$C$5="Protein",S$51&gt;0,OR(Results!$C$4="Tissue",Results!$C$4="Cells")),((S3)/(S$3*S$51)),IF(AND(Results!$C$5="Weight",S$50&gt;0,Results!$C$4="Tissue"),((S3)/(S$3*S$50)),IF(AND(Results!$C$5="Volume",S$52&gt;0,Results!$C$4="Fluid"),((S3)/(S$3*S$52)),IF(AND(Results!$C$4="Cells",Results!$C$5="Million"),((S3)/(S$3*S$50)),"-")))))</f>
        <v>0.1</v>
      </c>
      <c r="T54" s="18">
        <f>IF(T3=0,"0",IF(AND(Results!$C$5="Protein",T$51&gt;0,OR(Results!$C$4="Tissue",Results!$C$4="Cells")),((T3)/(T$3*T$51)),IF(AND(Results!$C$5="Weight",T$50&gt;0,Results!$C$4="Tissue"),((T3)/(T$3*T$50)),IF(AND(Results!$C$5="Volume",T$52&gt;0,Results!$C$4="Fluid"),((T3)/(T$3*T$52)),IF(AND(Results!$C$4="Cells",Results!$C$5="Million"),((T3)/(T$3*T$50)),"-")))))</f>
        <v>0.1</v>
      </c>
      <c r="U54" s="18">
        <f>IF(U3=0,"0",IF(AND(Results!$C$5="Protein",U$51&gt;0,OR(Results!$C$4="Tissue",Results!$C$4="Cells")),((U3)/(U$3*U$51)),IF(AND(Results!$C$5="Weight",U$50&gt;0,Results!$C$4="Tissue"),((U3)/(U$3*U$50)),IF(AND(Results!$C$5="Volume",U$52&gt;0,Results!$C$4="Fluid"),((U3)/(U$3*U$52)),IF(AND(Results!$C$4="Cells",Results!$C$5="Million"),((U3)/(U$3*U$50)),"-")))))</f>
        <v>0.1</v>
      </c>
      <c r="V54" s="18">
        <f>IF(V3=0,"0",IF(AND(Results!$C$5="Protein",V$51&gt;0,OR(Results!$C$4="Tissue",Results!$C$4="Cells")),((V3)/(V$3*V$51)),IF(AND(Results!$C$5="Weight",V$50&gt;0,Results!$C$4="Tissue"),((V3)/(V$3*V$50)),IF(AND(Results!$C$5="Volume",V$52&gt;0,Results!$C$4="Fluid"),((V3)/(V$3*V$52)),IF(AND(Results!$C$4="Cells",Results!$C$5="Million"),((V3)/(V$3*V$50)),"-")))))</f>
        <v>0.1</v>
      </c>
    </row>
    <row r="55" spans="1:22" x14ac:dyDescent="0.25">
      <c r="A55" s="64" t="str">
        <f t="shared" si="0"/>
        <v>L_C8_0</v>
      </c>
      <c r="B55" s="64"/>
      <c r="C55" s="18" t="str">
        <f>IF(C4=0,"0",IF(AND(Results!$C$5="Protein",C$51&gt;0,OR(Results!$C$4="Tissue",Results!$C$4="Cells")),((C4)/(C$3*C$51)),IF(AND(Results!$C$5="Weight",C$50&gt;0,Results!$C$4="Tissue"),((C4)/(C$3*C$50)),IF(AND(Results!$C$5="Volume",C$52&gt;0,Results!$C$4="Fluid"),((C4)/(C$3*C$52)),IF(AND(Results!$C$4="Cells",Results!$C$5="Million"),((C4)/(C$3*C$50)),"-")))))</f>
        <v>0</v>
      </c>
      <c r="D55" s="18" t="str">
        <f>IF(D4=0,"0",IF(AND(Results!$C$5="Protein",D$51&gt;0,OR(Results!$C$4="Tissue",Results!$C$4="Cells")),((D4)/(D$3*D$51)),IF(AND(Results!$C$5="Weight",D$50&gt;0,Results!$C$4="Tissue"),((D4)/(D$3*D$50)),IF(AND(Results!$C$5="Volume",D$52&gt;0,Results!$C$4="Fluid"),((D4)/(D$3*D$52)),IF(AND(Results!$C$4="Cells",Results!$C$5="Million"),((D4)/(D$3*D$50)),"-")))))</f>
        <v>0</v>
      </c>
      <c r="E55" s="18" t="str">
        <f>IF(E4=0,"0",IF(AND(Results!$C$5="Protein",E$51&gt;0,OR(Results!$C$4="Tissue",Results!$C$4="Cells")),((E4)/(E$3*E$51)),IF(AND(Results!$C$5="Weight",E$50&gt;0,Results!$C$4="Tissue"),((E4)/(E$3*E$50)),IF(AND(Results!$C$5="Volume",E$52&gt;0,Results!$C$4="Fluid"),((E4)/(E$3*E$52)),IF(AND(Results!$C$4="Cells",Results!$C$5="Million"),((E4)/(E$3*E$50)),"-")))))</f>
        <v>0</v>
      </c>
      <c r="F55" s="18" t="str">
        <f>IF(F4=0,"0",IF(AND(Results!$C$5="Protein",F$51&gt;0,OR(Results!$C$4="Tissue",Results!$C$4="Cells")),((F4)/(F$3*F$51)),IF(AND(Results!$C$5="Weight",F$50&gt;0,Results!$C$4="Tissue"),((F4)/(F$3*F$50)),IF(AND(Results!$C$5="Volume",F$52&gt;0,Results!$C$4="Fluid"),((F4)/(F$3*F$52)),IF(AND(Results!$C$4="Cells",Results!$C$5="Million"),((F4)/(F$3*F$50)),"-")))))</f>
        <v>0</v>
      </c>
      <c r="G55" s="18" t="str">
        <f>IF(G4=0,"0",IF(AND(Results!$C$5="Protein",G$51&gt;0,OR(Results!$C$4="Tissue",Results!$C$4="Cells")),((G4)/(G$3*G$51)),IF(AND(Results!$C$5="Weight",G$50&gt;0,Results!$C$4="Tissue"),((G4)/(G$3*G$50)),IF(AND(Results!$C$5="Volume",G$52&gt;0,Results!$C$4="Fluid"),((G4)/(G$3*G$52)),IF(AND(Results!$C$4="Cells",Results!$C$5="Million"),((G4)/(G$3*G$50)),"-")))))</f>
        <v>0</v>
      </c>
      <c r="H55" s="18" t="str">
        <f>IF(H4=0,"0",IF(AND(Results!$C$5="Protein",H$51&gt;0,OR(Results!$C$4="Tissue",Results!$C$4="Cells")),((H4)/(H$3*H$51)),IF(AND(Results!$C$5="Weight",H$50&gt;0,Results!$C$4="Tissue"),((H4)/(H$3*H$50)),IF(AND(Results!$C$5="Volume",H$52&gt;0,Results!$C$4="Fluid"),((H4)/(H$3*H$52)),IF(AND(Results!$C$4="Cells",Results!$C$5="Million"),((H4)/(H$3*H$50)),"-")))))</f>
        <v>0</v>
      </c>
      <c r="I55" s="18" t="str">
        <f>IF(I4=0,"0",IF(AND(Results!$C$5="Protein",I$51&gt;0,OR(Results!$C$4="Tissue",Results!$C$4="Cells")),((I4)/(I$3*I$51)),IF(AND(Results!$C$5="Weight",I$50&gt;0,Results!$C$4="Tissue"),((I4)/(I$3*I$50)),IF(AND(Results!$C$5="Volume",I$52&gt;0,Results!$C$4="Fluid"),((I4)/(I$3*I$52)),IF(AND(Results!$C$4="Cells",Results!$C$5="Million"),((I4)/(I$3*I$50)),"-")))))</f>
        <v>0</v>
      </c>
      <c r="J55" s="18" t="str">
        <f>IF(J4=0,"0",IF(AND(Results!$C$5="Protein",J$51&gt;0,OR(Results!$C$4="Tissue",Results!$C$4="Cells")),((J4)/(J$3*J$51)),IF(AND(Results!$C$5="Weight",J$50&gt;0,Results!$C$4="Tissue"),((J4)/(J$3*J$50)),IF(AND(Results!$C$5="Volume",J$52&gt;0,Results!$C$4="Fluid"),((J4)/(J$3*J$52)),IF(AND(Results!$C$4="Cells",Results!$C$5="Million"),((J4)/(J$3*J$50)),"-")))))</f>
        <v>0</v>
      </c>
      <c r="K55" s="18" t="str">
        <f>IF(K4=0,"0",IF(AND(Results!$C$5="Protein",K$51&gt;0,OR(Results!$C$4="Tissue",Results!$C$4="Cells")),((K4)/(K$3*K$51)),IF(AND(Results!$C$5="Weight",K$50&gt;0,Results!$C$4="Tissue"),((K4)/(K$3*K$50)),IF(AND(Results!$C$5="Volume",K$52&gt;0,Results!$C$4="Fluid"),((K4)/(K$3*K$52)),IF(AND(Results!$C$4="Cells",Results!$C$5="Million"),((K4)/(K$3*K$50)),"-")))))</f>
        <v>0</v>
      </c>
      <c r="L55" s="18" t="str">
        <f>IF(L4=0,"0",IF(AND(Results!$C$5="Protein",L$51&gt;0,OR(Results!$C$4="Tissue",Results!$C$4="Cells")),((L4)/(L$3*L$51)),IF(AND(Results!$C$5="Weight",L$50&gt;0,Results!$C$4="Tissue"),((L4)/(L$3*L$50)),IF(AND(Results!$C$5="Volume",L$52&gt;0,Results!$C$4="Fluid"),((L4)/(L$3*L$52)),IF(AND(Results!$C$4="Cells",Results!$C$5="Million"),((L4)/(L$3*L$50)),"-")))))</f>
        <v>0</v>
      </c>
      <c r="M55" s="18" t="str">
        <f>IF(M4=0,"0",IF(AND(Results!$C$5="Protein",M$51&gt;0,OR(Results!$C$4="Tissue",Results!$C$4="Cells")),((M4)/(M$3*M$51)),IF(AND(Results!$C$5="Weight",M$50&gt;0,Results!$C$4="Tissue"),((M4)/(M$3*M$50)),IF(AND(Results!$C$5="Volume",M$52&gt;0,Results!$C$4="Fluid"),((M4)/(M$3*M$52)),IF(AND(Results!$C$4="Cells",Results!$C$5="Million"),((M4)/(M$3*M$50)),"-")))))</f>
        <v>0</v>
      </c>
      <c r="N55" s="18" t="str">
        <f>IF(N4=0,"0",IF(AND(Results!$C$5="Protein",N$51&gt;0,OR(Results!$C$4="Tissue",Results!$C$4="Cells")),((N4)/(N$3*N$51)),IF(AND(Results!$C$5="Weight",N$50&gt;0,Results!$C$4="Tissue"),((N4)/(N$3*N$50)),IF(AND(Results!$C$5="Volume",N$52&gt;0,Results!$C$4="Fluid"),((N4)/(N$3*N$52)),IF(AND(Results!$C$4="Cells",Results!$C$5="Million"),((N4)/(N$3*N$50)),"-")))))</f>
        <v>0</v>
      </c>
      <c r="O55" s="18" t="str">
        <f>IF(O4=0,"0",IF(AND(Results!$C$5="Protein",O$51&gt;0,OR(Results!$C$4="Tissue",Results!$C$4="Cells")),((O4)/(O$3*O$51)),IF(AND(Results!$C$5="Weight",O$50&gt;0,Results!$C$4="Tissue"),((O4)/(O$3*O$50)),IF(AND(Results!$C$5="Volume",O$52&gt;0,Results!$C$4="Fluid"),((O4)/(O$3*O$52)),IF(AND(Results!$C$4="Cells",Results!$C$5="Million"),((O4)/(O$3*O$50)),"-")))))</f>
        <v>0</v>
      </c>
      <c r="P55" s="18" t="str">
        <f>IF(P4=0,"0",IF(AND(Results!$C$5="Protein",P$51&gt;0,OR(Results!$C$4="Tissue",Results!$C$4="Cells")),((P4)/(P$3*P$51)),IF(AND(Results!$C$5="Weight",P$50&gt;0,Results!$C$4="Tissue"),((P4)/(P$3*P$50)),IF(AND(Results!$C$5="Volume",P$52&gt;0,Results!$C$4="Fluid"),((P4)/(P$3*P$52)),IF(AND(Results!$C$4="Cells",Results!$C$5="Million"),((P4)/(P$3*P$50)),"-")))))</f>
        <v>0</v>
      </c>
      <c r="Q55" s="18" t="str">
        <f>IF(Q4=0,"0",IF(AND(Results!$C$5="Protein",Q$51&gt;0,OR(Results!$C$4="Tissue",Results!$C$4="Cells")),((Q4)/(Q$3*Q$51)),IF(AND(Results!$C$5="Weight",Q$50&gt;0,Results!$C$4="Tissue"),((Q4)/(Q$3*Q$50)),IF(AND(Results!$C$5="Volume",Q$52&gt;0,Results!$C$4="Fluid"),((Q4)/(Q$3*Q$52)),IF(AND(Results!$C$4="Cells",Results!$C$5="Million"),((Q4)/(Q$3*Q$50)),"-")))))</f>
        <v>0</v>
      </c>
      <c r="R55" s="18" t="str">
        <f>IF(R4=0,"0",IF(AND(Results!$C$5="Protein",R$51&gt;0,OR(Results!$C$4="Tissue",Results!$C$4="Cells")),((R4)/(R$3*R$51)),IF(AND(Results!$C$5="Weight",R$50&gt;0,Results!$C$4="Tissue"),((R4)/(R$3*R$50)),IF(AND(Results!$C$5="Volume",R$52&gt;0,Results!$C$4="Fluid"),((R4)/(R$3*R$52)),IF(AND(Results!$C$4="Cells",Results!$C$5="Million"),((R4)/(R$3*R$50)),"-")))))</f>
        <v>0</v>
      </c>
      <c r="S55" s="18" t="str">
        <f>IF(S4=0,"0",IF(AND(Results!$C$5="Protein",S$51&gt;0,OR(Results!$C$4="Tissue",Results!$C$4="Cells")),((S4)/(S$3*S$51)),IF(AND(Results!$C$5="Weight",S$50&gt;0,Results!$C$4="Tissue"),((S4)/(S$3*S$50)),IF(AND(Results!$C$5="Volume",S$52&gt;0,Results!$C$4="Fluid"),((S4)/(S$3*S$52)),IF(AND(Results!$C$4="Cells",Results!$C$5="Million"),((S4)/(S$3*S$50)),"-")))))</f>
        <v>0</v>
      </c>
      <c r="T55" s="18" t="str">
        <f>IF(T4=0,"0",IF(AND(Results!$C$5="Protein",T$51&gt;0,OR(Results!$C$4="Tissue",Results!$C$4="Cells")),((T4)/(T$3*T$51)),IF(AND(Results!$C$5="Weight",T$50&gt;0,Results!$C$4="Tissue"),((T4)/(T$3*T$50)),IF(AND(Results!$C$5="Volume",T$52&gt;0,Results!$C$4="Fluid"),((T4)/(T$3*T$52)),IF(AND(Results!$C$4="Cells",Results!$C$5="Million"),((T4)/(T$3*T$50)),"-")))))</f>
        <v>0</v>
      </c>
      <c r="U55" s="18" t="str">
        <f>IF(U4=0,"0",IF(AND(Results!$C$5="Protein",U$51&gt;0,OR(Results!$C$4="Tissue",Results!$C$4="Cells")),((U4)/(U$3*U$51)),IF(AND(Results!$C$5="Weight",U$50&gt;0,Results!$C$4="Tissue"),((U4)/(U$3*U$50)),IF(AND(Results!$C$5="Volume",U$52&gt;0,Results!$C$4="Fluid"),((U4)/(U$3*U$52)),IF(AND(Results!$C$4="Cells",Results!$C$5="Million"),((U4)/(U$3*U$50)),"-")))))</f>
        <v>0</v>
      </c>
      <c r="V55" s="18" t="str">
        <f>IF(V4=0,"0",IF(AND(Results!$C$5="Protein",V$51&gt;0,OR(Results!$C$4="Tissue",Results!$C$4="Cells")),((V4)/(V$3*V$51)),IF(AND(Results!$C$5="Weight",V$50&gt;0,Results!$C$4="Tissue"),((V4)/(V$3*V$50)),IF(AND(Results!$C$5="Volume",V$52&gt;0,Results!$C$4="Fluid"),((V4)/(V$3*V$52)),IF(AND(Results!$C$4="Cells",Results!$C$5="Million"),((V4)/(V$3*V$50)),"-")))))</f>
        <v>0</v>
      </c>
    </row>
    <row r="56" spans="1:22" x14ac:dyDescent="0.25">
      <c r="A56" s="64" t="str">
        <f t="shared" si="0"/>
        <v>L_C10_0</v>
      </c>
      <c r="B56" s="64"/>
      <c r="C56" s="18" t="str">
        <f>IF(C5=0,"0",IF(AND(Results!$C$5="Protein",C$51&gt;0,OR(Results!$C$4="Tissue",Results!$C$4="Cells")),((C5)/(C$3*C$51)),IF(AND(Results!$C$5="Weight",C$50&gt;0,Results!$C$4="Tissue"),((C5)/(C$3*C$50)),IF(AND(Results!$C$5="Volume",C$52&gt;0,Results!$C$4="Fluid"),((C5)/(C$3*C$52)),IF(AND(Results!$C$4="Cells",Results!$C$5="Million"),((C5)/(C$3*C$50)),"-")))))</f>
        <v>0</v>
      </c>
      <c r="D56" s="18" t="str">
        <f>IF(D5=0,"0",IF(AND(Results!$C$5="Protein",D$51&gt;0,OR(Results!$C$4="Tissue",Results!$C$4="Cells")),((D5)/(D$3*D$51)),IF(AND(Results!$C$5="Weight",D$50&gt;0,Results!$C$4="Tissue"),((D5)/(D$3*D$50)),IF(AND(Results!$C$5="Volume",D$52&gt;0,Results!$C$4="Fluid"),((D5)/(D$3*D$52)),IF(AND(Results!$C$4="Cells",Results!$C$5="Million"),((D5)/(D$3*D$50)),"-")))))</f>
        <v>0</v>
      </c>
      <c r="E56" s="18" t="str">
        <f>IF(E5=0,"0",IF(AND(Results!$C$5="Protein",E$51&gt;0,OR(Results!$C$4="Tissue",Results!$C$4="Cells")),((E5)/(E$3*E$51)),IF(AND(Results!$C$5="Weight",E$50&gt;0,Results!$C$4="Tissue"),((E5)/(E$3*E$50)),IF(AND(Results!$C$5="Volume",E$52&gt;0,Results!$C$4="Fluid"),((E5)/(E$3*E$52)),IF(AND(Results!$C$4="Cells",Results!$C$5="Million"),((E5)/(E$3*E$50)),"-")))))</f>
        <v>0</v>
      </c>
      <c r="F56" s="18" t="str">
        <f>IF(F5=0,"0",IF(AND(Results!$C$5="Protein",F$51&gt;0,OR(Results!$C$4="Tissue",Results!$C$4="Cells")),((F5)/(F$3*F$51)),IF(AND(Results!$C$5="Weight",F$50&gt;0,Results!$C$4="Tissue"),((F5)/(F$3*F$50)),IF(AND(Results!$C$5="Volume",F$52&gt;0,Results!$C$4="Fluid"),((F5)/(F$3*F$52)),IF(AND(Results!$C$4="Cells",Results!$C$5="Million"),((F5)/(F$3*F$50)),"-")))))</f>
        <v>0</v>
      </c>
      <c r="G56" s="18" t="str">
        <f>IF(G5=0,"0",IF(AND(Results!$C$5="Protein",G$51&gt;0,OR(Results!$C$4="Tissue",Results!$C$4="Cells")),((G5)/(G$3*G$51)),IF(AND(Results!$C$5="Weight",G$50&gt;0,Results!$C$4="Tissue"),((G5)/(G$3*G$50)),IF(AND(Results!$C$5="Volume",G$52&gt;0,Results!$C$4="Fluid"),((G5)/(G$3*G$52)),IF(AND(Results!$C$4="Cells",Results!$C$5="Million"),((G5)/(G$3*G$50)),"-")))))</f>
        <v>0</v>
      </c>
      <c r="H56" s="18" t="str">
        <f>IF(H5=0,"0",IF(AND(Results!$C$5="Protein",H$51&gt;0,OR(Results!$C$4="Tissue",Results!$C$4="Cells")),((H5)/(H$3*H$51)),IF(AND(Results!$C$5="Weight",H$50&gt;0,Results!$C$4="Tissue"),((H5)/(H$3*H$50)),IF(AND(Results!$C$5="Volume",H$52&gt;0,Results!$C$4="Fluid"),((H5)/(H$3*H$52)),IF(AND(Results!$C$4="Cells",Results!$C$5="Million"),((H5)/(H$3*H$50)),"-")))))</f>
        <v>0</v>
      </c>
      <c r="I56" s="18" t="str">
        <f>IF(I5=0,"0",IF(AND(Results!$C$5="Protein",I$51&gt;0,OR(Results!$C$4="Tissue",Results!$C$4="Cells")),((I5)/(I$3*I$51)),IF(AND(Results!$C$5="Weight",I$50&gt;0,Results!$C$4="Tissue"),((I5)/(I$3*I$50)),IF(AND(Results!$C$5="Volume",I$52&gt;0,Results!$C$4="Fluid"),((I5)/(I$3*I$52)),IF(AND(Results!$C$4="Cells",Results!$C$5="Million"),((I5)/(I$3*I$50)),"-")))))</f>
        <v>0</v>
      </c>
      <c r="J56" s="18" t="str">
        <f>IF(J5=0,"0",IF(AND(Results!$C$5="Protein",J$51&gt;0,OR(Results!$C$4="Tissue",Results!$C$4="Cells")),((J5)/(J$3*J$51)),IF(AND(Results!$C$5="Weight",J$50&gt;0,Results!$C$4="Tissue"),((J5)/(J$3*J$50)),IF(AND(Results!$C$5="Volume",J$52&gt;0,Results!$C$4="Fluid"),((J5)/(J$3*J$52)),IF(AND(Results!$C$4="Cells",Results!$C$5="Million"),((J5)/(J$3*J$50)),"-")))))</f>
        <v>0</v>
      </c>
      <c r="K56" s="18" t="str">
        <f>IF(K5=0,"0",IF(AND(Results!$C$5="Protein",K$51&gt;0,OR(Results!$C$4="Tissue",Results!$C$4="Cells")),((K5)/(K$3*K$51)),IF(AND(Results!$C$5="Weight",K$50&gt;0,Results!$C$4="Tissue"),((K5)/(K$3*K$50)),IF(AND(Results!$C$5="Volume",K$52&gt;0,Results!$C$4="Fluid"),((K5)/(K$3*K$52)),IF(AND(Results!$C$4="Cells",Results!$C$5="Million"),((K5)/(K$3*K$50)),"-")))))</f>
        <v>0</v>
      </c>
      <c r="L56" s="18" t="str">
        <f>IF(L5=0,"0",IF(AND(Results!$C$5="Protein",L$51&gt;0,OR(Results!$C$4="Tissue",Results!$C$4="Cells")),((L5)/(L$3*L$51)),IF(AND(Results!$C$5="Weight",L$50&gt;0,Results!$C$4="Tissue"),((L5)/(L$3*L$50)),IF(AND(Results!$C$5="Volume",L$52&gt;0,Results!$C$4="Fluid"),((L5)/(L$3*L$52)),IF(AND(Results!$C$4="Cells",Results!$C$5="Million"),((L5)/(L$3*L$50)),"-")))))</f>
        <v>0</v>
      </c>
      <c r="M56" s="18" t="str">
        <f>IF(M5=0,"0",IF(AND(Results!$C$5="Protein",M$51&gt;0,OR(Results!$C$4="Tissue",Results!$C$4="Cells")),((M5)/(M$3*M$51)),IF(AND(Results!$C$5="Weight",M$50&gt;0,Results!$C$4="Tissue"),((M5)/(M$3*M$50)),IF(AND(Results!$C$5="Volume",M$52&gt;0,Results!$C$4="Fluid"),((M5)/(M$3*M$52)),IF(AND(Results!$C$4="Cells",Results!$C$5="Million"),((M5)/(M$3*M$50)),"-")))))</f>
        <v>0</v>
      </c>
      <c r="N56" s="18" t="str">
        <f>IF(N5=0,"0",IF(AND(Results!$C$5="Protein",N$51&gt;0,OR(Results!$C$4="Tissue",Results!$C$4="Cells")),((N5)/(N$3*N$51)),IF(AND(Results!$C$5="Weight",N$50&gt;0,Results!$C$4="Tissue"),((N5)/(N$3*N$50)),IF(AND(Results!$C$5="Volume",N$52&gt;0,Results!$C$4="Fluid"),((N5)/(N$3*N$52)),IF(AND(Results!$C$4="Cells",Results!$C$5="Million"),((N5)/(N$3*N$50)),"-")))))</f>
        <v>0</v>
      </c>
      <c r="O56" s="18" t="str">
        <f>IF(O5=0,"0",IF(AND(Results!$C$5="Protein",O$51&gt;0,OR(Results!$C$4="Tissue",Results!$C$4="Cells")),((O5)/(O$3*O$51)),IF(AND(Results!$C$5="Weight",O$50&gt;0,Results!$C$4="Tissue"),((O5)/(O$3*O$50)),IF(AND(Results!$C$5="Volume",O$52&gt;0,Results!$C$4="Fluid"),((O5)/(O$3*O$52)),IF(AND(Results!$C$4="Cells",Results!$C$5="Million"),((O5)/(O$3*O$50)),"-")))))</f>
        <v>0</v>
      </c>
      <c r="P56" s="18" t="str">
        <f>IF(P5=0,"0",IF(AND(Results!$C$5="Protein",P$51&gt;0,OR(Results!$C$4="Tissue",Results!$C$4="Cells")),((P5)/(P$3*P$51)),IF(AND(Results!$C$5="Weight",P$50&gt;0,Results!$C$4="Tissue"),((P5)/(P$3*P$50)),IF(AND(Results!$C$5="Volume",P$52&gt;0,Results!$C$4="Fluid"),((P5)/(P$3*P$52)),IF(AND(Results!$C$4="Cells",Results!$C$5="Million"),((P5)/(P$3*P$50)),"-")))))</f>
        <v>0</v>
      </c>
      <c r="Q56" s="18" t="str">
        <f>IF(Q5=0,"0",IF(AND(Results!$C$5="Protein",Q$51&gt;0,OR(Results!$C$4="Tissue",Results!$C$4="Cells")),((Q5)/(Q$3*Q$51)),IF(AND(Results!$C$5="Weight",Q$50&gt;0,Results!$C$4="Tissue"),((Q5)/(Q$3*Q$50)),IF(AND(Results!$C$5="Volume",Q$52&gt;0,Results!$C$4="Fluid"),((Q5)/(Q$3*Q$52)),IF(AND(Results!$C$4="Cells",Results!$C$5="Million"),((Q5)/(Q$3*Q$50)),"-")))))</f>
        <v>0</v>
      </c>
      <c r="R56" s="18" t="str">
        <f>IF(R5=0,"0",IF(AND(Results!$C$5="Protein",R$51&gt;0,OR(Results!$C$4="Tissue",Results!$C$4="Cells")),((R5)/(R$3*R$51)),IF(AND(Results!$C$5="Weight",R$50&gt;0,Results!$C$4="Tissue"),((R5)/(R$3*R$50)),IF(AND(Results!$C$5="Volume",R$52&gt;0,Results!$C$4="Fluid"),((R5)/(R$3*R$52)),IF(AND(Results!$C$4="Cells",Results!$C$5="Million"),((R5)/(R$3*R$50)),"-")))))</f>
        <v>0</v>
      </c>
      <c r="S56" s="18" t="str">
        <f>IF(S5=0,"0",IF(AND(Results!$C$5="Protein",S$51&gt;0,OR(Results!$C$4="Tissue",Results!$C$4="Cells")),((S5)/(S$3*S$51)),IF(AND(Results!$C$5="Weight",S$50&gt;0,Results!$C$4="Tissue"),((S5)/(S$3*S$50)),IF(AND(Results!$C$5="Volume",S$52&gt;0,Results!$C$4="Fluid"),((S5)/(S$3*S$52)),IF(AND(Results!$C$4="Cells",Results!$C$5="Million"),((S5)/(S$3*S$50)),"-")))))</f>
        <v>0</v>
      </c>
      <c r="T56" s="18" t="str">
        <f>IF(T5=0,"0",IF(AND(Results!$C$5="Protein",T$51&gt;0,OR(Results!$C$4="Tissue",Results!$C$4="Cells")),((T5)/(T$3*T$51)),IF(AND(Results!$C$5="Weight",T$50&gt;0,Results!$C$4="Tissue"),((T5)/(T$3*T$50)),IF(AND(Results!$C$5="Volume",T$52&gt;0,Results!$C$4="Fluid"),((T5)/(T$3*T$52)),IF(AND(Results!$C$4="Cells",Results!$C$5="Million"),((T5)/(T$3*T$50)),"-")))))</f>
        <v>0</v>
      </c>
      <c r="U56" s="18" t="str">
        <f>IF(U5=0,"0",IF(AND(Results!$C$5="Protein",U$51&gt;0,OR(Results!$C$4="Tissue",Results!$C$4="Cells")),((U5)/(U$3*U$51)),IF(AND(Results!$C$5="Weight",U$50&gt;0,Results!$C$4="Tissue"),((U5)/(U$3*U$50)),IF(AND(Results!$C$5="Volume",U$52&gt;0,Results!$C$4="Fluid"),((U5)/(U$3*U$52)),IF(AND(Results!$C$4="Cells",Results!$C$5="Million"),((U5)/(U$3*U$50)),"-")))))</f>
        <v>0</v>
      </c>
      <c r="V56" s="18" t="str">
        <f>IF(V5=0,"0",IF(AND(Results!$C$5="Protein",V$51&gt;0,OR(Results!$C$4="Tissue",Results!$C$4="Cells")),((V5)/(V$3*V$51)),IF(AND(Results!$C$5="Weight",V$50&gt;0,Results!$C$4="Tissue"),((V5)/(V$3*V$50)),IF(AND(Results!$C$5="Volume",V$52&gt;0,Results!$C$4="Fluid"),((V5)/(V$3*V$52)),IF(AND(Results!$C$4="Cells",Results!$C$5="Million"),((V5)/(V$3*V$50)),"-")))))</f>
        <v>0</v>
      </c>
    </row>
    <row r="57" spans="1:22" x14ac:dyDescent="0.25">
      <c r="A57" s="64" t="str">
        <f t="shared" si="0"/>
        <v>L_C11_0</v>
      </c>
      <c r="B57" s="64"/>
      <c r="C57" s="18" t="str">
        <f>IF(C6=0,"0",IF(AND(Results!$C$5="Protein",C$51&gt;0,OR(Results!$C$4="Tissue",Results!$C$4="Cells")),((C6)/(C$3*C$51)),IF(AND(Results!$C$5="Weight",C$50&gt;0,Results!$C$4="Tissue"),((C6)/(C$3*C$50)),IF(AND(Results!$C$5="Volume",C$52&gt;0,Results!$C$4="Fluid"),((C6)/(C$3*C$52)),IF(AND(Results!$C$4="Cells",Results!$C$5="Million"),((C6)/(C$3*C$50)),"-")))))</f>
        <v>0</v>
      </c>
      <c r="D57" s="18" t="str">
        <f>IF(D6=0,"0",IF(AND(Results!$C$5="Protein",D$51&gt;0,OR(Results!$C$4="Tissue",Results!$C$4="Cells")),((D6)/(D$3*D$51)),IF(AND(Results!$C$5="Weight",D$50&gt;0,Results!$C$4="Tissue"),((D6)/(D$3*D$50)),IF(AND(Results!$C$5="Volume",D$52&gt;0,Results!$C$4="Fluid"),((D6)/(D$3*D$52)),IF(AND(Results!$C$4="Cells",Results!$C$5="Million"),((D6)/(D$3*D$50)),"-")))))</f>
        <v>0</v>
      </c>
      <c r="E57" s="18" t="str">
        <f>IF(E6=0,"0",IF(AND(Results!$C$5="Protein",E$51&gt;0,OR(Results!$C$4="Tissue",Results!$C$4="Cells")),((E6)/(E$3*E$51)),IF(AND(Results!$C$5="Weight",E$50&gt;0,Results!$C$4="Tissue"),((E6)/(E$3*E$50)),IF(AND(Results!$C$5="Volume",E$52&gt;0,Results!$C$4="Fluid"),((E6)/(E$3*E$52)),IF(AND(Results!$C$4="Cells",Results!$C$5="Million"),((E6)/(E$3*E$50)),"-")))))</f>
        <v>0</v>
      </c>
      <c r="F57" s="18" t="str">
        <f>IF(F6=0,"0",IF(AND(Results!$C$5="Protein",F$51&gt;0,OR(Results!$C$4="Tissue",Results!$C$4="Cells")),((F6)/(F$3*F$51)),IF(AND(Results!$C$5="Weight",F$50&gt;0,Results!$C$4="Tissue"),((F6)/(F$3*F$50)),IF(AND(Results!$C$5="Volume",F$52&gt;0,Results!$C$4="Fluid"),((F6)/(F$3*F$52)),IF(AND(Results!$C$4="Cells",Results!$C$5="Million"),((F6)/(F$3*F$50)),"-")))))</f>
        <v>0</v>
      </c>
      <c r="G57" s="18" t="str">
        <f>IF(G6=0,"0",IF(AND(Results!$C$5="Protein",G$51&gt;0,OR(Results!$C$4="Tissue",Results!$C$4="Cells")),((G6)/(G$3*G$51)),IF(AND(Results!$C$5="Weight",G$50&gt;0,Results!$C$4="Tissue"),((G6)/(G$3*G$50)),IF(AND(Results!$C$5="Volume",G$52&gt;0,Results!$C$4="Fluid"),((G6)/(G$3*G$52)),IF(AND(Results!$C$4="Cells",Results!$C$5="Million"),((G6)/(G$3*G$50)),"-")))))</f>
        <v>0</v>
      </c>
      <c r="H57" s="18" t="str">
        <f>IF(H6=0,"0",IF(AND(Results!$C$5="Protein",H$51&gt;0,OR(Results!$C$4="Tissue",Results!$C$4="Cells")),((H6)/(H$3*H$51)),IF(AND(Results!$C$5="Weight",H$50&gt;0,Results!$C$4="Tissue"),((H6)/(H$3*H$50)),IF(AND(Results!$C$5="Volume",H$52&gt;0,Results!$C$4="Fluid"),((H6)/(H$3*H$52)),IF(AND(Results!$C$4="Cells",Results!$C$5="Million"),((H6)/(H$3*H$50)),"-")))))</f>
        <v>0</v>
      </c>
      <c r="I57" s="18" t="str">
        <f>IF(I6=0,"0",IF(AND(Results!$C$5="Protein",I$51&gt;0,OR(Results!$C$4="Tissue",Results!$C$4="Cells")),((I6)/(I$3*I$51)),IF(AND(Results!$C$5="Weight",I$50&gt;0,Results!$C$4="Tissue"),((I6)/(I$3*I$50)),IF(AND(Results!$C$5="Volume",I$52&gt;0,Results!$C$4="Fluid"),((I6)/(I$3*I$52)),IF(AND(Results!$C$4="Cells",Results!$C$5="Million"),((I6)/(I$3*I$50)),"-")))))</f>
        <v>0</v>
      </c>
      <c r="J57" s="18" t="str">
        <f>IF(J6=0,"0",IF(AND(Results!$C$5="Protein",J$51&gt;0,OR(Results!$C$4="Tissue",Results!$C$4="Cells")),((J6)/(J$3*J$51)),IF(AND(Results!$C$5="Weight",J$50&gt;0,Results!$C$4="Tissue"),((J6)/(J$3*J$50)),IF(AND(Results!$C$5="Volume",J$52&gt;0,Results!$C$4="Fluid"),((J6)/(J$3*J$52)),IF(AND(Results!$C$4="Cells",Results!$C$5="Million"),((J6)/(J$3*J$50)),"-")))))</f>
        <v>0</v>
      </c>
      <c r="K57" s="18" t="str">
        <f>IF(K6=0,"0",IF(AND(Results!$C$5="Protein",K$51&gt;0,OR(Results!$C$4="Tissue",Results!$C$4="Cells")),((K6)/(K$3*K$51)),IF(AND(Results!$C$5="Weight",K$50&gt;0,Results!$C$4="Tissue"),((K6)/(K$3*K$50)),IF(AND(Results!$C$5="Volume",K$52&gt;0,Results!$C$4="Fluid"),((K6)/(K$3*K$52)),IF(AND(Results!$C$4="Cells",Results!$C$5="Million"),((K6)/(K$3*K$50)),"-")))))</f>
        <v>0</v>
      </c>
      <c r="L57" s="18" t="str">
        <f>IF(L6=0,"0",IF(AND(Results!$C$5="Protein",L$51&gt;0,OR(Results!$C$4="Tissue",Results!$C$4="Cells")),((L6)/(L$3*L$51)),IF(AND(Results!$C$5="Weight",L$50&gt;0,Results!$C$4="Tissue"),((L6)/(L$3*L$50)),IF(AND(Results!$C$5="Volume",L$52&gt;0,Results!$C$4="Fluid"),((L6)/(L$3*L$52)),IF(AND(Results!$C$4="Cells",Results!$C$5="Million"),((L6)/(L$3*L$50)),"-")))))</f>
        <v>0</v>
      </c>
      <c r="M57" s="18" t="str">
        <f>IF(M6=0,"0",IF(AND(Results!$C$5="Protein",M$51&gt;0,OR(Results!$C$4="Tissue",Results!$C$4="Cells")),((M6)/(M$3*M$51)),IF(AND(Results!$C$5="Weight",M$50&gt;0,Results!$C$4="Tissue"),((M6)/(M$3*M$50)),IF(AND(Results!$C$5="Volume",M$52&gt;0,Results!$C$4="Fluid"),((M6)/(M$3*M$52)),IF(AND(Results!$C$4="Cells",Results!$C$5="Million"),((M6)/(M$3*M$50)),"-")))))</f>
        <v>0</v>
      </c>
      <c r="N57" s="18" t="str">
        <f>IF(N6=0,"0",IF(AND(Results!$C$5="Protein",N$51&gt;0,OR(Results!$C$4="Tissue",Results!$C$4="Cells")),((N6)/(N$3*N$51)),IF(AND(Results!$C$5="Weight",N$50&gt;0,Results!$C$4="Tissue"),((N6)/(N$3*N$50)),IF(AND(Results!$C$5="Volume",N$52&gt;0,Results!$C$4="Fluid"),((N6)/(N$3*N$52)),IF(AND(Results!$C$4="Cells",Results!$C$5="Million"),((N6)/(N$3*N$50)),"-")))))</f>
        <v>0</v>
      </c>
      <c r="O57" s="18" t="str">
        <f>IF(O6=0,"0",IF(AND(Results!$C$5="Protein",O$51&gt;0,OR(Results!$C$4="Tissue",Results!$C$4="Cells")),((O6)/(O$3*O$51)),IF(AND(Results!$C$5="Weight",O$50&gt;0,Results!$C$4="Tissue"),((O6)/(O$3*O$50)),IF(AND(Results!$C$5="Volume",O$52&gt;0,Results!$C$4="Fluid"),((O6)/(O$3*O$52)),IF(AND(Results!$C$4="Cells",Results!$C$5="Million"),((O6)/(O$3*O$50)),"-")))))</f>
        <v>0</v>
      </c>
      <c r="P57" s="18" t="str">
        <f>IF(P6=0,"0",IF(AND(Results!$C$5="Protein",P$51&gt;0,OR(Results!$C$4="Tissue",Results!$C$4="Cells")),((P6)/(P$3*P$51)),IF(AND(Results!$C$5="Weight",P$50&gt;0,Results!$C$4="Tissue"),((P6)/(P$3*P$50)),IF(AND(Results!$C$5="Volume",P$52&gt;0,Results!$C$4="Fluid"),((P6)/(P$3*P$52)),IF(AND(Results!$C$4="Cells",Results!$C$5="Million"),((P6)/(P$3*P$50)),"-")))))</f>
        <v>0</v>
      </c>
      <c r="Q57" s="18" t="str">
        <f>IF(Q6=0,"0",IF(AND(Results!$C$5="Protein",Q$51&gt;0,OR(Results!$C$4="Tissue",Results!$C$4="Cells")),((Q6)/(Q$3*Q$51)),IF(AND(Results!$C$5="Weight",Q$50&gt;0,Results!$C$4="Tissue"),((Q6)/(Q$3*Q$50)),IF(AND(Results!$C$5="Volume",Q$52&gt;0,Results!$C$4="Fluid"),((Q6)/(Q$3*Q$52)),IF(AND(Results!$C$4="Cells",Results!$C$5="Million"),((Q6)/(Q$3*Q$50)),"-")))))</f>
        <v>0</v>
      </c>
      <c r="R57" s="18" t="str">
        <f>IF(R6=0,"0",IF(AND(Results!$C$5="Protein",R$51&gt;0,OR(Results!$C$4="Tissue",Results!$C$4="Cells")),((R6)/(R$3*R$51)),IF(AND(Results!$C$5="Weight",R$50&gt;0,Results!$C$4="Tissue"),((R6)/(R$3*R$50)),IF(AND(Results!$C$5="Volume",R$52&gt;0,Results!$C$4="Fluid"),((R6)/(R$3*R$52)),IF(AND(Results!$C$4="Cells",Results!$C$5="Million"),((R6)/(R$3*R$50)),"-")))))</f>
        <v>0</v>
      </c>
      <c r="S57" s="18" t="str">
        <f>IF(S6=0,"0",IF(AND(Results!$C$5="Protein",S$51&gt;0,OR(Results!$C$4="Tissue",Results!$C$4="Cells")),((S6)/(S$3*S$51)),IF(AND(Results!$C$5="Weight",S$50&gt;0,Results!$C$4="Tissue"),((S6)/(S$3*S$50)),IF(AND(Results!$C$5="Volume",S$52&gt;0,Results!$C$4="Fluid"),((S6)/(S$3*S$52)),IF(AND(Results!$C$4="Cells",Results!$C$5="Million"),((S6)/(S$3*S$50)),"-")))))</f>
        <v>0</v>
      </c>
      <c r="T57" s="18" t="str">
        <f>IF(T6=0,"0",IF(AND(Results!$C$5="Protein",T$51&gt;0,OR(Results!$C$4="Tissue",Results!$C$4="Cells")),((T6)/(T$3*T$51)),IF(AND(Results!$C$5="Weight",T$50&gt;0,Results!$C$4="Tissue"),((T6)/(T$3*T$50)),IF(AND(Results!$C$5="Volume",T$52&gt;0,Results!$C$4="Fluid"),((T6)/(T$3*T$52)),IF(AND(Results!$C$4="Cells",Results!$C$5="Million"),((T6)/(T$3*T$50)),"-")))))</f>
        <v>0</v>
      </c>
      <c r="U57" s="18" t="str">
        <f>IF(U6=0,"0",IF(AND(Results!$C$5="Protein",U$51&gt;0,OR(Results!$C$4="Tissue",Results!$C$4="Cells")),((U6)/(U$3*U$51)),IF(AND(Results!$C$5="Weight",U$50&gt;0,Results!$C$4="Tissue"),((U6)/(U$3*U$50)),IF(AND(Results!$C$5="Volume",U$52&gt;0,Results!$C$4="Fluid"),((U6)/(U$3*U$52)),IF(AND(Results!$C$4="Cells",Results!$C$5="Million"),((U6)/(U$3*U$50)),"-")))))</f>
        <v>0</v>
      </c>
      <c r="V57" s="18" t="str">
        <f>IF(V6=0,"0",IF(AND(Results!$C$5="Protein",V$51&gt;0,OR(Results!$C$4="Tissue",Results!$C$4="Cells")),((V6)/(V$3*V$51)),IF(AND(Results!$C$5="Weight",V$50&gt;0,Results!$C$4="Tissue"),((V6)/(V$3*V$50)),IF(AND(Results!$C$5="Volume",V$52&gt;0,Results!$C$4="Fluid"),((V6)/(V$3*V$52)),IF(AND(Results!$C$4="Cells",Results!$C$5="Million"),((V6)/(V$3*V$50)),"-")))))</f>
        <v>0</v>
      </c>
    </row>
    <row r="58" spans="1:22" x14ac:dyDescent="0.25">
      <c r="A58" s="64" t="str">
        <f t="shared" si="0"/>
        <v>L_C12_0</v>
      </c>
      <c r="B58" s="64"/>
      <c r="C58" s="18" t="str">
        <f>IF(C7=0,"0",IF(AND(Results!$C$5="Protein",C$51&gt;0,OR(Results!$C$4="Tissue",Results!$C$4="Cells")),((C7)/(C$3*C$51)),IF(AND(Results!$C$5="Weight",C$50&gt;0,Results!$C$4="Tissue"),((C7)/(C$3*C$50)),IF(AND(Results!$C$5="Volume",C$52&gt;0,Results!$C$4="Fluid"),((C7)/(C$3*C$52)),IF(AND(Results!$C$4="Cells",Results!$C$5="Million"),((C7)/(C$3*C$50)),"-")))))</f>
        <v>0</v>
      </c>
      <c r="D58" s="18" t="str">
        <f>IF(D7=0,"0",IF(AND(Results!$C$5="Protein",D$51&gt;0,OR(Results!$C$4="Tissue",Results!$C$4="Cells")),((D7)/(D$3*D$51)),IF(AND(Results!$C$5="Weight",D$50&gt;0,Results!$C$4="Tissue"),((D7)/(D$3*D$50)),IF(AND(Results!$C$5="Volume",D$52&gt;0,Results!$C$4="Fluid"),((D7)/(D$3*D$52)),IF(AND(Results!$C$4="Cells",Results!$C$5="Million"),((D7)/(D$3*D$50)),"-")))))</f>
        <v>0</v>
      </c>
      <c r="E58" s="18" t="str">
        <f>IF(E7=0,"0",IF(AND(Results!$C$5="Protein",E$51&gt;0,OR(Results!$C$4="Tissue",Results!$C$4="Cells")),((E7)/(E$3*E$51)),IF(AND(Results!$C$5="Weight",E$50&gt;0,Results!$C$4="Tissue"),((E7)/(E$3*E$50)),IF(AND(Results!$C$5="Volume",E$52&gt;0,Results!$C$4="Fluid"),((E7)/(E$3*E$52)),IF(AND(Results!$C$4="Cells",Results!$C$5="Million"),((E7)/(E$3*E$50)),"-")))))</f>
        <v>0</v>
      </c>
      <c r="F58" s="18" t="str">
        <f>IF(F7=0,"0",IF(AND(Results!$C$5="Protein",F$51&gt;0,OR(Results!$C$4="Tissue",Results!$C$4="Cells")),((F7)/(F$3*F$51)),IF(AND(Results!$C$5="Weight",F$50&gt;0,Results!$C$4="Tissue"),((F7)/(F$3*F$50)),IF(AND(Results!$C$5="Volume",F$52&gt;0,Results!$C$4="Fluid"),((F7)/(F$3*F$52)),IF(AND(Results!$C$4="Cells",Results!$C$5="Million"),((F7)/(F$3*F$50)),"-")))))</f>
        <v>0</v>
      </c>
      <c r="G58" s="18" t="str">
        <f>IF(G7=0,"0",IF(AND(Results!$C$5="Protein",G$51&gt;0,OR(Results!$C$4="Tissue",Results!$C$4="Cells")),((G7)/(G$3*G$51)),IF(AND(Results!$C$5="Weight",G$50&gt;0,Results!$C$4="Tissue"),((G7)/(G$3*G$50)),IF(AND(Results!$C$5="Volume",G$52&gt;0,Results!$C$4="Fluid"),((G7)/(G$3*G$52)),IF(AND(Results!$C$4="Cells",Results!$C$5="Million"),((G7)/(G$3*G$50)),"-")))))</f>
        <v>0</v>
      </c>
      <c r="H58" s="18" t="str">
        <f>IF(H7=0,"0",IF(AND(Results!$C$5="Protein",H$51&gt;0,OR(Results!$C$4="Tissue",Results!$C$4="Cells")),((H7)/(H$3*H$51)),IF(AND(Results!$C$5="Weight",H$50&gt;0,Results!$C$4="Tissue"),((H7)/(H$3*H$50)),IF(AND(Results!$C$5="Volume",H$52&gt;0,Results!$C$4="Fluid"),((H7)/(H$3*H$52)),IF(AND(Results!$C$4="Cells",Results!$C$5="Million"),((H7)/(H$3*H$50)),"-")))))</f>
        <v>0</v>
      </c>
      <c r="I58" s="18" t="str">
        <f>IF(I7=0,"0",IF(AND(Results!$C$5="Protein",I$51&gt;0,OR(Results!$C$4="Tissue",Results!$C$4="Cells")),((I7)/(I$3*I$51)),IF(AND(Results!$C$5="Weight",I$50&gt;0,Results!$C$4="Tissue"),((I7)/(I$3*I$50)),IF(AND(Results!$C$5="Volume",I$52&gt;0,Results!$C$4="Fluid"),((I7)/(I$3*I$52)),IF(AND(Results!$C$4="Cells",Results!$C$5="Million"),((I7)/(I$3*I$50)),"-")))))</f>
        <v>0</v>
      </c>
      <c r="J58" s="18" t="str">
        <f>IF(J7=0,"0",IF(AND(Results!$C$5="Protein",J$51&gt;0,OR(Results!$C$4="Tissue",Results!$C$4="Cells")),((J7)/(J$3*J$51)),IF(AND(Results!$C$5="Weight",J$50&gt;0,Results!$C$4="Tissue"),((J7)/(J$3*J$50)),IF(AND(Results!$C$5="Volume",J$52&gt;0,Results!$C$4="Fluid"),((J7)/(J$3*J$52)),IF(AND(Results!$C$4="Cells",Results!$C$5="Million"),((J7)/(J$3*J$50)),"-")))))</f>
        <v>0</v>
      </c>
      <c r="K58" s="18" t="str">
        <f>IF(K7=0,"0",IF(AND(Results!$C$5="Protein",K$51&gt;0,OR(Results!$C$4="Tissue",Results!$C$4="Cells")),((K7)/(K$3*K$51)),IF(AND(Results!$C$5="Weight",K$50&gt;0,Results!$C$4="Tissue"),((K7)/(K$3*K$50)),IF(AND(Results!$C$5="Volume",K$52&gt;0,Results!$C$4="Fluid"),((K7)/(K$3*K$52)),IF(AND(Results!$C$4="Cells",Results!$C$5="Million"),((K7)/(K$3*K$50)),"-")))))</f>
        <v>0</v>
      </c>
      <c r="L58" s="18" t="str">
        <f>IF(L7=0,"0",IF(AND(Results!$C$5="Protein",L$51&gt;0,OR(Results!$C$4="Tissue",Results!$C$4="Cells")),((L7)/(L$3*L$51)),IF(AND(Results!$C$5="Weight",L$50&gt;0,Results!$C$4="Tissue"),((L7)/(L$3*L$50)),IF(AND(Results!$C$5="Volume",L$52&gt;0,Results!$C$4="Fluid"),((L7)/(L$3*L$52)),IF(AND(Results!$C$4="Cells",Results!$C$5="Million"),((L7)/(L$3*L$50)),"-")))))</f>
        <v>0</v>
      </c>
      <c r="M58" s="18" t="str">
        <f>IF(M7=0,"0",IF(AND(Results!$C$5="Protein",M$51&gt;0,OR(Results!$C$4="Tissue",Results!$C$4="Cells")),((M7)/(M$3*M$51)),IF(AND(Results!$C$5="Weight",M$50&gt;0,Results!$C$4="Tissue"),((M7)/(M$3*M$50)),IF(AND(Results!$C$5="Volume",M$52&gt;0,Results!$C$4="Fluid"),((M7)/(M$3*M$52)),IF(AND(Results!$C$4="Cells",Results!$C$5="Million"),((M7)/(M$3*M$50)),"-")))))</f>
        <v>0</v>
      </c>
      <c r="N58" s="18" t="str">
        <f>IF(N7=0,"0",IF(AND(Results!$C$5="Protein",N$51&gt;0,OR(Results!$C$4="Tissue",Results!$C$4="Cells")),((N7)/(N$3*N$51)),IF(AND(Results!$C$5="Weight",N$50&gt;0,Results!$C$4="Tissue"),((N7)/(N$3*N$50)),IF(AND(Results!$C$5="Volume",N$52&gt;0,Results!$C$4="Fluid"),((N7)/(N$3*N$52)),IF(AND(Results!$C$4="Cells",Results!$C$5="Million"),((N7)/(N$3*N$50)),"-")))))</f>
        <v>0</v>
      </c>
      <c r="O58" s="18" t="str">
        <f>IF(O7=0,"0",IF(AND(Results!$C$5="Protein",O$51&gt;0,OR(Results!$C$4="Tissue",Results!$C$4="Cells")),((O7)/(O$3*O$51)),IF(AND(Results!$C$5="Weight",O$50&gt;0,Results!$C$4="Tissue"),((O7)/(O$3*O$50)),IF(AND(Results!$C$5="Volume",O$52&gt;0,Results!$C$4="Fluid"),((O7)/(O$3*O$52)),IF(AND(Results!$C$4="Cells",Results!$C$5="Million"),((O7)/(O$3*O$50)),"-")))))</f>
        <v>0</v>
      </c>
      <c r="P58" s="18" t="str">
        <f>IF(P7=0,"0",IF(AND(Results!$C$5="Protein",P$51&gt;0,OR(Results!$C$4="Tissue",Results!$C$4="Cells")),((P7)/(P$3*P$51)),IF(AND(Results!$C$5="Weight",P$50&gt;0,Results!$C$4="Tissue"),((P7)/(P$3*P$50)),IF(AND(Results!$C$5="Volume",P$52&gt;0,Results!$C$4="Fluid"),((P7)/(P$3*P$52)),IF(AND(Results!$C$4="Cells",Results!$C$5="Million"),((P7)/(P$3*P$50)),"-")))))</f>
        <v>0</v>
      </c>
      <c r="Q58" s="18" t="str">
        <f>IF(Q7=0,"0",IF(AND(Results!$C$5="Protein",Q$51&gt;0,OR(Results!$C$4="Tissue",Results!$C$4="Cells")),((Q7)/(Q$3*Q$51)),IF(AND(Results!$C$5="Weight",Q$50&gt;0,Results!$C$4="Tissue"),((Q7)/(Q$3*Q$50)),IF(AND(Results!$C$5="Volume",Q$52&gt;0,Results!$C$4="Fluid"),((Q7)/(Q$3*Q$52)),IF(AND(Results!$C$4="Cells",Results!$C$5="Million"),((Q7)/(Q$3*Q$50)),"-")))))</f>
        <v>0</v>
      </c>
      <c r="R58" s="18" t="str">
        <f>IF(R7=0,"0",IF(AND(Results!$C$5="Protein",R$51&gt;0,OR(Results!$C$4="Tissue",Results!$C$4="Cells")),((R7)/(R$3*R$51)),IF(AND(Results!$C$5="Weight",R$50&gt;0,Results!$C$4="Tissue"),((R7)/(R$3*R$50)),IF(AND(Results!$C$5="Volume",R$52&gt;0,Results!$C$4="Fluid"),((R7)/(R$3*R$52)),IF(AND(Results!$C$4="Cells",Results!$C$5="Million"),((R7)/(R$3*R$50)),"-")))))</f>
        <v>0</v>
      </c>
      <c r="S58" s="18" t="str">
        <f>IF(S7=0,"0",IF(AND(Results!$C$5="Protein",S$51&gt;0,OR(Results!$C$4="Tissue",Results!$C$4="Cells")),((S7)/(S$3*S$51)),IF(AND(Results!$C$5="Weight",S$50&gt;0,Results!$C$4="Tissue"),((S7)/(S$3*S$50)),IF(AND(Results!$C$5="Volume",S$52&gt;0,Results!$C$4="Fluid"),((S7)/(S$3*S$52)),IF(AND(Results!$C$4="Cells",Results!$C$5="Million"),((S7)/(S$3*S$50)),"-")))))</f>
        <v>0</v>
      </c>
      <c r="T58" s="18" t="str">
        <f>IF(T7=0,"0",IF(AND(Results!$C$5="Protein",T$51&gt;0,OR(Results!$C$4="Tissue",Results!$C$4="Cells")),((T7)/(T$3*T$51)),IF(AND(Results!$C$5="Weight",T$50&gt;0,Results!$C$4="Tissue"),((T7)/(T$3*T$50)),IF(AND(Results!$C$5="Volume",T$52&gt;0,Results!$C$4="Fluid"),((T7)/(T$3*T$52)),IF(AND(Results!$C$4="Cells",Results!$C$5="Million"),((T7)/(T$3*T$50)),"-")))))</f>
        <v>0</v>
      </c>
      <c r="U58" s="18" t="str">
        <f>IF(U7=0,"0",IF(AND(Results!$C$5="Protein",U$51&gt;0,OR(Results!$C$4="Tissue",Results!$C$4="Cells")),((U7)/(U$3*U$51)),IF(AND(Results!$C$5="Weight",U$50&gt;0,Results!$C$4="Tissue"),((U7)/(U$3*U$50)),IF(AND(Results!$C$5="Volume",U$52&gt;0,Results!$C$4="Fluid"),((U7)/(U$3*U$52)),IF(AND(Results!$C$4="Cells",Results!$C$5="Million"),((U7)/(U$3*U$50)),"-")))))</f>
        <v>0</v>
      </c>
      <c r="V58" s="18" t="str">
        <f>IF(V7=0,"0",IF(AND(Results!$C$5="Protein",V$51&gt;0,OR(Results!$C$4="Tissue",Results!$C$4="Cells")),((V7)/(V$3*V$51)),IF(AND(Results!$C$5="Weight",V$50&gt;0,Results!$C$4="Tissue"),((V7)/(V$3*V$50)),IF(AND(Results!$C$5="Volume",V$52&gt;0,Results!$C$4="Fluid"),((V7)/(V$3*V$52)),IF(AND(Results!$C$4="Cells",Results!$C$5="Million"),((V7)/(V$3*V$50)),"-")))))</f>
        <v>0</v>
      </c>
    </row>
    <row r="59" spans="1:22" x14ac:dyDescent="0.25">
      <c r="A59" s="64" t="str">
        <f t="shared" si="0"/>
        <v>L_C13_0</v>
      </c>
      <c r="B59" s="64"/>
      <c r="C59" s="18" t="str">
        <f>IF(C8=0,"0",IF(AND(Results!$C$5="Protein",C$51&gt;0,OR(Results!$C$4="Tissue",Results!$C$4="Cells")),((C8)/(C$3*C$51)),IF(AND(Results!$C$5="Weight",C$50&gt;0,Results!$C$4="Tissue"),((C8)/(C$3*C$50)),IF(AND(Results!$C$5="Volume",C$52&gt;0,Results!$C$4="Fluid"),((C8)/(C$3*C$52)),IF(AND(Results!$C$4="Cells",Results!$C$5="Million"),((C8)/(C$3*C$50)),"-")))))</f>
        <v>0</v>
      </c>
      <c r="D59" s="18" t="str">
        <f>IF(D8=0,"0",IF(AND(Results!$C$5="Protein",D$51&gt;0,OR(Results!$C$4="Tissue",Results!$C$4="Cells")),((D8)/(D$3*D$51)),IF(AND(Results!$C$5="Weight",D$50&gt;0,Results!$C$4="Tissue"),((D8)/(D$3*D$50)),IF(AND(Results!$C$5="Volume",D$52&gt;0,Results!$C$4="Fluid"),((D8)/(D$3*D$52)),IF(AND(Results!$C$4="Cells",Results!$C$5="Million"),((D8)/(D$3*D$50)),"-")))))</f>
        <v>0</v>
      </c>
      <c r="E59" s="18" t="str">
        <f>IF(E8=0,"0",IF(AND(Results!$C$5="Protein",E$51&gt;0,OR(Results!$C$4="Tissue",Results!$C$4="Cells")),((E8)/(E$3*E$51)),IF(AND(Results!$C$5="Weight",E$50&gt;0,Results!$C$4="Tissue"),((E8)/(E$3*E$50)),IF(AND(Results!$C$5="Volume",E$52&gt;0,Results!$C$4="Fluid"),((E8)/(E$3*E$52)),IF(AND(Results!$C$4="Cells",Results!$C$5="Million"),((E8)/(E$3*E$50)),"-")))))</f>
        <v>0</v>
      </c>
      <c r="F59" s="18" t="str">
        <f>IF(F8=0,"0",IF(AND(Results!$C$5="Protein",F$51&gt;0,OR(Results!$C$4="Tissue",Results!$C$4="Cells")),((F8)/(F$3*F$51)),IF(AND(Results!$C$5="Weight",F$50&gt;0,Results!$C$4="Tissue"),((F8)/(F$3*F$50)),IF(AND(Results!$C$5="Volume",F$52&gt;0,Results!$C$4="Fluid"),((F8)/(F$3*F$52)),IF(AND(Results!$C$4="Cells",Results!$C$5="Million"),((F8)/(F$3*F$50)),"-")))))</f>
        <v>0</v>
      </c>
      <c r="G59" s="18" t="str">
        <f>IF(G8=0,"0",IF(AND(Results!$C$5="Protein",G$51&gt;0,OR(Results!$C$4="Tissue",Results!$C$4="Cells")),((G8)/(G$3*G$51)),IF(AND(Results!$C$5="Weight",G$50&gt;0,Results!$C$4="Tissue"),((G8)/(G$3*G$50)),IF(AND(Results!$C$5="Volume",G$52&gt;0,Results!$C$4="Fluid"),((G8)/(G$3*G$52)),IF(AND(Results!$C$4="Cells",Results!$C$5="Million"),((G8)/(G$3*G$50)),"-")))))</f>
        <v>0</v>
      </c>
      <c r="H59" s="18" t="str">
        <f>IF(H8=0,"0",IF(AND(Results!$C$5="Protein",H$51&gt;0,OR(Results!$C$4="Tissue",Results!$C$4="Cells")),((H8)/(H$3*H$51)),IF(AND(Results!$C$5="Weight",H$50&gt;0,Results!$C$4="Tissue"),((H8)/(H$3*H$50)),IF(AND(Results!$C$5="Volume",H$52&gt;0,Results!$C$4="Fluid"),((H8)/(H$3*H$52)),IF(AND(Results!$C$4="Cells",Results!$C$5="Million"),((H8)/(H$3*H$50)),"-")))))</f>
        <v>0</v>
      </c>
      <c r="I59" s="18" t="str">
        <f>IF(I8=0,"0",IF(AND(Results!$C$5="Protein",I$51&gt;0,OR(Results!$C$4="Tissue",Results!$C$4="Cells")),((I8)/(I$3*I$51)),IF(AND(Results!$C$5="Weight",I$50&gt;0,Results!$C$4="Tissue"),((I8)/(I$3*I$50)),IF(AND(Results!$C$5="Volume",I$52&gt;0,Results!$C$4="Fluid"),((I8)/(I$3*I$52)),IF(AND(Results!$C$4="Cells",Results!$C$5="Million"),((I8)/(I$3*I$50)),"-")))))</f>
        <v>0</v>
      </c>
      <c r="J59" s="18" t="str">
        <f>IF(J8=0,"0",IF(AND(Results!$C$5="Protein",J$51&gt;0,OR(Results!$C$4="Tissue",Results!$C$4="Cells")),((J8)/(J$3*J$51)),IF(AND(Results!$C$5="Weight",J$50&gt;0,Results!$C$4="Tissue"),((J8)/(J$3*J$50)),IF(AND(Results!$C$5="Volume",J$52&gt;0,Results!$C$4="Fluid"),((J8)/(J$3*J$52)),IF(AND(Results!$C$4="Cells",Results!$C$5="Million"),((J8)/(J$3*J$50)),"-")))))</f>
        <v>0</v>
      </c>
      <c r="K59" s="18" t="str">
        <f>IF(K8=0,"0",IF(AND(Results!$C$5="Protein",K$51&gt;0,OR(Results!$C$4="Tissue",Results!$C$4="Cells")),((K8)/(K$3*K$51)),IF(AND(Results!$C$5="Weight",K$50&gt;0,Results!$C$4="Tissue"),((K8)/(K$3*K$50)),IF(AND(Results!$C$5="Volume",K$52&gt;0,Results!$C$4="Fluid"),((K8)/(K$3*K$52)),IF(AND(Results!$C$4="Cells",Results!$C$5="Million"),((K8)/(K$3*K$50)),"-")))))</f>
        <v>0</v>
      </c>
      <c r="L59" s="18" t="str">
        <f>IF(L8=0,"0",IF(AND(Results!$C$5="Protein",L$51&gt;0,OR(Results!$C$4="Tissue",Results!$C$4="Cells")),((L8)/(L$3*L$51)),IF(AND(Results!$C$5="Weight",L$50&gt;0,Results!$C$4="Tissue"),((L8)/(L$3*L$50)),IF(AND(Results!$C$5="Volume",L$52&gt;0,Results!$C$4="Fluid"),((L8)/(L$3*L$52)),IF(AND(Results!$C$4="Cells",Results!$C$5="Million"),((L8)/(L$3*L$50)),"-")))))</f>
        <v>0</v>
      </c>
      <c r="M59" s="18" t="str">
        <f>IF(M8=0,"0",IF(AND(Results!$C$5="Protein",M$51&gt;0,OR(Results!$C$4="Tissue",Results!$C$4="Cells")),((M8)/(M$3*M$51)),IF(AND(Results!$C$5="Weight",M$50&gt;0,Results!$C$4="Tissue"),((M8)/(M$3*M$50)),IF(AND(Results!$C$5="Volume",M$52&gt;0,Results!$C$4="Fluid"),((M8)/(M$3*M$52)),IF(AND(Results!$C$4="Cells",Results!$C$5="Million"),((M8)/(M$3*M$50)),"-")))))</f>
        <v>0</v>
      </c>
      <c r="N59" s="18" t="str">
        <f>IF(N8=0,"0",IF(AND(Results!$C$5="Protein",N$51&gt;0,OR(Results!$C$4="Tissue",Results!$C$4="Cells")),((N8)/(N$3*N$51)),IF(AND(Results!$C$5="Weight",N$50&gt;0,Results!$C$4="Tissue"),((N8)/(N$3*N$50)),IF(AND(Results!$C$5="Volume",N$52&gt;0,Results!$C$4="Fluid"),((N8)/(N$3*N$52)),IF(AND(Results!$C$4="Cells",Results!$C$5="Million"),((N8)/(N$3*N$50)),"-")))))</f>
        <v>0</v>
      </c>
      <c r="O59" s="18" t="str">
        <f>IF(O8=0,"0",IF(AND(Results!$C$5="Protein",O$51&gt;0,OR(Results!$C$4="Tissue",Results!$C$4="Cells")),((O8)/(O$3*O$51)),IF(AND(Results!$C$5="Weight",O$50&gt;0,Results!$C$4="Tissue"),((O8)/(O$3*O$50)),IF(AND(Results!$C$5="Volume",O$52&gt;0,Results!$C$4="Fluid"),((O8)/(O$3*O$52)),IF(AND(Results!$C$4="Cells",Results!$C$5="Million"),((O8)/(O$3*O$50)),"-")))))</f>
        <v>0</v>
      </c>
      <c r="P59" s="18" t="str">
        <f>IF(P8=0,"0",IF(AND(Results!$C$5="Protein",P$51&gt;0,OR(Results!$C$4="Tissue",Results!$C$4="Cells")),((P8)/(P$3*P$51)),IF(AND(Results!$C$5="Weight",P$50&gt;0,Results!$C$4="Tissue"),((P8)/(P$3*P$50)),IF(AND(Results!$C$5="Volume",P$52&gt;0,Results!$C$4="Fluid"),((P8)/(P$3*P$52)),IF(AND(Results!$C$4="Cells",Results!$C$5="Million"),((P8)/(P$3*P$50)),"-")))))</f>
        <v>0</v>
      </c>
      <c r="Q59" s="18" t="str">
        <f>IF(Q8=0,"0",IF(AND(Results!$C$5="Protein",Q$51&gt;0,OR(Results!$C$4="Tissue",Results!$C$4="Cells")),((Q8)/(Q$3*Q$51)),IF(AND(Results!$C$5="Weight",Q$50&gt;0,Results!$C$4="Tissue"),((Q8)/(Q$3*Q$50)),IF(AND(Results!$C$5="Volume",Q$52&gt;0,Results!$C$4="Fluid"),((Q8)/(Q$3*Q$52)),IF(AND(Results!$C$4="Cells",Results!$C$5="Million"),((Q8)/(Q$3*Q$50)),"-")))))</f>
        <v>0</v>
      </c>
      <c r="R59" s="18" t="str">
        <f>IF(R8=0,"0",IF(AND(Results!$C$5="Protein",R$51&gt;0,OR(Results!$C$4="Tissue",Results!$C$4="Cells")),((R8)/(R$3*R$51)),IF(AND(Results!$C$5="Weight",R$50&gt;0,Results!$C$4="Tissue"),((R8)/(R$3*R$50)),IF(AND(Results!$C$5="Volume",R$52&gt;0,Results!$C$4="Fluid"),((R8)/(R$3*R$52)),IF(AND(Results!$C$4="Cells",Results!$C$5="Million"),((R8)/(R$3*R$50)),"-")))))</f>
        <v>0</v>
      </c>
      <c r="S59" s="18" t="str">
        <f>IF(S8=0,"0",IF(AND(Results!$C$5="Protein",S$51&gt;0,OR(Results!$C$4="Tissue",Results!$C$4="Cells")),((S8)/(S$3*S$51)),IF(AND(Results!$C$5="Weight",S$50&gt;0,Results!$C$4="Tissue"),((S8)/(S$3*S$50)),IF(AND(Results!$C$5="Volume",S$52&gt;0,Results!$C$4="Fluid"),((S8)/(S$3*S$52)),IF(AND(Results!$C$4="Cells",Results!$C$5="Million"),((S8)/(S$3*S$50)),"-")))))</f>
        <v>0</v>
      </c>
      <c r="T59" s="18" t="str">
        <f>IF(T8=0,"0",IF(AND(Results!$C$5="Protein",T$51&gt;0,OR(Results!$C$4="Tissue",Results!$C$4="Cells")),((T8)/(T$3*T$51)),IF(AND(Results!$C$5="Weight",T$50&gt;0,Results!$C$4="Tissue"),((T8)/(T$3*T$50)),IF(AND(Results!$C$5="Volume",T$52&gt;0,Results!$C$4="Fluid"),((T8)/(T$3*T$52)),IF(AND(Results!$C$4="Cells",Results!$C$5="Million"),((T8)/(T$3*T$50)),"-")))))</f>
        <v>0</v>
      </c>
      <c r="U59" s="18" t="str">
        <f>IF(U8=0,"0",IF(AND(Results!$C$5="Protein",U$51&gt;0,OR(Results!$C$4="Tissue",Results!$C$4="Cells")),((U8)/(U$3*U$51)),IF(AND(Results!$C$5="Weight",U$50&gt;0,Results!$C$4="Tissue"),((U8)/(U$3*U$50)),IF(AND(Results!$C$5="Volume",U$52&gt;0,Results!$C$4="Fluid"),((U8)/(U$3*U$52)),IF(AND(Results!$C$4="Cells",Results!$C$5="Million"),((U8)/(U$3*U$50)),"-")))))</f>
        <v>0</v>
      </c>
      <c r="V59" s="18" t="str">
        <f>IF(V8=0,"0",IF(AND(Results!$C$5="Protein",V$51&gt;0,OR(Results!$C$4="Tissue",Results!$C$4="Cells")),((V8)/(V$3*V$51)),IF(AND(Results!$C$5="Weight",V$50&gt;0,Results!$C$4="Tissue"),((V8)/(V$3*V$50)),IF(AND(Results!$C$5="Volume",V$52&gt;0,Results!$C$4="Fluid"),((V8)/(V$3*V$52)),IF(AND(Results!$C$4="Cells",Results!$C$5="Million"),((V8)/(V$3*V$50)),"-")))))</f>
        <v>0</v>
      </c>
    </row>
    <row r="60" spans="1:22" x14ac:dyDescent="0.25">
      <c r="A60" s="64" t="str">
        <f t="shared" si="0"/>
        <v>L_C14_0</v>
      </c>
      <c r="B60" s="64"/>
      <c r="C60" s="18" t="str">
        <f>IF(C9=0,"0",IF(AND(Results!$C$5="Protein",C$51&gt;0,OR(Results!$C$4="Tissue",Results!$C$4="Cells")),((C9)/(C$3*C$51)),IF(AND(Results!$C$5="Weight",C$50&gt;0,Results!$C$4="Tissue"),((C9)/(C$3*C$50)),IF(AND(Results!$C$5="Volume",C$52&gt;0,Results!$C$4="Fluid"),((C9)/(C$3*C$52)),IF(AND(Results!$C$4="Cells",Results!$C$5="Million"),((C9)/(C$3*C$50)),"-")))))</f>
        <v>0</v>
      </c>
      <c r="D60" s="18" t="str">
        <f>IF(D9=0,"0",IF(AND(Results!$C$5="Protein",D$51&gt;0,OR(Results!$C$4="Tissue",Results!$C$4="Cells")),((D9)/(D$3*D$51)),IF(AND(Results!$C$5="Weight",D$50&gt;0,Results!$C$4="Tissue"),((D9)/(D$3*D$50)),IF(AND(Results!$C$5="Volume",D$52&gt;0,Results!$C$4="Fluid"),((D9)/(D$3*D$52)),IF(AND(Results!$C$4="Cells",Results!$C$5="Million"),((D9)/(D$3*D$50)),"-")))))</f>
        <v>0</v>
      </c>
      <c r="E60" s="18" t="str">
        <f>IF(E9=0,"0",IF(AND(Results!$C$5="Protein",E$51&gt;0,OR(Results!$C$4="Tissue",Results!$C$4="Cells")),((E9)/(E$3*E$51)),IF(AND(Results!$C$5="Weight",E$50&gt;0,Results!$C$4="Tissue"),((E9)/(E$3*E$50)),IF(AND(Results!$C$5="Volume",E$52&gt;0,Results!$C$4="Fluid"),((E9)/(E$3*E$52)),IF(AND(Results!$C$4="Cells",Results!$C$5="Million"),((E9)/(E$3*E$50)),"-")))))</f>
        <v>0</v>
      </c>
      <c r="F60" s="18" t="str">
        <f>IF(F9=0,"0",IF(AND(Results!$C$5="Protein",F$51&gt;0,OR(Results!$C$4="Tissue",Results!$C$4="Cells")),((F9)/(F$3*F$51)),IF(AND(Results!$C$5="Weight",F$50&gt;0,Results!$C$4="Tissue"),((F9)/(F$3*F$50)),IF(AND(Results!$C$5="Volume",F$52&gt;0,Results!$C$4="Fluid"),((F9)/(F$3*F$52)),IF(AND(Results!$C$4="Cells",Results!$C$5="Million"),((F9)/(F$3*F$50)),"-")))))</f>
        <v>0</v>
      </c>
      <c r="G60" s="18" t="str">
        <f>IF(G9=0,"0",IF(AND(Results!$C$5="Protein",G$51&gt;0,OR(Results!$C$4="Tissue",Results!$C$4="Cells")),((G9)/(G$3*G$51)),IF(AND(Results!$C$5="Weight",G$50&gt;0,Results!$C$4="Tissue"),((G9)/(G$3*G$50)),IF(AND(Results!$C$5="Volume",G$52&gt;0,Results!$C$4="Fluid"),((G9)/(G$3*G$52)),IF(AND(Results!$C$4="Cells",Results!$C$5="Million"),((G9)/(G$3*G$50)),"-")))))</f>
        <v>0</v>
      </c>
      <c r="H60" s="18" t="str">
        <f>IF(H9=0,"0",IF(AND(Results!$C$5="Protein",H$51&gt;0,OR(Results!$C$4="Tissue",Results!$C$4="Cells")),((H9)/(H$3*H$51)),IF(AND(Results!$C$5="Weight",H$50&gt;0,Results!$C$4="Tissue"),((H9)/(H$3*H$50)),IF(AND(Results!$C$5="Volume",H$52&gt;0,Results!$C$4="Fluid"),((H9)/(H$3*H$52)),IF(AND(Results!$C$4="Cells",Results!$C$5="Million"),((H9)/(H$3*H$50)),"-")))))</f>
        <v>0</v>
      </c>
      <c r="I60" s="18" t="str">
        <f>IF(I9=0,"0",IF(AND(Results!$C$5="Protein",I$51&gt;0,OR(Results!$C$4="Tissue",Results!$C$4="Cells")),((I9)/(I$3*I$51)),IF(AND(Results!$C$5="Weight",I$50&gt;0,Results!$C$4="Tissue"),((I9)/(I$3*I$50)),IF(AND(Results!$C$5="Volume",I$52&gt;0,Results!$C$4="Fluid"),((I9)/(I$3*I$52)),IF(AND(Results!$C$4="Cells",Results!$C$5="Million"),((I9)/(I$3*I$50)),"-")))))</f>
        <v>0</v>
      </c>
      <c r="J60" s="18" t="str">
        <f>IF(J9=0,"0",IF(AND(Results!$C$5="Protein",J$51&gt;0,OR(Results!$C$4="Tissue",Results!$C$4="Cells")),((J9)/(J$3*J$51)),IF(AND(Results!$C$5="Weight",J$50&gt;0,Results!$C$4="Tissue"),((J9)/(J$3*J$50)),IF(AND(Results!$C$5="Volume",J$52&gt;0,Results!$C$4="Fluid"),((J9)/(J$3*J$52)),IF(AND(Results!$C$4="Cells",Results!$C$5="Million"),((J9)/(J$3*J$50)),"-")))))</f>
        <v>0</v>
      </c>
      <c r="K60" s="18" t="str">
        <f>IF(K9=0,"0",IF(AND(Results!$C$5="Protein",K$51&gt;0,OR(Results!$C$4="Tissue",Results!$C$4="Cells")),((K9)/(K$3*K$51)),IF(AND(Results!$C$5="Weight",K$50&gt;0,Results!$C$4="Tissue"),((K9)/(K$3*K$50)),IF(AND(Results!$C$5="Volume",K$52&gt;0,Results!$C$4="Fluid"),((K9)/(K$3*K$52)),IF(AND(Results!$C$4="Cells",Results!$C$5="Million"),((K9)/(K$3*K$50)),"-")))))</f>
        <v>0</v>
      </c>
      <c r="L60" s="18" t="str">
        <f>IF(L9=0,"0",IF(AND(Results!$C$5="Protein",L$51&gt;0,OR(Results!$C$4="Tissue",Results!$C$4="Cells")),((L9)/(L$3*L$51)),IF(AND(Results!$C$5="Weight",L$50&gt;0,Results!$C$4="Tissue"),((L9)/(L$3*L$50)),IF(AND(Results!$C$5="Volume",L$52&gt;0,Results!$C$4="Fluid"),((L9)/(L$3*L$52)),IF(AND(Results!$C$4="Cells",Results!$C$5="Million"),((L9)/(L$3*L$50)),"-")))))</f>
        <v>0</v>
      </c>
      <c r="M60" s="18" t="str">
        <f>IF(M9=0,"0",IF(AND(Results!$C$5="Protein",M$51&gt;0,OR(Results!$C$4="Tissue",Results!$C$4="Cells")),((M9)/(M$3*M$51)),IF(AND(Results!$C$5="Weight",M$50&gt;0,Results!$C$4="Tissue"),((M9)/(M$3*M$50)),IF(AND(Results!$C$5="Volume",M$52&gt;0,Results!$C$4="Fluid"),((M9)/(M$3*M$52)),IF(AND(Results!$C$4="Cells",Results!$C$5="Million"),((M9)/(M$3*M$50)),"-")))))</f>
        <v>0</v>
      </c>
      <c r="N60" s="18" t="str">
        <f>IF(N9=0,"0",IF(AND(Results!$C$5="Protein",N$51&gt;0,OR(Results!$C$4="Tissue",Results!$C$4="Cells")),((N9)/(N$3*N$51)),IF(AND(Results!$C$5="Weight",N$50&gt;0,Results!$C$4="Tissue"),((N9)/(N$3*N$50)),IF(AND(Results!$C$5="Volume",N$52&gt;0,Results!$C$4="Fluid"),((N9)/(N$3*N$52)),IF(AND(Results!$C$4="Cells",Results!$C$5="Million"),((N9)/(N$3*N$50)),"-")))))</f>
        <v>0</v>
      </c>
      <c r="O60" s="18" t="str">
        <f>IF(O9=0,"0",IF(AND(Results!$C$5="Protein",O$51&gt;0,OR(Results!$C$4="Tissue",Results!$C$4="Cells")),((O9)/(O$3*O$51)),IF(AND(Results!$C$5="Weight",O$50&gt;0,Results!$C$4="Tissue"),((O9)/(O$3*O$50)),IF(AND(Results!$C$5="Volume",O$52&gt;0,Results!$C$4="Fluid"),((O9)/(O$3*O$52)),IF(AND(Results!$C$4="Cells",Results!$C$5="Million"),((O9)/(O$3*O$50)),"-")))))</f>
        <v>0</v>
      </c>
      <c r="P60" s="18" t="str">
        <f>IF(P9=0,"0",IF(AND(Results!$C$5="Protein",P$51&gt;0,OR(Results!$C$4="Tissue",Results!$C$4="Cells")),((P9)/(P$3*P$51)),IF(AND(Results!$C$5="Weight",P$50&gt;0,Results!$C$4="Tissue"),((P9)/(P$3*P$50)),IF(AND(Results!$C$5="Volume",P$52&gt;0,Results!$C$4="Fluid"),((P9)/(P$3*P$52)),IF(AND(Results!$C$4="Cells",Results!$C$5="Million"),((P9)/(P$3*P$50)),"-")))))</f>
        <v>0</v>
      </c>
      <c r="Q60" s="18" t="str">
        <f>IF(Q9=0,"0",IF(AND(Results!$C$5="Protein",Q$51&gt;0,OR(Results!$C$4="Tissue",Results!$C$4="Cells")),((Q9)/(Q$3*Q$51)),IF(AND(Results!$C$5="Weight",Q$50&gt;0,Results!$C$4="Tissue"),((Q9)/(Q$3*Q$50)),IF(AND(Results!$C$5="Volume",Q$52&gt;0,Results!$C$4="Fluid"),((Q9)/(Q$3*Q$52)),IF(AND(Results!$C$4="Cells",Results!$C$5="Million"),((Q9)/(Q$3*Q$50)),"-")))))</f>
        <v>0</v>
      </c>
      <c r="R60" s="18" t="str">
        <f>IF(R9=0,"0",IF(AND(Results!$C$5="Protein",R$51&gt;0,OR(Results!$C$4="Tissue",Results!$C$4="Cells")),((R9)/(R$3*R$51)),IF(AND(Results!$C$5="Weight",R$50&gt;0,Results!$C$4="Tissue"),((R9)/(R$3*R$50)),IF(AND(Results!$C$5="Volume",R$52&gt;0,Results!$C$4="Fluid"),((R9)/(R$3*R$52)),IF(AND(Results!$C$4="Cells",Results!$C$5="Million"),((R9)/(R$3*R$50)),"-")))))</f>
        <v>0</v>
      </c>
      <c r="S60" s="18" t="str">
        <f>IF(S9=0,"0",IF(AND(Results!$C$5="Protein",S$51&gt;0,OR(Results!$C$4="Tissue",Results!$C$4="Cells")),((S9)/(S$3*S$51)),IF(AND(Results!$C$5="Weight",S$50&gt;0,Results!$C$4="Tissue"),((S9)/(S$3*S$50)),IF(AND(Results!$C$5="Volume",S$52&gt;0,Results!$C$4="Fluid"),((S9)/(S$3*S$52)),IF(AND(Results!$C$4="Cells",Results!$C$5="Million"),((S9)/(S$3*S$50)),"-")))))</f>
        <v>0</v>
      </c>
      <c r="T60" s="18" t="str">
        <f>IF(T9=0,"0",IF(AND(Results!$C$5="Protein",T$51&gt;0,OR(Results!$C$4="Tissue",Results!$C$4="Cells")),((T9)/(T$3*T$51)),IF(AND(Results!$C$5="Weight",T$50&gt;0,Results!$C$4="Tissue"),((T9)/(T$3*T$50)),IF(AND(Results!$C$5="Volume",T$52&gt;0,Results!$C$4="Fluid"),((T9)/(T$3*T$52)),IF(AND(Results!$C$4="Cells",Results!$C$5="Million"),((T9)/(T$3*T$50)),"-")))))</f>
        <v>0</v>
      </c>
      <c r="U60" s="18" t="str">
        <f>IF(U9=0,"0",IF(AND(Results!$C$5="Protein",U$51&gt;0,OR(Results!$C$4="Tissue",Results!$C$4="Cells")),((U9)/(U$3*U$51)),IF(AND(Results!$C$5="Weight",U$50&gt;0,Results!$C$4="Tissue"),((U9)/(U$3*U$50)),IF(AND(Results!$C$5="Volume",U$52&gt;0,Results!$C$4="Fluid"),((U9)/(U$3*U$52)),IF(AND(Results!$C$4="Cells",Results!$C$5="Million"),((U9)/(U$3*U$50)),"-")))))</f>
        <v>0</v>
      </c>
      <c r="V60" s="18" t="str">
        <f>IF(V9=0,"0",IF(AND(Results!$C$5="Protein",V$51&gt;0,OR(Results!$C$4="Tissue",Results!$C$4="Cells")),((V9)/(V$3*V$51)),IF(AND(Results!$C$5="Weight",V$50&gt;0,Results!$C$4="Tissue"),((V9)/(V$3*V$50)),IF(AND(Results!$C$5="Volume",V$52&gt;0,Results!$C$4="Fluid"),((V9)/(V$3*V$52)),IF(AND(Results!$C$4="Cells",Results!$C$5="Million"),((V9)/(V$3*V$50)),"-")))))</f>
        <v>0</v>
      </c>
    </row>
    <row r="61" spans="1:22" x14ac:dyDescent="0.25">
      <c r="A61" s="64" t="str">
        <f t="shared" si="0"/>
        <v>L_C15_0</v>
      </c>
      <c r="B61" s="64"/>
      <c r="C61" s="18" t="str">
        <f>IF(C10=0,"0",IF(AND(Results!$C$5="Protein",C$51&gt;0,OR(Results!$C$4="Tissue",Results!$C$4="Cells")),((C10)/(C$3*C$51)),IF(AND(Results!$C$5="Weight",C$50&gt;0,Results!$C$4="Tissue"),((C10)/(C$3*C$50)),IF(AND(Results!$C$5="Volume",C$52&gt;0,Results!$C$4="Fluid"),((C10)/(C$3*C$52)),IF(AND(Results!$C$4="Cells",Results!$C$5="Million"),((C10)/(C$3*C$50)),"-")))))</f>
        <v>0</v>
      </c>
      <c r="D61" s="18" t="str">
        <f>IF(D10=0,"0",IF(AND(Results!$C$5="Protein",D$51&gt;0,OR(Results!$C$4="Tissue",Results!$C$4="Cells")),((D10)/(D$3*D$51)),IF(AND(Results!$C$5="Weight",D$50&gt;0,Results!$C$4="Tissue"),((D10)/(D$3*D$50)),IF(AND(Results!$C$5="Volume",D$52&gt;0,Results!$C$4="Fluid"),((D10)/(D$3*D$52)),IF(AND(Results!$C$4="Cells",Results!$C$5="Million"),((D10)/(D$3*D$50)),"-")))))</f>
        <v>0</v>
      </c>
      <c r="E61" s="18" t="str">
        <f>IF(E10=0,"0",IF(AND(Results!$C$5="Protein",E$51&gt;0,OR(Results!$C$4="Tissue",Results!$C$4="Cells")),((E10)/(E$3*E$51)),IF(AND(Results!$C$5="Weight",E$50&gt;0,Results!$C$4="Tissue"),((E10)/(E$3*E$50)),IF(AND(Results!$C$5="Volume",E$52&gt;0,Results!$C$4="Fluid"),((E10)/(E$3*E$52)),IF(AND(Results!$C$4="Cells",Results!$C$5="Million"),((E10)/(E$3*E$50)),"-")))))</f>
        <v>0</v>
      </c>
      <c r="F61" s="18" t="str">
        <f>IF(F10=0,"0",IF(AND(Results!$C$5="Protein",F$51&gt;0,OR(Results!$C$4="Tissue",Results!$C$4="Cells")),((F10)/(F$3*F$51)),IF(AND(Results!$C$5="Weight",F$50&gt;0,Results!$C$4="Tissue"),((F10)/(F$3*F$50)),IF(AND(Results!$C$5="Volume",F$52&gt;0,Results!$C$4="Fluid"),((F10)/(F$3*F$52)),IF(AND(Results!$C$4="Cells",Results!$C$5="Million"),((F10)/(F$3*F$50)),"-")))))</f>
        <v>0</v>
      </c>
      <c r="G61" s="18" t="str">
        <f>IF(G10=0,"0",IF(AND(Results!$C$5="Protein",G$51&gt;0,OR(Results!$C$4="Tissue",Results!$C$4="Cells")),((G10)/(G$3*G$51)),IF(AND(Results!$C$5="Weight",G$50&gt;0,Results!$C$4="Tissue"),((G10)/(G$3*G$50)),IF(AND(Results!$C$5="Volume",G$52&gt;0,Results!$C$4="Fluid"),((G10)/(G$3*G$52)),IF(AND(Results!$C$4="Cells",Results!$C$5="Million"),((G10)/(G$3*G$50)),"-")))))</f>
        <v>0</v>
      </c>
      <c r="H61" s="18" t="str">
        <f>IF(H10=0,"0",IF(AND(Results!$C$5="Protein",H$51&gt;0,OR(Results!$C$4="Tissue",Results!$C$4="Cells")),((H10)/(H$3*H$51)),IF(AND(Results!$C$5="Weight",H$50&gt;0,Results!$C$4="Tissue"),((H10)/(H$3*H$50)),IF(AND(Results!$C$5="Volume",H$52&gt;0,Results!$C$4="Fluid"),((H10)/(H$3*H$52)),IF(AND(Results!$C$4="Cells",Results!$C$5="Million"),((H10)/(H$3*H$50)),"-")))))</f>
        <v>0</v>
      </c>
      <c r="I61" s="18" t="str">
        <f>IF(I10=0,"0",IF(AND(Results!$C$5="Protein",I$51&gt;0,OR(Results!$C$4="Tissue",Results!$C$4="Cells")),((I10)/(I$3*I$51)),IF(AND(Results!$C$5="Weight",I$50&gt;0,Results!$C$4="Tissue"),((I10)/(I$3*I$50)),IF(AND(Results!$C$5="Volume",I$52&gt;0,Results!$C$4="Fluid"),((I10)/(I$3*I$52)),IF(AND(Results!$C$4="Cells",Results!$C$5="Million"),((I10)/(I$3*I$50)),"-")))))</f>
        <v>0</v>
      </c>
      <c r="J61" s="18" t="str">
        <f>IF(J10=0,"0",IF(AND(Results!$C$5="Protein",J$51&gt;0,OR(Results!$C$4="Tissue",Results!$C$4="Cells")),((J10)/(J$3*J$51)),IF(AND(Results!$C$5="Weight",J$50&gt;0,Results!$C$4="Tissue"),((J10)/(J$3*J$50)),IF(AND(Results!$C$5="Volume",J$52&gt;0,Results!$C$4="Fluid"),((J10)/(J$3*J$52)),IF(AND(Results!$C$4="Cells",Results!$C$5="Million"),((J10)/(J$3*J$50)),"-")))))</f>
        <v>0</v>
      </c>
      <c r="K61" s="18" t="str">
        <f>IF(K10=0,"0",IF(AND(Results!$C$5="Protein",K$51&gt;0,OR(Results!$C$4="Tissue",Results!$C$4="Cells")),((K10)/(K$3*K$51)),IF(AND(Results!$C$5="Weight",K$50&gt;0,Results!$C$4="Tissue"),((K10)/(K$3*K$50)),IF(AND(Results!$C$5="Volume",K$52&gt;0,Results!$C$4="Fluid"),((K10)/(K$3*K$52)),IF(AND(Results!$C$4="Cells",Results!$C$5="Million"),((K10)/(K$3*K$50)),"-")))))</f>
        <v>0</v>
      </c>
      <c r="L61" s="18" t="str">
        <f>IF(L10=0,"0",IF(AND(Results!$C$5="Protein",L$51&gt;0,OR(Results!$C$4="Tissue",Results!$C$4="Cells")),((L10)/(L$3*L$51)),IF(AND(Results!$C$5="Weight",L$50&gt;0,Results!$C$4="Tissue"),((L10)/(L$3*L$50)),IF(AND(Results!$C$5="Volume",L$52&gt;0,Results!$C$4="Fluid"),((L10)/(L$3*L$52)),IF(AND(Results!$C$4="Cells",Results!$C$5="Million"),((L10)/(L$3*L$50)),"-")))))</f>
        <v>0</v>
      </c>
      <c r="M61" s="18" t="str">
        <f>IF(M10=0,"0",IF(AND(Results!$C$5="Protein",M$51&gt;0,OR(Results!$C$4="Tissue",Results!$C$4="Cells")),((M10)/(M$3*M$51)),IF(AND(Results!$C$5="Weight",M$50&gt;0,Results!$C$4="Tissue"),((M10)/(M$3*M$50)),IF(AND(Results!$C$5="Volume",M$52&gt;0,Results!$C$4="Fluid"),((M10)/(M$3*M$52)),IF(AND(Results!$C$4="Cells",Results!$C$5="Million"),((M10)/(M$3*M$50)),"-")))))</f>
        <v>0</v>
      </c>
      <c r="N61" s="18" t="str">
        <f>IF(N10=0,"0",IF(AND(Results!$C$5="Protein",N$51&gt;0,OR(Results!$C$4="Tissue",Results!$C$4="Cells")),((N10)/(N$3*N$51)),IF(AND(Results!$C$5="Weight",N$50&gt;0,Results!$C$4="Tissue"),((N10)/(N$3*N$50)),IF(AND(Results!$C$5="Volume",N$52&gt;0,Results!$C$4="Fluid"),((N10)/(N$3*N$52)),IF(AND(Results!$C$4="Cells",Results!$C$5="Million"),((N10)/(N$3*N$50)),"-")))))</f>
        <v>0</v>
      </c>
      <c r="O61" s="18" t="str">
        <f>IF(O10=0,"0",IF(AND(Results!$C$5="Protein",O$51&gt;0,OR(Results!$C$4="Tissue",Results!$C$4="Cells")),((O10)/(O$3*O$51)),IF(AND(Results!$C$5="Weight",O$50&gt;0,Results!$C$4="Tissue"),((O10)/(O$3*O$50)),IF(AND(Results!$C$5="Volume",O$52&gt;0,Results!$C$4="Fluid"),((O10)/(O$3*O$52)),IF(AND(Results!$C$4="Cells",Results!$C$5="Million"),((O10)/(O$3*O$50)),"-")))))</f>
        <v>0</v>
      </c>
      <c r="P61" s="18" t="str">
        <f>IF(P10=0,"0",IF(AND(Results!$C$5="Protein",P$51&gt;0,OR(Results!$C$4="Tissue",Results!$C$4="Cells")),((P10)/(P$3*P$51)),IF(AND(Results!$C$5="Weight",P$50&gt;0,Results!$C$4="Tissue"),((P10)/(P$3*P$50)),IF(AND(Results!$C$5="Volume",P$52&gt;0,Results!$C$4="Fluid"),((P10)/(P$3*P$52)),IF(AND(Results!$C$4="Cells",Results!$C$5="Million"),((P10)/(P$3*P$50)),"-")))))</f>
        <v>0</v>
      </c>
      <c r="Q61" s="18" t="str">
        <f>IF(Q10=0,"0",IF(AND(Results!$C$5="Protein",Q$51&gt;0,OR(Results!$C$4="Tissue",Results!$C$4="Cells")),((Q10)/(Q$3*Q$51)),IF(AND(Results!$C$5="Weight",Q$50&gt;0,Results!$C$4="Tissue"),((Q10)/(Q$3*Q$50)),IF(AND(Results!$C$5="Volume",Q$52&gt;0,Results!$C$4="Fluid"),((Q10)/(Q$3*Q$52)),IF(AND(Results!$C$4="Cells",Results!$C$5="Million"),((Q10)/(Q$3*Q$50)),"-")))))</f>
        <v>0</v>
      </c>
      <c r="R61" s="18" t="str">
        <f>IF(R10=0,"0",IF(AND(Results!$C$5="Protein",R$51&gt;0,OR(Results!$C$4="Tissue",Results!$C$4="Cells")),((R10)/(R$3*R$51)),IF(AND(Results!$C$5="Weight",R$50&gt;0,Results!$C$4="Tissue"),((R10)/(R$3*R$50)),IF(AND(Results!$C$5="Volume",R$52&gt;0,Results!$C$4="Fluid"),((R10)/(R$3*R$52)),IF(AND(Results!$C$4="Cells",Results!$C$5="Million"),((R10)/(R$3*R$50)),"-")))))</f>
        <v>0</v>
      </c>
      <c r="S61" s="18" t="str">
        <f>IF(S10=0,"0",IF(AND(Results!$C$5="Protein",S$51&gt;0,OR(Results!$C$4="Tissue",Results!$C$4="Cells")),((S10)/(S$3*S$51)),IF(AND(Results!$C$5="Weight",S$50&gt;0,Results!$C$4="Tissue"),((S10)/(S$3*S$50)),IF(AND(Results!$C$5="Volume",S$52&gt;0,Results!$C$4="Fluid"),((S10)/(S$3*S$52)),IF(AND(Results!$C$4="Cells",Results!$C$5="Million"),((S10)/(S$3*S$50)),"-")))))</f>
        <v>0</v>
      </c>
      <c r="T61" s="18" t="str">
        <f>IF(T10=0,"0",IF(AND(Results!$C$5="Protein",T$51&gt;0,OR(Results!$C$4="Tissue",Results!$C$4="Cells")),((T10)/(T$3*T$51)),IF(AND(Results!$C$5="Weight",T$50&gt;0,Results!$C$4="Tissue"),((T10)/(T$3*T$50)),IF(AND(Results!$C$5="Volume",T$52&gt;0,Results!$C$4="Fluid"),((T10)/(T$3*T$52)),IF(AND(Results!$C$4="Cells",Results!$C$5="Million"),((T10)/(T$3*T$50)),"-")))))</f>
        <v>0</v>
      </c>
      <c r="U61" s="18" t="str">
        <f>IF(U10=0,"0",IF(AND(Results!$C$5="Protein",U$51&gt;0,OR(Results!$C$4="Tissue",Results!$C$4="Cells")),((U10)/(U$3*U$51)),IF(AND(Results!$C$5="Weight",U$50&gt;0,Results!$C$4="Tissue"),((U10)/(U$3*U$50)),IF(AND(Results!$C$5="Volume",U$52&gt;0,Results!$C$4="Fluid"),((U10)/(U$3*U$52)),IF(AND(Results!$C$4="Cells",Results!$C$5="Million"),((U10)/(U$3*U$50)),"-")))))</f>
        <v>0</v>
      </c>
      <c r="V61" s="18" t="str">
        <f>IF(V10=0,"0",IF(AND(Results!$C$5="Protein",V$51&gt;0,OR(Results!$C$4="Tissue",Results!$C$4="Cells")),((V10)/(V$3*V$51)),IF(AND(Results!$C$5="Weight",V$50&gt;0,Results!$C$4="Tissue"),((V10)/(V$3*V$50)),IF(AND(Results!$C$5="Volume",V$52&gt;0,Results!$C$4="Fluid"),((V10)/(V$3*V$52)),IF(AND(Results!$C$4="Cells",Results!$C$5="Million"),((V10)/(V$3*V$50)),"-")))))</f>
        <v>0</v>
      </c>
    </row>
    <row r="62" spans="1:22" x14ac:dyDescent="0.25">
      <c r="A62" s="64" t="str">
        <f t="shared" si="0"/>
        <v>L_C16_0</v>
      </c>
      <c r="B62" s="64"/>
      <c r="C62" s="18">
        <f>IF(C11=0,"0",IF(AND(Results!$C$5="Protein",C$51&gt;0,OR(Results!$C$4="Tissue",Results!$C$4="Cells")),((C11)/(C$3*C$51)),IF(AND(Results!$C$5="Weight",C$50&gt;0,Results!$C$4="Tissue"),((C11)/(C$3*C$50)),IF(AND(Results!$C$5="Volume",C$52&gt;0,Results!$C$4="Fluid"),((C11)/(C$3*C$52)),IF(AND(Results!$C$4="Cells",Results!$C$5="Million"),((C11)/(C$3*C$50)),"-")))))</f>
        <v>1.0224435266050556</v>
      </c>
      <c r="D62" s="18">
        <f>IF(D11=0,"0",IF(AND(Results!$C$5="Protein",D$51&gt;0,OR(Results!$C$4="Tissue",Results!$C$4="Cells")),((D11)/(D$3*D$51)),IF(AND(Results!$C$5="Weight",D$50&gt;0,Results!$C$4="Tissue"),((D11)/(D$3*D$50)),IF(AND(Results!$C$5="Volume",D$52&gt;0,Results!$C$4="Fluid"),((D11)/(D$3*D$52)),IF(AND(Results!$C$4="Cells",Results!$C$5="Million"),((D11)/(D$3*D$50)),"-")))))</f>
        <v>1.7818262365563295</v>
      </c>
      <c r="E62" s="18">
        <f>IF(E11=0,"0",IF(AND(Results!$C$5="Protein",E$51&gt;0,OR(Results!$C$4="Tissue",Results!$C$4="Cells")),((E11)/(E$3*E$51)),IF(AND(Results!$C$5="Weight",E$50&gt;0,Results!$C$4="Tissue"),((E11)/(E$3*E$50)),IF(AND(Results!$C$5="Volume",E$52&gt;0,Results!$C$4="Fluid"),((E11)/(E$3*E$52)),IF(AND(Results!$C$4="Cells",Results!$C$5="Million"),((E11)/(E$3*E$50)),"-")))))</f>
        <v>1.3584524273828606</v>
      </c>
      <c r="F62" s="18">
        <f>IF(F11=0,"0",IF(AND(Results!$C$5="Protein",F$51&gt;0,OR(Results!$C$4="Tissue",Results!$C$4="Cells")),((F11)/(F$3*F$51)),IF(AND(Results!$C$5="Weight",F$50&gt;0,Results!$C$4="Tissue"),((F11)/(F$3*F$50)),IF(AND(Results!$C$5="Volume",F$52&gt;0,Results!$C$4="Fluid"),((F11)/(F$3*F$52)),IF(AND(Results!$C$4="Cells",Results!$C$5="Million"),((F11)/(F$3*F$50)),"-")))))</f>
        <v>0.92480912461307785</v>
      </c>
      <c r="G62" s="18">
        <f>IF(G11=0,"0",IF(AND(Results!$C$5="Protein",G$51&gt;0,OR(Results!$C$4="Tissue",Results!$C$4="Cells")),((G11)/(G$3*G$51)),IF(AND(Results!$C$5="Weight",G$50&gt;0,Results!$C$4="Tissue"),((G11)/(G$3*G$50)),IF(AND(Results!$C$5="Volume",G$52&gt;0,Results!$C$4="Fluid"),((G11)/(G$3*G$52)),IF(AND(Results!$C$4="Cells",Results!$C$5="Million"),((G11)/(G$3*G$50)),"-")))))</f>
        <v>1.4075236940394804</v>
      </c>
      <c r="H62" s="18">
        <f>IF(H11=0,"0",IF(AND(Results!$C$5="Protein",H$51&gt;0,OR(Results!$C$4="Tissue",Results!$C$4="Cells")),((H11)/(H$3*H$51)),IF(AND(Results!$C$5="Weight",H$50&gt;0,Results!$C$4="Tissue"),((H11)/(H$3*H$50)),IF(AND(Results!$C$5="Volume",H$52&gt;0,Results!$C$4="Fluid"),((H11)/(H$3*H$52)),IF(AND(Results!$C$4="Cells",Results!$C$5="Million"),((H11)/(H$3*H$50)),"-")))))</f>
        <v>1.2741508793868059</v>
      </c>
      <c r="I62" s="18">
        <f>IF(I11=0,"0",IF(AND(Results!$C$5="Protein",I$51&gt;0,OR(Results!$C$4="Tissue",Results!$C$4="Cells")),((I11)/(I$3*I$51)),IF(AND(Results!$C$5="Weight",I$50&gt;0,Results!$C$4="Tissue"),((I11)/(I$3*I$50)),IF(AND(Results!$C$5="Volume",I$52&gt;0,Results!$C$4="Fluid"),((I11)/(I$3*I$52)),IF(AND(Results!$C$4="Cells",Results!$C$5="Million"),((I11)/(I$3*I$50)),"-")))))</f>
        <v>0.93472466564293544</v>
      </c>
      <c r="J62" s="18">
        <f>IF(J11=0,"0",IF(AND(Results!$C$5="Protein",J$51&gt;0,OR(Results!$C$4="Tissue",Results!$C$4="Cells")),((J11)/(J$3*J$51)),IF(AND(Results!$C$5="Weight",J$50&gt;0,Results!$C$4="Tissue"),((J11)/(J$3*J$50)),IF(AND(Results!$C$5="Volume",J$52&gt;0,Results!$C$4="Fluid"),((J11)/(J$3*J$52)),IF(AND(Results!$C$4="Cells",Results!$C$5="Million"),((J11)/(J$3*J$50)),"-")))))</f>
        <v>1.0449621331580579</v>
      </c>
      <c r="K62" s="18">
        <f>IF(K11=0,"0",IF(AND(Results!$C$5="Protein",K$51&gt;0,OR(Results!$C$4="Tissue",Results!$C$4="Cells")),((K11)/(K$3*K$51)),IF(AND(Results!$C$5="Weight",K$50&gt;0,Results!$C$4="Tissue"),((K11)/(K$3*K$50)),IF(AND(Results!$C$5="Volume",K$52&gt;0,Results!$C$4="Fluid"),((K11)/(K$3*K$52)),IF(AND(Results!$C$4="Cells",Results!$C$5="Million"),((K11)/(K$3*K$50)),"-")))))</f>
        <v>1.0651261482527081</v>
      </c>
      <c r="L62" s="18">
        <f>IF(L11=0,"0",IF(AND(Results!$C$5="Protein",L$51&gt;0,OR(Results!$C$4="Tissue",Results!$C$4="Cells")),((L11)/(L$3*L$51)),IF(AND(Results!$C$5="Weight",L$50&gt;0,Results!$C$4="Tissue"),((L11)/(L$3*L$50)),IF(AND(Results!$C$5="Volume",L$52&gt;0,Results!$C$4="Fluid"),((L11)/(L$3*L$52)),IF(AND(Results!$C$4="Cells",Results!$C$5="Million"),((L11)/(L$3*L$50)),"-")))))</f>
        <v>1.3389025113294339</v>
      </c>
      <c r="M62" s="18">
        <f>IF(M11=0,"0",IF(AND(Results!$C$5="Protein",M$51&gt;0,OR(Results!$C$4="Tissue",Results!$C$4="Cells")),((M11)/(M$3*M$51)),IF(AND(Results!$C$5="Weight",M$50&gt;0,Results!$C$4="Tissue"),((M11)/(M$3*M$50)),IF(AND(Results!$C$5="Volume",M$52&gt;0,Results!$C$4="Fluid"),((M11)/(M$3*M$52)),IF(AND(Results!$C$4="Cells",Results!$C$5="Million"),((M11)/(M$3*M$50)),"-")))))</f>
        <v>0.8296287174397623</v>
      </c>
      <c r="N62" s="18">
        <f>IF(N11=0,"0",IF(AND(Results!$C$5="Protein",N$51&gt;0,OR(Results!$C$4="Tissue",Results!$C$4="Cells")),((N11)/(N$3*N$51)),IF(AND(Results!$C$5="Weight",N$50&gt;0,Results!$C$4="Tissue"),((N11)/(N$3*N$50)),IF(AND(Results!$C$5="Volume",N$52&gt;0,Results!$C$4="Fluid"),((N11)/(N$3*N$52)),IF(AND(Results!$C$4="Cells",Results!$C$5="Million"),((N11)/(N$3*N$50)),"-")))))</f>
        <v>0.864286011952901</v>
      </c>
      <c r="O62" s="18">
        <f>IF(O11=0,"0",IF(AND(Results!$C$5="Protein",O$51&gt;0,OR(Results!$C$4="Tissue",Results!$C$4="Cells")),((O11)/(O$3*O$51)),IF(AND(Results!$C$5="Weight",O$50&gt;0,Results!$C$4="Tissue"),((O11)/(O$3*O$50)),IF(AND(Results!$C$5="Volume",O$52&gt;0,Results!$C$4="Fluid"),((O11)/(O$3*O$52)),IF(AND(Results!$C$4="Cells",Results!$C$5="Million"),((O11)/(O$3*O$50)),"-")))))</f>
        <v>1.4757553702642272</v>
      </c>
      <c r="P62" s="18">
        <f>IF(P11=0,"0",IF(AND(Results!$C$5="Protein",P$51&gt;0,OR(Results!$C$4="Tissue",Results!$C$4="Cells")),((P11)/(P$3*P$51)),IF(AND(Results!$C$5="Weight",P$50&gt;0,Results!$C$4="Tissue"),((P11)/(P$3*P$50)),IF(AND(Results!$C$5="Volume",P$52&gt;0,Results!$C$4="Fluid"),((P11)/(P$3*P$52)),IF(AND(Results!$C$4="Cells",Results!$C$5="Million"),((P11)/(P$3*P$50)),"-")))))</f>
        <v>3.3533342860909428</v>
      </c>
      <c r="Q62" s="18">
        <f>IF(Q11=0,"0",IF(AND(Results!$C$5="Protein",Q$51&gt;0,OR(Results!$C$4="Tissue",Results!$C$4="Cells")),((Q11)/(Q$3*Q$51)),IF(AND(Results!$C$5="Weight",Q$50&gt;0,Results!$C$4="Tissue"),((Q11)/(Q$3*Q$50)),IF(AND(Results!$C$5="Volume",Q$52&gt;0,Results!$C$4="Fluid"),((Q11)/(Q$3*Q$52)),IF(AND(Results!$C$4="Cells",Results!$C$5="Million"),((Q11)/(Q$3*Q$50)),"-")))))</f>
        <v>1.5531230152103728</v>
      </c>
      <c r="R62" s="18">
        <f>IF(R11=0,"0",IF(AND(Results!$C$5="Protein",R$51&gt;0,OR(Results!$C$4="Tissue",Results!$C$4="Cells")),((R11)/(R$3*R$51)),IF(AND(Results!$C$5="Weight",R$50&gt;0,Results!$C$4="Tissue"),((R11)/(R$3*R$50)),IF(AND(Results!$C$5="Volume",R$52&gt;0,Results!$C$4="Fluid"),((R11)/(R$3*R$52)),IF(AND(Results!$C$4="Cells",Results!$C$5="Million"),((R11)/(R$3*R$50)),"-")))))</f>
        <v>0.8911572036329678</v>
      </c>
      <c r="S62" s="18">
        <f>IF(S11=0,"0",IF(AND(Results!$C$5="Protein",S$51&gt;0,OR(Results!$C$4="Tissue",Results!$C$4="Cells")),((S11)/(S$3*S$51)),IF(AND(Results!$C$5="Weight",S$50&gt;0,Results!$C$4="Tissue"),((S11)/(S$3*S$50)),IF(AND(Results!$C$5="Volume",S$52&gt;0,Results!$C$4="Fluid"),((S11)/(S$3*S$52)),IF(AND(Results!$C$4="Cells",Results!$C$5="Million"),((S11)/(S$3*S$50)),"-")))))</f>
        <v>1.2350410073322171</v>
      </c>
      <c r="T62" s="18">
        <f>IF(T11=0,"0",IF(AND(Results!$C$5="Protein",T$51&gt;0,OR(Results!$C$4="Tissue",Results!$C$4="Cells")),((T11)/(T$3*T$51)),IF(AND(Results!$C$5="Weight",T$50&gt;0,Results!$C$4="Tissue"),((T11)/(T$3*T$50)),IF(AND(Results!$C$5="Volume",T$52&gt;0,Results!$C$4="Fluid"),((T11)/(T$3*T$52)),IF(AND(Results!$C$4="Cells",Results!$C$5="Million"),((T11)/(T$3*T$50)),"-")))))</f>
        <v>1.3187954810836555</v>
      </c>
      <c r="U62" s="18">
        <f>IF(U11=0,"0",IF(AND(Results!$C$5="Protein",U$51&gt;0,OR(Results!$C$4="Tissue",Results!$C$4="Cells")),((U11)/(U$3*U$51)),IF(AND(Results!$C$5="Weight",U$50&gt;0,Results!$C$4="Tissue"),((U11)/(U$3*U$50)),IF(AND(Results!$C$5="Volume",U$52&gt;0,Results!$C$4="Fluid"),((U11)/(U$3*U$52)),IF(AND(Results!$C$4="Cells",Results!$C$5="Million"),((U11)/(U$3*U$50)),"-")))))</f>
        <v>3.2562732635564919</v>
      </c>
      <c r="V62" s="18">
        <f>IF(V11=0,"0",IF(AND(Results!$C$5="Protein",V$51&gt;0,OR(Results!$C$4="Tissue",Results!$C$4="Cells")),((V11)/(V$3*V$51)),IF(AND(Results!$C$5="Weight",V$50&gt;0,Results!$C$4="Tissue"),((V11)/(V$3*V$50)),IF(AND(Results!$C$5="Volume",V$52&gt;0,Results!$C$4="Fluid"),((V11)/(V$3*V$52)),IF(AND(Results!$C$4="Cells",Results!$C$5="Million"),((V11)/(V$3*V$50)),"-")))))</f>
        <v>1.4611695518608325</v>
      </c>
    </row>
    <row r="63" spans="1:22" x14ac:dyDescent="0.25">
      <c r="A63" s="64" t="str">
        <f t="shared" si="0"/>
        <v>L_C19_0</v>
      </c>
      <c r="B63" s="64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 x14ac:dyDescent="0.25">
      <c r="A64" s="64" t="str">
        <f t="shared" si="0"/>
        <v>L_C18_0</v>
      </c>
      <c r="B64" s="64"/>
      <c r="C64" s="18">
        <f>IF(C13=0,"0",IF(AND(Results!$C$5="Protein",C$51&gt;0,OR(Results!$C$4="Tissue",Results!$C$4="Cells")),((C13)/(C$3*C$51)),IF(AND(Results!$C$5="Weight",C$50&gt;0,Results!$C$4="Tissue"),((C13)/(C$3*C$50)),IF(AND(Results!$C$5="Volume",C$52&gt;0,Results!$C$4="Fluid"),((C13)/(C$3*C$52)),IF(AND(Results!$C$4="Cells",Results!$C$5="Million"),((C13)/(C$3*C$50)),"-")))))</f>
        <v>0.48084557555545554</v>
      </c>
      <c r="D64" s="18">
        <f>IF(D13=0,"0",IF(AND(Results!$C$5="Protein",D$51&gt;0,OR(Results!$C$4="Tissue",Results!$C$4="Cells")),((D13)/(D$3*D$51)),IF(AND(Results!$C$5="Weight",D$50&gt;0,Results!$C$4="Tissue"),((D13)/(D$3*D$50)),IF(AND(Results!$C$5="Volume",D$52&gt;0,Results!$C$4="Fluid"),((D13)/(D$3*D$52)),IF(AND(Results!$C$4="Cells",Results!$C$5="Million"),((D13)/(D$3*D$50)),"-")))))</f>
        <v>0.35913831128304152</v>
      </c>
      <c r="E64" s="18">
        <f>IF(E13=0,"0",IF(AND(Results!$C$5="Protein",E$51&gt;0,OR(Results!$C$4="Tissue",Results!$C$4="Cells")),((E13)/(E$3*E$51)),IF(AND(Results!$C$5="Weight",E$50&gt;0,Results!$C$4="Tissue"),((E13)/(E$3*E$50)),IF(AND(Results!$C$5="Volume",E$52&gt;0,Results!$C$4="Fluid"),((E13)/(E$3*E$52)),IF(AND(Results!$C$4="Cells",Results!$C$5="Million"),((E13)/(E$3*E$50)),"-")))))</f>
        <v>0.59508403460648873</v>
      </c>
      <c r="F64" s="18">
        <f>IF(F13=0,"0",IF(AND(Results!$C$5="Protein",F$51&gt;0,OR(Results!$C$4="Tissue",Results!$C$4="Cells")),((F13)/(F$3*F$51)),IF(AND(Results!$C$5="Weight",F$50&gt;0,Results!$C$4="Tissue"),((F13)/(F$3*F$50)),IF(AND(Results!$C$5="Volume",F$52&gt;0,Results!$C$4="Fluid"),((F13)/(F$3*F$52)),IF(AND(Results!$C$4="Cells",Results!$C$5="Million"),((F13)/(F$3*F$50)),"-")))))</f>
        <v>0.48738894951439421</v>
      </c>
      <c r="G64" s="18">
        <f>IF(G13=0,"0",IF(AND(Results!$C$5="Protein",G$51&gt;0,OR(Results!$C$4="Tissue",Results!$C$4="Cells")),((G13)/(G$3*G$51)),IF(AND(Results!$C$5="Weight",G$50&gt;0,Results!$C$4="Tissue"),((G13)/(G$3*G$50)),IF(AND(Results!$C$5="Volume",G$52&gt;0,Results!$C$4="Fluid"),((G13)/(G$3*G$52)),IF(AND(Results!$C$4="Cells",Results!$C$5="Million"),((G13)/(G$3*G$50)),"-")))))</f>
        <v>0.53519076129941956</v>
      </c>
      <c r="H64" s="18">
        <f>IF(H13=0,"0",IF(AND(Results!$C$5="Protein",H$51&gt;0,OR(Results!$C$4="Tissue",Results!$C$4="Cells")),((H13)/(H$3*H$51)),IF(AND(Results!$C$5="Weight",H$50&gt;0,Results!$C$4="Tissue"),((H13)/(H$3*H$50)),IF(AND(Results!$C$5="Volume",H$52&gt;0,Results!$C$4="Fluid"),((H13)/(H$3*H$52)),IF(AND(Results!$C$4="Cells",Results!$C$5="Million"),((H13)/(H$3*H$50)),"-")))))</f>
        <v>0.51100649809103993</v>
      </c>
      <c r="I64" s="18">
        <f>IF(I13=0,"0",IF(AND(Results!$C$5="Protein",I$51&gt;0,OR(Results!$C$4="Tissue",Results!$C$4="Cells")),((I13)/(I$3*I$51)),IF(AND(Results!$C$5="Weight",I$50&gt;0,Results!$C$4="Tissue"),((I13)/(I$3*I$50)),IF(AND(Results!$C$5="Volume",I$52&gt;0,Results!$C$4="Fluid"),((I13)/(I$3*I$52)),IF(AND(Results!$C$4="Cells",Results!$C$5="Million"),((I13)/(I$3*I$50)),"-")))))</f>
        <v>0.42405701567606952</v>
      </c>
      <c r="J64" s="18">
        <f>IF(J13=0,"0",IF(AND(Results!$C$5="Protein",J$51&gt;0,OR(Results!$C$4="Tissue",Results!$C$4="Cells")),((J13)/(J$3*J$51)),IF(AND(Results!$C$5="Weight",J$50&gt;0,Results!$C$4="Tissue"),((J13)/(J$3*J$50)),IF(AND(Results!$C$5="Volume",J$52&gt;0,Results!$C$4="Fluid"),((J13)/(J$3*J$52)),IF(AND(Results!$C$4="Cells",Results!$C$5="Million"),((J13)/(J$3*J$50)),"-")))))</f>
        <v>0.36442640160640238</v>
      </c>
      <c r="K64" s="18">
        <f>IF(K13=0,"0",IF(AND(Results!$C$5="Protein",K$51&gt;0,OR(Results!$C$4="Tissue",Results!$C$4="Cells")),((K13)/(K$3*K$51)),IF(AND(Results!$C$5="Weight",K$50&gt;0,Results!$C$4="Tissue"),((K13)/(K$3*K$50)),IF(AND(Results!$C$5="Volume",K$52&gt;0,Results!$C$4="Fluid"),((K13)/(K$3*K$52)),IF(AND(Results!$C$4="Cells",Results!$C$5="Million"),((K13)/(K$3*K$50)),"-")))))</f>
        <v>0.41774626352154531</v>
      </c>
      <c r="L64" s="18">
        <f>IF(L13=0,"0",IF(AND(Results!$C$5="Protein",L$51&gt;0,OR(Results!$C$4="Tissue",Results!$C$4="Cells")),((L13)/(L$3*L$51)),IF(AND(Results!$C$5="Weight",L$50&gt;0,Results!$C$4="Tissue"),((L13)/(L$3*L$50)),IF(AND(Results!$C$5="Volume",L$52&gt;0,Results!$C$4="Fluid"),((L13)/(L$3*L$52)),IF(AND(Results!$C$4="Cells",Results!$C$5="Million"),((L13)/(L$3*L$50)),"-")))))</f>
        <v>0.43332611795862569</v>
      </c>
      <c r="M64" s="18">
        <f>IF(M13=0,"0",IF(AND(Results!$C$5="Protein",M$51&gt;0,OR(Results!$C$4="Tissue",Results!$C$4="Cells")),((M13)/(M$3*M$51)),IF(AND(Results!$C$5="Weight",M$50&gt;0,Results!$C$4="Tissue"),((M13)/(M$3*M$50)),IF(AND(Results!$C$5="Volume",M$52&gt;0,Results!$C$4="Fluid"),((M13)/(M$3*M$52)),IF(AND(Results!$C$4="Cells",Results!$C$5="Million"),((M13)/(M$3*M$50)),"-")))))</f>
        <v>0.46856052119824115</v>
      </c>
      <c r="N64" s="18">
        <f>IF(N13=0,"0",IF(AND(Results!$C$5="Protein",N$51&gt;0,OR(Results!$C$4="Tissue",Results!$C$4="Cells")),((N13)/(N$3*N$51)),IF(AND(Results!$C$5="Weight",N$50&gt;0,Results!$C$4="Tissue"),((N13)/(N$3*N$50)),IF(AND(Results!$C$5="Volume",N$52&gt;0,Results!$C$4="Fluid"),((N13)/(N$3*N$52)),IF(AND(Results!$C$4="Cells",Results!$C$5="Million"),((N13)/(N$3*N$50)),"-")))))</f>
        <v>0.42125157370393307</v>
      </c>
      <c r="O64" s="18">
        <f>IF(O13=0,"0",IF(AND(Results!$C$5="Protein",O$51&gt;0,OR(Results!$C$4="Tissue",Results!$C$4="Cells")),((O13)/(O$3*O$51)),IF(AND(Results!$C$5="Weight",O$50&gt;0,Results!$C$4="Tissue"),((O13)/(O$3*O$50)),IF(AND(Results!$C$5="Volume",O$52&gt;0,Results!$C$4="Fluid"),((O13)/(O$3*O$52)),IF(AND(Results!$C$4="Cells",Results!$C$5="Million"),((O13)/(O$3*O$50)),"-")))))</f>
        <v>0.51157891753648976</v>
      </c>
      <c r="P64" s="18">
        <f>IF(P13=0,"0",IF(AND(Results!$C$5="Protein",P$51&gt;0,OR(Results!$C$4="Tissue",Results!$C$4="Cells")),((P13)/(P$3*P$51)),IF(AND(Results!$C$5="Weight",P$50&gt;0,Results!$C$4="Tissue"),((P13)/(P$3*P$50)),IF(AND(Results!$C$5="Volume",P$52&gt;0,Results!$C$4="Fluid"),((P13)/(P$3*P$52)),IF(AND(Results!$C$4="Cells",Results!$C$5="Million"),((P13)/(P$3*P$50)),"-")))))</f>
        <v>1.1712806486410507</v>
      </c>
      <c r="Q64" s="18">
        <f>IF(Q13=0,"0",IF(AND(Results!$C$5="Protein",Q$51&gt;0,OR(Results!$C$4="Tissue",Results!$C$4="Cells")),((Q13)/(Q$3*Q$51)),IF(AND(Results!$C$5="Weight",Q$50&gt;0,Results!$C$4="Tissue"),((Q13)/(Q$3*Q$50)),IF(AND(Results!$C$5="Volume",Q$52&gt;0,Results!$C$4="Fluid"),((Q13)/(Q$3*Q$52)),IF(AND(Results!$C$4="Cells",Results!$C$5="Million"),((Q13)/(Q$3*Q$50)),"-")))))</f>
        <v>0.43993701475409502</v>
      </c>
      <c r="R64" s="18">
        <f>IF(R13=0,"0",IF(AND(Results!$C$5="Protein",R$51&gt;0,OR(Results!$C$4="Tissue",Results!$C$4="Cells")),((R13)/(R$3*R$51)),IF(AND(Results!$C$5="Weight",R$50&gt;0,Results!$C$4="Tissue"),((R13)/(R$3*R$50)),IF(AND(Results!$C$5="Volume",R$52&gt;0,Results!$C$4="Fluid"),((R13)/(R$3*R$52)),IF(AND(Results!$C$4="Cells",Results!$C$5="Million"),((R13)/(R$3*R$50)),"-")))))</f>
        <v>0.38707980125611391</v>
      </c>
      <c r="S64" s="18">
        <f>IF(S13=0,"0",IF(AND(Results!$C$5="Protein",S$51&gt;0,OR(Results!$C$4="Tissue",Results!$C$4="Cells")),((S13)/(S$3*S$51)),IF(AND(Results!$C$5="Weight",S$50&gt;0,Results!$C$4="Tissue"),((S13)/(S$3*S$50)),IF(AND(Results!$C$5="Volume",S$52&gt;0,Results!$C$4="Fluid"),((S13)/(S$3*S$52)),IF(AND(Results!$C$4="Cells",Results!$C$5="Million"),((S13)/(S$3*S$50)),"-")))))</f>
        <v>0.60896207571156113</v>
      </c>
      <c r="T64" s="18">
        <f>IF(T13=0,"0",IF(AND(Results!$C$5="Protein",T$51&gt;0,OR(Results!$C$4="Tissue",Results!$C$4="Cells")),((T13)/(T$3*T$51)),IF(AND(Results!$C$5="Weight",T$50&gt;0,Results!$C$4="Tissue"),((T13)/(T$3*T$50)),IF(AND(Results!$C$5="Volume",T$52&gt;0,Results!$C$4="Fluid"),((T13)/(T$3*T$52)),IF(AND(Results!$C$4="Cells",Results!$C$5="Million"),((T13)/(T$3*T$50)),"-")))))</f>
        <v>0.61147815465796851</v>
      </c>
      <c r="U64" s="18">
        <f>IF(U13=0,"0",IF(AND(Results!$C$5="Protein",U$51&gt;0,OR(Results!$C$4="Tissue",Results!$C$4="Cells")),((U13)/(U$3*U$51)),IF(AND(Results!$C$5="Weight",U$50&gt;0,Results!$C$4="Tissue"),((U13)/(U$3*U$50)),IF(AND(Results!$C$5="Volume",U$52&gt;0,Results!$C$4="Fluid"),((U13)/(U$3*U$52)),IF(AND(Results!$C$4="Cells",Results!$C$5="Million"),((U13)/(U$3*U$50)),"-")))))</f>
        <v>1.1986119405365931</v>
      </c>
      <c r="V64" s="18">
        <f>IF(V13=0,"0",IF(AND(Results!$C$5="Protein",V$51&gt;0,OR(Results!$C$4="Tissue",Results!$C$4="Cells")),((V13)/(V$3*V$51)),IF(AND(Results!$C$5="Weight",V$50&gt;0,Results!$C$4="Tissue"),((V13)/(V$3*V$50)),IF(AND(Results!$C$5="Volume",V$52&gt;0,Results!$C$4="Fluid"),((V13)/(V$3*V$52)),IF(AND(Results!$C$4="Cells",Results!$C$5="Million"),((V13)/(V$3*V$50)),"-")))))</f>
        <v>0.53134500140438645</v>
      </c>
    </row>
    <row r="65" spans="1:22" x14ac:dyDescent="0.25">
      <c r="A65" s="64" t="str">
        <f t="shared" si="0"/>
        <v>L_C20_0</v>
      </c>
      <c r="B65" s="64"/>
      <c r="C65" s="18" t="str">
        <f>IF(C14=0,"0",IF(AND(Results!$C$5="Protein",C$51&gt;0,OR(Results!$C$4="Tissue",Results!$C$4="Cells")),((C14)/(C$3*C$51)),IF(AND(Results!$C$5="Weight",C$50&gt;0,Results!$C$4="Tissue"),((C14)/(C$3*C$50)),IF(AND(Results!$C$5="Volume",C$52&gt;0,Results!$C$4="Fluid"),((C14)/(C$3*C$52)),IF(AND(Results!$C$4="Cells",Results!$C$5="Million"),((C14)/(C$3*C$50)),"-")))))</f>
        <v>0</v>
      </c>
      <c r="D65" s="18" t="str">
        <f>IF(D14=0,"0",IF(AND(Results!$C$5="Protein",D$51&gt;0,OR(Results!$C$4="Tissue",Results!$C$4="Cells")),((D14)/(D$3*D$51)),IF(AND(Results!$C$5="Weight",D$50&gt;0,Results!$C$4="Tissue"),((D14)/(D$3*D$50)),IF(AND(Results!$C$5="Volume",D$52&gt;0,Results!$C$4="Fluid"),((D14)/(D$3*D$52)),IF(AND(Results!$C$4="Cells",Results!$C$5="Million"),((D14)/(D$3*D$50)),"-")))))</f>
        <v>0</v>
      </c>
      <c r="E65" s="18" t="str">
        <f>IF(E14=0,"0",IF(AND(Results!$C$5="Protein",E$51&gt;0,OR(Results!$C$4="Tissue",Results!$C$4="Cells")),((E14)/(E$3*E$51)),IF(AND(Results!$C$5="Weight",E$50&gt;0,Results!$C$4="Tissue"),((E14)/(E$3*E$50)),IF(AND(Results!$C$5="Volume",E$52&gt;0,Results!$C$4="Fluid"),((E14)/(E$3*E$52)),IF(AND(Results!$C$4="Cells",Results!$C$5="Million"),((E14)/(E$3*E$50)),"-")))))</f>
        <v>0</v>
      </c>
      <c r="F65" s="18" t="str">
        <f>IF(F14=0,"0",IF(AND(Results!$C$5="Protein",F$51&gt;0,OR(Results!$C$4="Tissue",Results!$C$4="Cells")),((F14)/(F$3*F$51)),IF(AND(Results!$C$5="Weight",F$50&gt;0,Results!$C$4="Tissue"),((F14)/(F$3*F$50)),IF(AND(Results!$C$5="Volume",F$52&gt;0,Results!$C$4="Fluid"),((F14)/(F$3*F$52)),IF(AND(Results!$C$4="Cells",Results!$C$5="Million"),((F14)/(F$3*F$50)),"-")))))</f>
        <v>0</v>
      </c>
      <c r="G65" s="18" t="str">
        <f>IF(G14=0,"0",IF(AND(Results!$C$5="Protein",G$51&gt;0,OR(Results!$C$4="Tissue",Results!$C$4="Cells")),((G14)/(G$3*G$51)),IF(AND(Results!$C$5="Weight",G$50&gt;0,Results!$C$4="Tissue"),((G14)/(G$3*G$50)),IF(AND(Results!$C$5="Volume",G$52&gt;0,Results!$C$4="Fluid"),((G14)/(G$3*G$52)),IF(AND(Results!$C$4="Cells",Results!$C$5="Million"),((G14)/(G$3*G$50)),"-")))))</f>
        <v>0</v>
      </c>
      <c r="H65" s="18" t="str">
        <f>IF(H14=0,"0",IF(AND(Results!$C$5="Protein",H$51&gt;0,OR(Results!$C$4="Tissue",Results!$C$4="Cells")),((H14)/(H$3*H$51)),IF(AND(Results!$C$5="Weight",H$50&gt;0,Results!$C$4="Tissue"),((H14)/(H$3*H$50)),IF(AND(Results!$C$5="Volume",H$52&gt;0,Results!$C$4="Fluid"),((H14)/(H$3*H$52)),IF(AND(Results!$C$4="Cells",Results!$C$5="Million"),((H14)/(H$3*H$50)),"-")))))</f>
        <v>0</v>
      </c>
      <c r="I65" s="18" t="str">
        <f>IF(I14=0,"0",IF(AND(Results!$C$5="Protein",I$51&gt;0,OR(Results!$C$4="Tissue",Results!$C$4="Cells")),((I14)/(I$3*I$51)),IF(AND(Results!$C$5="Weight",I$50&gt;0,Results!$C$4="Tissue"),((I14)/(I$3*I$50)),IF(AND(Results!$C$5="Volume",I$52&gt;0,Results!$C$4="Fluid"),((I14)/(I$3*I$52)),IF(AND(Results!$C$4="Cells",Results!$C$5="Million"),((I14)/(I$3*I$50)),"-")))))</f>
        <v>0</v>
      </c>
      <c r="J65" s="18" t="str">
        <f>IF(J14=0,"0",IF(AND(Results!$C$5="Protein",J$51&gt;0,OR(Results!$C$4="Tissue",Results!$C$4="Cells")),((J14)/(J$3*J$51)),IF(AND(Results!$C$5="Weight",J$50&gt;0,Results!$C$4="Tissue"),((J14)/(J$3*J$50)),IF(AND(Results!$C$5="Volume",J$52&gt;0,Results!$C$4="Fluid"),((J14)/(J$3*J$52)),IF(AND(Results!$C$4="Cells",Results!$C$5="Million"),((J14)/(J$3*J$50)),"-")))))</f>
        <v>0</v>
      </c>
      <c r="K65" s="18" t="str">
        <f>IF(K14=0,"0",IF(AND(Results!$C$5="Protein",K$51&gt;0,OR(Results!$C$4="Tissue",Results!$C$4="Cells")),((K14)/(K$3*K$51)),IF(AND(Results!$C$5="Weight",K$50&gt;0,Results!$C$4="Tissue"),((K14)/(K$3*K$50)),IF(AND(Results!$C$5="Volume",K$52&gt;0,Results!$C$4="Fluid"),((K14)/(K$3*K$52)),IF(AND(Results!$C$4="Cells",Results!$C$5="Million"),((K14)/(K$3*K$50)),"-")))))</f>
        <v>0</v>
      </c>
      <c r="L65" s="18" t="str">
        <f>IF(L14=0,"0",IF(AND(Results!$C$5="Protein",L$51&gt;0,OR(Results!$C$4="Tissue",Results!$C$4="Cells")),((L14)/(L$3*L$51)),IF(AND(Results!$C$5="Weight",L$50&gt;0,Results!$C$4="Tissue"),((L14)/(L$3*L$50)),IF(AND(Results!$C$5="Volume",L$52&gt;0,Results!$C$4="Fluid"),((L14)/(L$3*L$52)),IF(AND(Results!$C$4="Cells",Results!$C$5="Million"),((L14)/(L$3*L$50)),"-")))))</f>
        <v>0</v>
      </c>
      <c r="M65" s="18" t="str">
        <f>IF(M14=0,"0",IF(AND(Results!$C$5="Protein",M$51&gt;0,OR(Results!$C$4="Tissue",Results!$C$4="Cells")),((M14)/(M$3*M$51)),IF(AND(Results!$C$5="Weight",M$50&gt;0,Results!$C$4="Tissue"),((M14)/(M$3*M$50)),IF(AND(Results!$C$5="Volume",M$52&gt;0,Results!$C$4="Fluid"),((M14)/(M$3*M$52)),IF(AND(Results!$C$4="Cells",Results!$C$5="Million"),((M14)/(M$3*M$50)),"-")))))</f>
        <v>0</v>
      </c>
      <c r="N65" s="18" t="str">
        <f>IF(N14=0,"0",IF(AND(Results!$C$5="Protein",N$51&gt;0,OR(Results!$C$4="Tissue",Results!$C$4="Cells")),((N14)/(N$3*N$51)),IF(AND(Results!$C$5="Weight",N$50&gt;0,Results!$C$4="Tissue"),((N14)/(N$3*N$50)),IF(AND(Results!$C$5="Volume",N$52&gt;0,Results!$C$4="Fluid"),((N14)/(N$3*N$52)),IF(AND(Results!$C$4="Cells",Results!$C$5="Million"),((N14)/(N$3*N$50)),"-")))))</f>
        <v>0</v>
      </c>
      <c r="O65" s="18" t="str">
        <f>IF(O14=0,"0",IF(AND(Results!$C$5="Protein",O$51&gt;0,OR(Results!$C$4="Tissue",Results!$C$4="Cells")),((O14)/(O$3*O$51)),IF(AND(Results!$C$5="Weight",O$50&gt;0,Results!$C$4="Tissue"),((O14)/(O$3*O$50)),IF(AND(Results!$C$5="Volume",O$52&gt;0,Results!$C$4="Fluid"),((O14)/(O$3*O$52)),IF(AND(Results!$C$4="Cells",Results!$C$5="Million"),((O14)/(O$3*O$50)),"-")))))</f>
        <v>0</v>
      </c>
      <c r="P65" s="18" t="str">
        <f>IF(P14=0,"0",IF(AND(Results!$C$5="Protein",P$51&gt;0,OR(Results!$C$4="Tissue",Results!$C$4="Cells")),((P14)/(P$3*P$51)),IF(AND(Results!$C$5="Weight",P$50&gt;0,Results!$C$4="Tissue"),((P14)/(P$3*P$50)),IF(AND(Results!$C$5="Volume",P$52&gt;0,Results!$C$4="Fluid"),((P14)/(P$3*P$52)),IF(AND(Results!$C$4="Cells",Results!$C$5="Million"),((P14)/(P$3*P$50)),"-")))))</f>
        <v>0</v>
      </c>
      <c r="Q65" s="18" t="str">
        <f>IF(Q14=0,"0",IF(AND(Results!$C$5="Protein",Q$51&gt;0,OR(Results!$C$4="Tissue",Results!$C$4="Cells")),((Q14)/(Q$3*Q$51)),IF(AND(Results!$C$5="Weight",Q$50&gt;0,Results!$C$4="Tissue"),((Q14)/(Q$3*Q$50)),IF(AND(Results!$C$5="Volume",Q$52&gt;0,Results!$C$4="Fluid"),((Q14)/(Q$3*Q$52)),IF(AND(Results!$C$4="Cells",Results!$C$5="Million"),((Q14)/(Q$3*Q$50)),"-")))))</f>
        <v>0</v>
      </c>
      <c r="R65" s="18" t="str">
        <f>IF(R14=0,"0",IF(AND(Results!$C$5="Protein",R$51&gt;0,OR(Results!$C$4="Tissue",Results!$C$4="Cells")),((R14)/(R$3*R$51)),IF(AND(Results!$C$5="Weight",R$50&gt;0,Results!$C$4="Tissue"),((R14)/(R$3*R$50)),IF(AND(Results!$C$5="Volume",R$52&gt;0,Results!$C$4="Fluid"),((R14)/(R$3*R$52)),IF(AND(Results!$C$4="Cells",Results!$C$5="Million"),((R14)/(R$3*R$50)),"-")))))</f>
        <v>0</v>
      </c>
      <c r="S65" s="18" t="str">
        <f>IF(S14=0,"0",IF(AND(Results!$C$5="Protein",S$51&gt;0,OR(Results!$C$4="Tissue",Results!$C$4="Cells")),((S14)/(S$3*S$51)),IF(AND(Results!$C$5="Weight",S$50&gt;0,Results!$C$4="Tissue"),((S14)/(S$3*S$50)),IF(AND(Results!$C$5="Volume",S$52&gt;0,Results!$C$4="Fluid"),((S14)/(S$3*S$52)),IF(AND(Results!$C$4="Cells",Results!$C$5="Million"),((S14)/(S$3*S$50)),"-")))))</f>
        <v>0</v>
      </c>
      <c r="T65" s="18" t="str">
        <f>IF(T14=0,"0",IF(AND(Results!$C$5="Protein",T$51&gt;0,OR(Results!$C$4="Tissue",Results!$C$4="Cells")),((T14)/(T$3*T$51)),IF(AND(Results!$C$5="Weight",T$50&gt;0,Results!$C$4="Tissue"),((T14)/(T$3*T$50)),IF(AND(Results!$C$5="Volume",T$52&gt;0,Results!$C$4="Fluid"),((T14)/(T$3*T$52)),IF(AND(Results!$C$4="Cells",Results!$C$5="Million"),((T14)/(T$3*T$50)),"-")))))</f>
        <v>0</v>
      </c>
      <c r="U65" s="18" t="str">
        <f>IF(U14=0,"0",IF(AND(Results!$C$5="Protein",U$51&gt;0,OR(Results!$C$4="Tissue",Results!$C$4="Cells")),((U14)/(U$3*U$51)),IF(AND(Results!$C$5="Weight",U$50&gt;0,Results!$C$4="Tissue"),((U14)/(U$3*U$50)),IF(AND(Results!$C$5="Volume",U$52&gt;0,Results!$C$4="Fluid"),((U14)/(U$3*U$52)),IF(AND(Results!$C$4="Cells",Results!$C$5="Million"),((U14)/(U$3*U$50)),"-")))))</f>
        <v>0</v>
      </c>
      <c r="V65" s="18" t="str">
        <f>IF(V14=0,"0",IF(AND(Results!$C$5="Protein",V$51&gt;0,OR(Results!$C$4="Tissue",Results!$C$4="Cells")),((V14)/(V$3*V$51)),IF(AND(Results!$C$5="Weight",V$50&gt;0,Results!$C$4="Tissue"),((V14)/(V$3*V$50)),IF(AND(Results!$C$5="Volume",V$52&gt;0,Results!$C$4="Fluid"),((V14)/(V$3*V$52)),IF(AND(Results!$C$4="Cells",Results!$C$5="Million"),((V14)/(V$3*V$50)),"-")))))</f>
        <v>0</v>
      </c>
    </row>
    <row r="66" spans="1:22" x14ac:dyDescent="0.25">
      <c r="A66" s="64" t="str">
        <f t="shared" si="0"/>
        <v>L_C21_0</v>
      </c>
      <c r="B66" s="64"/>
      <c r="C66" s="18" t="str">
        <f>IF(C15=0,"0",IF(AND(Results!$C$5="Protein",C$51&gt;0,OR(Results!$C$4="Tissue",Results!$C$4="Cells")),((C15)/(C$3*C$51)),IF(AND(Results!$C$5="Weight",C$50&gt;0,Results!$C$4="Tissue"),((C15)/(C$3*C$50)),IF(AND(Results!$C$5="Volume",C$52&gt;0,Results!$C$4="Fluid"),((C15)/(C$3*C$52)),IF(AND(Results!$C$4="Cells",Results!$C$5="Million"),((C15)/(C$3*C$50)),"-")))))</f>
        <v>0</v>
      </c>
      <c r="D66" s="18" t="str">
        <f>IF(D15=0,"0",IF(AND(Results!$C$5="Protein",D$51&gt;0,OR(Results!$C$4="Tissue",Results!$C$4="Cells")),((D15)/(D$3*D$51)),IF(AND(Results!$C$5="Weight",D$50&gt;0,Results!$C$4="Tissue"),((D15)/(D$3*D$50)),IF(AND(Results!$C$5="Volume",D$52&gt;0,Results!$C$4="Fluid"),((D15)/(D$3*D$52)),IF(AND(Results!$C$4="Cells",Results!$C$5="Million"),((D15)/(D$3*D$50)),"-")))))</f>
        <v>0</v>
      </c>
      <c r="E66" s="18" t="str">
        <f>IF(E15=0,"0",IF(AND(Results!$C$5="Protein",E$51&gt;0,OR(Results!$C$4="Tissue",Results!$C$4="Cells")),((E15)/(E$3*E$51)),IF(AND(Results!$C$5="Weight",E$50&gt;0,Results!$C$4="Tissue"),((E15)/(E$3*E$50)),IF(AND(Results!$C$5="Volume",E$52&gt;0,Results!$C$4="Fluid"),((E15)/(E$3*E$52)),IF(AND(Results!$C$4="Cells",Results!$C$5="Million"),((E15)/(E$3*E$50)),"-")))))</f>
        <v>0</v>
      </c>
      <c r="F66" s="18" t="str">
        <f>IF(F15=0,"0",IF(AND(Results!$C$5="Protein",F$51&gt;0,OR(Results!$C$4="Tissue",Results!$C$4="Cells")),((F15)/(F$3*F$51)),IF(AND(Results!$C$5="Weight",F$50&gt;0,Results!$C$4="Tissue"),((F15)/(F$3*F$50)),IF(AND(Results!$C$5="Volume",F$52&gt;0,Results!$C$4="Fluid"),((F15)/(F$3*F$52)),IF(AND(Results!$C$4="Cells",Results!$C$5="Million"),((F15)/(F$3*F$50)),"-")))))</f>
        <v>0</v>
      </c>
      <c r="G66" s="18" t="str">
        <f>IF(G15=0,"0",IF(AND(Results!$C$5="Protein",G$51&gt;0,OR(Results!$C$4="Tissue",Results!$C$4="Cells")),((G15)/(G$3*G$51)),IF(AND(Results!$C$5="Weight",G$50&gt;0,Results!$C$4="Tissue"),((G15)/(G$3*G$50)),IF(AND(Results!$C$5="Volume",G$52&gt;0,Results!$C$4="Fluid"),((G15)/(G$3*G$52)),IF(AND(Results!$C$4="Cells",Results!$C$5="Million"),((G15)/(G$3*G$50)),"-")))))</f>
        <v>0</v>
      </c>
      <c r="H66" s="18" t="str">
        <f>IF(H15=0,"0",IF(AND(Results!$C$5="Protein",H$51&gt;0,OR(Results!$C$4="Tissue",Results!$C$4="Cells")),((H15)/(H$3*H$51)),IF(AND(Results!$C$5="Weight",H$50&gt;0,Results!$C$4="Tissue"),((H15)/(H$3*H$50)),IF(AND(Results!$C$5="Volume",H$52&gt;0,Results!$C$4="Fluid"),((H15)/(H$3*H$52)),IF(AND(Results!$C$4="Cells",Results!$C$5="Million"),((H15)/(H$3*H$50)),"-")))))</f>
        <v>0</v>
      </c>
      <c r="I66" s="18" t="str">
        <f>IF(I15=0,"0",IF(AND(Results!$C$5="Protein",I$51&gt;0,OR(Results!$C$4="Tissue",Results!$C$4="Cells")),((I15)/(I$3*I$51)),IF(AND(Results!$C$5="Weight",I$50&gt;0,Results!$C$4="Tissue"),((I15)/(I$3*I$50)),IF(AND(Results!$C$5="Volume",I$52&gt;0,Results!$C$4="Fluid"),((I15)/(I$3*I$52)),IF(AND(Results!$C$4="Cells",Results!$C$5="Million"),((I15)/(I$3*I$50)),"-")))))</f>
        <v>0</v>
      </c>
      <c r="J66" s="18" t="str">
        <f>IF(J15=0,"0",IF(AND(Results!$C$5="Protein",J$51&gt;0,OR(Results!$C$4="Tissue",Results!$C$4="Cells")),((J15)/(J$3*J$51)),IF(AND(Results!$C$5="Weight",J$50&gt;0,Results!$C$4="Tissue"),((J15)/(J$3*J$50)),IF(AND(Results!$C$5="Volume",J$52&gt;0,Results!$C$4="Fluid"),((J15)/(J$3*J$52)),IF(AND(Results!$C$4="Cells",Results!$C$5="Million"),((J15)/(J$3*J$50)),"-")))))</f>
        <v>0</v>
      </c>
      <c r="K66" s="18" t="str">
        <f>IF(K15=0,"0",IF(AND(Results!$C$5="Protein",K$51&gt;0,OR(Results!$C$4="Tissue",Results!$C$4="Cells")),((K15)/(K$3*K$51)),IF(AND(Results!$C$5="Weight",K$50&gt;0,Results!$C$4="Tissue"),((K15)/(K$3*K$50)),IF(AND(Results!$C$5="Volume",K$52&gt;0,Results!$C$4="Fluid"),((K15)/(K$3*K$52)),IF(AND(Results!$C$4="Cells",Results!$C$5="Million"),((K15)/(K$3*K$50)),"-")))))</f>
        <v>0</v>
      </c>
      <c r="L66" s="18" t="str">
        <f>IF(L15=0,"0",IF(AND(Results!$C$5="Protein",L$51&gt;0,OR(Results!$C$4="Tissue",Results!$C$4="Cells")),((L15)/(L$3*L$51)),IF(AND(Results!$C$5="Weight",L$50&gt;0,Results!$C$4="Tissue"),((L15)/(L$3*L$50)),IF(AND(Results!$C$5="Volume",L$52&gt;0,Results!$C$4="Fluid"),((L15)/(L$3*L$52)),IF(AND(Results!$C$4="Cells",Results!$C$5="Million"),((L15)/(L$3*L$50)),"-")))))</f>
        <v>0</v>
      </c>
      <c r="M66" s="18" t="str">
        <f>IF(M15=0,"0",IF(AND(Results!$C$5="Protein",M$51&gt;0,OR(Results!$C$4="Tissue",Results!$C$4="Cells")),((M15)/(M$3*M$51)),IF(AND(Results!$C$5="Weight",M$50&gt;0,Results!$C$4="Tissue"),((M15)/(M$3*M$50)),IF(AND(Results!$C$5="Volume",M$52&gt;0,Results!$C$4="Fluid"),((M15)/(M$3*M$52)),IF(AND(Results!$C$4="Cells",Results!$C$5="Million"),((M15)/(M$3*M$50)),"-")))))</f>
        <v>0</v>
      </c>
      <c r="N66" s="18" t="str">
        <f>IF(N15=0,"0",IF(AND(Results!$C$5="Protein",N$51&gt;0,OR(Results!$C$4="Tissue",Results!$C$4="Cells")),((N15)/(N$3*N$51)),IF(AND(Results!$C$5="Weight",N$50&gt;0,Results!$C$4="Tissue"),((N15)/(N$3*N$50)),IF(AND(Results!$C$5="Volume",N$52&gt;0,Results!$C$4="Fluid"),((N15)/(N$3*N$52)),IF(AND(Results!$C$4="Cells",Results!$C$5="Million"),((N15)/(N$3*N$50)),"-")))))</f>
        <v>0</v>
      </c>
      <c r="O66" s="18" t="str">
        <f>IF(O15=0,"0",IF(AND(Results!$C$5="Protein",O$51&gt;0,OR(Results!$C$4="Tissue",Results!$C$4="Cells")),((O15)/(O$3*O$51)),IF(AND(Results!$C$5="Weight",O$50&gt;0,Results!$C$4="Tissue"),((O15)/(O$3*O$50)),IF(AND(Results!$C$5="Volume",O$52&gt;0,Results!$C$4="Fluid"),((O15)/(O$3*O$52)),IF(AND(Results!$C$4="Cells",Results!$C$5="Million"),((O15)/(O$3*O$50)),"-")))))</f>
        <v>0</v>
      </c>
      <c r="P66" s="18" t="str">
        <f>IF(P15=0,"0",IF(AND(Results!$C$5="Protein",P$51&gt;0,OR(Results!$C$4="Tissue",Results!$C$4="Cells")),((P15)/(P$3*P$51)),IF(AND(Results!$C$5="Weight",P$50&gt;0,Results!$C$4="Tissue"),((P15)/(P$3*P$50)),IF(AND(Results!$C$5="Volume",P$52&gt;0,Results!$C$4="Fluid"),((P15)/(P$3*P$52)),IF(AND(Results!$C$4="Cells",Results!$C$5="Million"),((P15)/(P$3*P$50)),"-")))))</f>
        <v>0</v>
      </c>
      <c r="Q66" s="18" t="str">
        <f>IF(Q15=0,"0",IF(AND(Results!$C$5="Protein",Q$51&gt;0,OR(Results!$C$4="Tissue",Results!$C$4="Cells")),((Q15)/(Q$3*Q$51)),IF(AND(Results!$C$5="Weight",Q$50&gt;0,Results!$C$4="Tissue"),((Q15)/(Q$3*Q$50)),IF(AND(Results!$C$5="Volume",Q$52&gt;0,Results!$C$4="Fluid"),((Q15)/(Q$3*Q$52)),IF(AND(Results!$C$4="Cells",Results!$C$5="Million"),((Q15)/(Q$3*Q$50)),"-")))))</f>
        <v>0</v>
      </c>
      <c r="R66" s="18" t="str">
        <f>IF(R15=0,"0",IF(AND(Results!$C$5="Protein",R$51&gt;0,OR(Results!$C$4="Tissue",Results!$C$4="Cells")),((R15)/(R$3*R$51)),IF(AND(Results!$C$5="Weight",R$50&gt;0,Results!$C$4="Tissue"),((R15)/(R$3*R$50)),IF(AND(Results!$C$5="Volume",R$52&gt;0,Results!$C$4="Fluid"),((R15)/(R$3*R$52)),IF(AND(Results!$C$4="Cells",Results!$C$5="Million"),((R15)/(R$3*R$50)),"-")))))</f>
        <v>0</v>
      </c>
      <c r="S66" s="18" t="str">
        <f>IF(S15=0,"0",IF(AND(Results!$C$5="Protein",S$51&gt;0,OR(Results!$C$4="Tissue",Results!$C$4="Cells")),((S15)/(S$3*S$51)),IF(AND(Results!$C$5="Weight",S$50&gt;0,Results!$C$4="Tissue"),((S15)/(S$3*S$50)),IF(AND(Results!$C$5="Volume",S$52&gt;0,Results!$C$4="Fluid"),((S15)/(S$3*S$52)),IF(AND(Results!$C$4="Cells",Results!$C$5="Million"),((S15)/(S$3*S$50)),"-")))))</f>
        <v>0</v>
      </c>
      <c r="T66" s="18" t="str">
        <f>IF(T15=0,"0",IF(AND(Results!$C$5="Protein",T$51&gt;0,OR(Results!$C$4="Tissue",Results!$C$4="Cells")),((T15)/(T$3*T$51)),IF(AND(Results!$C$5="Weight",T$50&gt;0,Results!$C$4="Tissue"),((T15)/(T$3*T$50)),IF(AND(Results!$C$5="Volume",T$52&gt;0,Results!$C$4="Fluid"),((T15)/(T$3*T$52)),IF(AND(Results!$C$4="Cells",Results!$C$5="Million"),((T15)/(T$3*T$50)),"-")))))</f>
        <v>0</v>
      </c>
      <c r="U66" s="18" t="str">
        <f>IF(U15=0,"0",IF(AND(Results!$C$5="Protein",U$51&gt;0,OR(Results!$C$4="Tissue",Results!$C$4="Cells")),((U15)/(U$3*U$51)),IF(AND(Results!$C$5="Weight",U$50&gt;0,Results!$C$4="Tissue"),((U15)/(U$3*U$50)),IF(AND(Results!$C$5="Volume",U$52&gt;0,Results!$C$4="Fluid"),((U15)/(U$3*U$52)),IF(AND(Results!$C$4="Cells",Results!$C$5="Million"),((U15)/(U$3*U$50)),"-")))))</f>
        <v>0</v>
      </c>
      <c r="V66" s="18" t="str">
        <f>IF(V15=0,"0",IF(AND(Results!$C$5="Protein",V$51&gt;0,OR(Results!$C$4="Tissue",Results!$C$4="Cells")),((V15)/(V$3*V$51)),IF(AND(Results!$C$5="Weight",V$50&gt;0,Results!$C$4="Tissue"),((V15)/(V$3*V$50)),IF(AND(Results!$C$5="Volume",V$52&gt;0,Results!$C$4="Fluid"),((V15)/(V$3*V$52)),IF(AND(Results!$C$4="Cells",Results!$C$5="Million"),((V15)/(V$3*V$50)),"-")))))</f>
        <v>0</v>
      </c>
    </row>
    <row r="67" spans="1:22" x14ac:dyDescent="0.25">
      <c r="A67" s="64" t="str">
        <f t="shared" si="0"/>
        <v>L_C22_0</v>
      </c>
      <c r="B67" s="64"/>
      <c r="C67" s="18" t="str">
        <f>IF(C16=0,"0",IF(AND(Results!$C$5="Protein",C$51&gt;0,OR(Results!$C$4="Tissue",Results!$C$4="Cells")),((C16)/(C$3*C$51)),IF(AND(Results!$C$5="Weight",C$50&gt;0,Results!$C$4="Tissue"),((C16)/(C$3*C$50)),IF(AND(Results!$C$5="Volume",C$52&gt;0,Results!$C$4="Fluid"),((C16)/(C$3*C$52)),IF(AND(Results!$C$4="Cells",Results!$C$5="Million"),((C16)/(C$3*C$50)),"-")))))</f>
        <v>0</v>
      </c>
      <c r="D67" s="18" t="str">
        <f>IF(D16=0,"0",IF(AND(Results!$C$5="Protein",D$51&gt;0,OR(Results!$C$4="Tissue",Results!$C$4="Cells")),((D16)/(D$3*D$51)),IF(AND(Results!$C$5="Weight",D$50&gt;0,Results!$C$4="Tissue"),((D16)/(D$3*D$50)),IF(AND(Results!$C$5="Volume",D$52&gt;0,Results!$C$4="Fluid"),((D16)/(D$3*D$52)),IF(AND(Results!$C$4="Cells",Results!$C$5="Million"),((D16)/(D$3*D$50)),"-")))))</f>
        <v>0</v>
      </c>
      <c r="E67" s="18" t="str">
        <f>IF(E16=0,"0",IF(AND(Results!$C$5="Protein",E$51&gt;0,OR(Results!$C$4="Tissue",Results!$C$4="Cells")),((E16)/(E$3*E$51)),IF(AND(Results!$C$5="Weight",E$50&gt;0,Results!$C$4="Tissue"),((E16)/(E$3*E$50)),IF(AND(Results!$C$5="Volume",E$52&gt;0,Results!$C$4="Fluid"),((E16)/(E$3*E$52)),IF(AND(Results!$C$4="Cells",Results!$C$5="Million"),((E16)/(E$3*E$50)),"-")))))</f>
        <v>0</v>
      </c>
      <c r="F67" s="18" t="str">
        <f>IF(F16=0,"0",IF(AND(Results!$C$5="Protein",F$51&gt;0,OR(Results!$C$4="Tissue",Results!$C$4="Cells")),((F16)/(F$3*F$51)),IF(AND(Results!$C$5="Weight",F$50&gt;0,Results!$C$4="Tissue"),((F16)/(F$3*F$50)),IF(AND(Results!$C$5="Volume",F$52&gt;0,Results!$C$4="Fluid"),((F16)/(F$3*F$52)),IF(AND(Results!$C$4="Cells",Results!$C$5="Million"),((F16)/(F$3*F$50)),"-")))))</f>
        <v>0</v>
      </c>
      <c r="G67" s="18" t="str">
        <f>IF(G16=0,"0",IF(AND(Results!$C$5="Protein",G$51&gt;0,OR(Results!$C$4="Tissue",Results!$C$4="Cells")),((G16)/(G$3*G$51)),IF(AND(Results!$C$5="Weight",G$50&gt;0,Results!$C$4="Tissue"),((G16)/(G$3*G$50)),IF(AND(Results!$C$5="Volume",G$52&gt;0,Results!$C$4="Fluid"),((G16)/(G$3*G$52)),IF(AND(Results!$C$4="Cells",Results!$C$5="Million"),((G16)/(G$3*G$50)),"-")))))</f>
        <v>0</v>
      </c>
      <c r="H67" s="18" t="str">
        <f>IF(H16=0,"0",IF(AND(Results!$C$5="Protein",H$51&gt;0,OR(Results!$C$4="Tissue",Results!$C$4="Cells")),((H16)/(H$3*H$51)),IF(AND(Results!$C$5="Weight",H$50&gt;0,Results!$C$4="Tissue"),((H16)/(H$3*H$50)),IF(AND(Results!$C$5="Volume",H$52&gt;0,Results!$C$4="Fluid"),((H16)/(H$3*H$52)),IF(AND(Results!$C$4="Cells",Results!$C$5="Million"),((H16)/(H$3*H$50)),"-")))))</f>
        <v>0</v>
      </c>
      <c r="I67" s="18" t="str">
        <f>IF(I16=0,"0",IF(AND(Results!$C$5="Protein",I$51&gt;0,OR(Results!$C$4="Tissue",Results!$C$4="Cells")),((I16)/(I$3*I$51)),IF(AND(Results!$C$5="Weight",I$50&gt;0,Results!$C$4="Tissue"),((I16)/(I$3*I$50)),IF(AND(Results!$C$5="Volume",I$52&gt;0,Results!$C$4="Fluid"),((I16)/(I$3*I$52)),IF(AND(Results!$C$4="Cells",Results!$C$5="Million"),((I16)/(I$3*I$50)),"-")))))</f>
        <v>0</v>
      </c>
      <c r="J67" s="18" t="str">
        <f>IF(J16=0,"0",IF(AND(Results!$C$5="Protein",J$51&gt;0,OR(Results!$C$4="Tissue",Results!$C$4="Cells")),((J16)/(J$3*J$51)),IF(AND(Results!$C$5="Weight",J$50&gt;0,Results!$C$4="Tissue"),((J16)/(J$3*J$50)),IF(AND(Results!$C$5="Volume",J$52&gt;0,Results!$C$4="Fluid"),((J16)/(J$3*J$52)),IF(AND(Results!$C$4="Cells",Results!$C$5="Million"),((J16)/(J$3*J$50)),"-")))))</f>
        <v>0</v>
      </c>
      <c r="K67" s="18" t="str">
        <f>IF(K16=0,"0",IF(AND(Results!$C$5="Protein",K$51&gt;0,OR(Results!$C$4="Tissue",Results!$C$4="Cells")),((K16)/(K$3*K$51)),IF(AND(Results!$C$5="Weight",K$50&gt;0,Results!$C$4="Tissue"),((K16)/(K$3*K$50)),IF(AND(Results!$C$5="Volume",K$52&gt;0,Results!$C$4="Fluid"),((K16)/(K$3*K$52)),IF(AND(Results!$C$4="Cells",Results!$C$5="Million"),((K16)/(K$3*K$50)),"-")))))</f>
        <v>0</v>
      </c>
      <c r="L67" s="18" t="str">
        <f>IF(L16=0,"0",IF(AND(Results!$C$5="Protein",L$51&gt;0,OR(Results!$C$4="Tissue",Results!$C$4="Cells")),((L16)/(L$3*L$51)),IF(AND(Results!$C$5="Weight",L$50&gt;0,Results!$C$4="Tissue"),((L16)/(L$3*L$50)),IF(AND(Results!$C$5="Volume",L$52&gt;0,Results!$C$4="Fluid"),((L16)/(L$3*L$52)),IF(AND(Results!$C$4="Cells",Results!$C$5="Million"),((L16)/(L$3*L$50)),"-")))))</f>
        <v>0</v>
      </c>
      <c r="M67" s="18" t="str">
        <f>IF(M16=0,"0",IF(AND(Results!$C$5="Protein",M$51&gt;0,OR(Results!$C$4="Tissue",Results!$C$4="Cells")),((M16)/(M$3*M$51)),IF(AND(Results!$C$5="Weight",M$50&gt;0,Results!$C$4="Tissue"),((M16)/(M$3*M$50)),IF(AND(Results!$C$5="Volume",M$52&gt;0,Results!$C$4="Fluid"),((M16)/(M$3*M$52)),IF(AND(Results!$C$4="Cells",Results!$C$5="Million"),((M16)/(M$3*M$50)),"-")))))</f>
        <v>0</v>
      </c>
      <c r="N67" s="18" t="str">
        <f>IF(N16=0,"0",IF(AND(Results!$C$5="Protein",N$51&gt;0,OR(Results!$C$4="Tissue",Results!$C$4="Cells")),((N16)/(N$3*N$51)),IF(AND(Results!$C$5="Weight",N$50&gt;0,Results!$C$4="Tissue"),((N16)/(N$3*N$50)),IF(AND(Results!$C$5="Volume",N$52&gt;0,Results!$C$4="Fluid"),((N16)/(N$3*N$52)),IF(AND(Results!$C$4="Cells",Results!$C$5="Million"),((N16)/(N$3*N$50)),"-")))))</f>
        <v>0</v>
      </c>
      <c r="O67" s="18" t="str">
        <f>IF(O16=0,"0",IF(AND(Results!$C$5="Protein",O$51&gt;0,OR(Results!$C$4="Tissue",Results!$C$4="Cells")),((O16)/(O$3*O$51)),IF(AND(Results!$C$5="Weight",O$50&gt;0,Results!$C$4="Tissue"),((O16)/(O$3*O$50)),IF(AND(Results!$C$5="Volume",O$52&gt;0,Results!$C$4="Fluid"),((O16)/(O$3*O$52)),IF(AND(Results!$C$4="Cells",Results!$C$5="Million"),((O16)/(O$3*O$50)),"-")))))</f>
        <v>0</v>
      </c>
      <c r="P67" s="18" t="str">
        <f>IF(P16=0,"0",IF(AND(Results!$C$5="Protein",P$51&gt;0,OR(Results!$C$4="Tissue",Results!$C$4="Cells")),((P16)/(P$3*P$51)),IF(AND(Results!$C$5="Weight",P$50&gt;0,Results!$C$4="Tissue"),((P16)/(P$3*P$50)),IF(AND(Results!$C$5="Volume",P$52&gt;0,Results!$C$4="Fluid"),((P16)/(P$3*P$52)),IF(AND(Results!$C$4="Cells",Results!$C$5="Million"),((P16)/(P$3*P$50)),"-")))))</f>
        <v>0</v>
      </c>
      <c r="Q67" s="18" t="str">
        <f>IF(Q16=0,"0",IF(AND(Results!$C$5="Protein",Q$51&gt;0,OR(Results!$C$4="Tissue",Results!$C$4="Cells")),((Q16)/(Q$3*Q$51)),IF(AND(Results!$C$5="Weight",Q$50&gt;0,Results!$C$4="Tissue"),((Q16)/(Q$3*Q$50)),IF(AND(Results!$C$5="Volume",Q$52&gt;0,Results!$C$4="Fluid"),((Q16)/(Q$3*Q$52)),IF(AND(Results!$C$4="Cells",Results!$C$5="Million"),((Q16)/(Q$3*Q$50)),"-")))))</f>
        <v>0</v>
      </c>
      <c r="R67" s="18" t="str">
        <f>IF(R16=0,"0",IF(AND(Results!$C$5="Protein",R$51&gt;0,OR(Results!$C$4="Tissue",Results!$C$4="Cells")),((R16)/(R$3*R$51)),IF(AND(Results!$C$5="Weight",R$50&gt;0,Results!$C$4="Tissue"),((R16)/(R$3*R$50)),IF(AND(Results!$C$5="Volume",R$52&gt;0,Results!$C$4="Fluid"),((R16)/(R$3*R$52)),IF(AND(Results!$C$4="Cells",Results!$C$5="Million"),((R16)/(R$3*R$50)),"-")))))</f>
        <v>0</v>
      </c>
      <c r="S67" s="18" t="str">
        <f>IF(S16=0,"0",IF(AND(Results!$C$5="Protein",S$51&gt;0,OR(Results!$C$4="Tissue",Results!$C$4="Cells")),((S16)/(S$3*S$51)),IF(AND(Results!$C$5="Weight",S$50&gt;0,Results!$C$4="Tissue"),((S16)/(S$3*S$50)),IF(AND(Results!$C$5="Volume",S$52&gt;0,Results!$C$4="Fluid"),((S16)/(S$3*S$52)),IF(AND(Results!$C$4="Cells",Results!$C$5="Million"),((S16)/(S$3*S$50)),"-")))))</f>
        <v>0</v>
      </c>
      <c r="T67" s="18" t="str">
        <f>IF(T16=0,"0",IF(AND(Results!$C$5="Protein",T$51&gt;0,OR(Results!$C$4="Tissue",Results!$C$4="Cells")),((T16)/(T$3*T$51)),IF(AND(Results!$C$5="Weight",T$50&gt;0,Results!$C$4="Tissue"),((T16)/(T$3*T$50)),IF(AND(Results!$C$5="Volume",T$52&gt;0,Results!$C$4="Fluid"),((T16)/(T$3*T$52)),IF(AND(Results!$C$4="Cells",Results!$C$5="Million"),((T16)/(T$3*T$50)),"-")))))</f>
        <v>0</v>
      </c>
      <c r="U67" s="18" t="str">
        <f>IF(U16=0,"0",IF(AND(Results!$C$5="Protein",U$51&gt;0,OR(Results!$C$4="Tissue",Results!$C$4="Cells")),((U16)/(U$3*U$51)),IF(AND(Results!$C$5="Weight",U$50&gt;0,Results!$C$4="Tissue"),((U16)/(U$3*U$50)),IF(AND(Results!$C$5="Volume",U$52&gt;0,Results!$C$4="Fluid"),((U16)/(U$3*U$52)),IF(AND(Results!$C$4="Cells",Results!$C$5="Million"),((U16)/(U$3*U$50)),"-")))))</f>
        <v>0</v>
      </c>
      <c r="V67" s="18" t="str">
        <f>IF(V16=0,"0",IF(AND(Results!$C$5="Protein",V$51&gt;0,OR(Results!$C$4="Tissue",Results!$C$4="Cells")),((V16)/(V$3*V$51)),IF(AND(Results!$C$5="Weight",V$50&gt;0,Results!$C$4="Tissue"),((V16)/(V$3*V$50)),IF(AND(Results!$C$5="Volume",V$52&gt;0,Results!$C$4="Fluid"),((V16)/(V$3*V$52)),IF(AND(Results!$C$4="Cells",Results!$C$5="Million"),((V16)/(V$3*V$50)),"-")))))</f>
        <v>0</v>
      </c>
    </row>
    <row r="68" spans="1:22" x14ac:dyDescent="0.25">
      <c r="A68" s="64" t="str">
        <f t="shared" si="0"/>
        <v>L_C23_0</v>
      </c>
      <c r="B68" s="64"/>
      <c r="C68" s="18" t="str">
        <f>IF(C17=0,"0",IF(AND(Results!$C$5="Protein",C$51&gt;0,OR(Results!$C$4="Tissue",Results!$C$4="Cells")),((C17)/(C$3*C$51)),IF(AND(Results!$C$5="Weight",C$50&gt;0,Results!$C$4="Tissue"),((C17)/(C$3*C$50)),IF(AND(Results!$C$5="Volume",C$52&gt;0,Results!$C$4="Fluid"),((C17)/(C$3*C$52)),IF(AND(Results!$C$4="Cells",Results!$C$5="Million"),((C17)/(C$3*C$50)),"-")))))</f>
        <v>0</v>
      </c>
      <c r="D68" s="18" t="str">
        <f>IF(D17=0,"0",IF(AND(Results!$C$5="Protein",D$51&gt;0,OR(Results!$C$4="Tissue",Results!$C$4="Cells")),((D17)/(D$3*D$51)),IF(AND(Results!$C$5="Weight",D$50&gt;0,Results!$C$4="Tissue"),((D17)/(D$3*D$50)),IF(AND(Results!$C$5="Volume",D$52&gt;0,Results!$C$4="Fluid"),((D17)/(D$3*D$52)),IF(AND(Results!$C$4="Cells",Results!$C$5="Million"),((D17)/(D$3*D$50)),"-")))))</f>
        <v>0</v>
      </c>
      <c r="E68" s="18" t="str">
        <f>IF(E17=0,"0",IF(AND(Results!$C$5="Protein",E$51&gt;0,OR(Results!$C$4="Tissue",Results!$C$4="Cells")),((E17)/(E$3*E$51)),IF(AND(Results!$C$5="Weight",E$50&gt;0,Results!$C$4="Tissue"),((E17)/(E$3*E$50)),IF(AND(Results!$C$5="Volume",E$52&gt;0,Results!$C$4="Fluid"),((E17)/(E$3*E$52)),IF(AND(Results!$C$4="Cells",Results!$C$5="Million"),((E17)/(E$3*E$50)),"-")))))</f>
        <v>0</v>
      </c>
      <c r="F68" s="18" t="str">
        <f>IF(F17=0,"0",IF(AND(Results!$C$5="Protein",F$51&gt;0,OR(Results!$C$4="Tissue",Results!$C$4="Cells")),((F17)/(F$3*F$51)),IF(AND(Results!$C$5="Weight",F$50&gt;0,Results!$C$4="Tissue"),((F17)/(F$3*F$50)),IF(AND(Results!$C$5="Volume",F$52&gt;0,Results!$C$4="Fluid"),((F17)/(F$3*F$52)),IF(AND(Results!$C$4="Cells",Results!$C$5="Million"),((F17)/(F$3*F$50)),"-")))))</f>
        <v>0</v>
      </c>
      <c r="G68" s="18" t="str">
        <f>IF(G17=0,"0",IF(AND(Results!$C$5="Protein",G$51&gt;0,OR(Results!$C$4="Tissue",Results!$C$4="Cells")),((G17)/(G$3*G$51)),IF(AND(Results!$C$5="Weight",G$50&gt;0,Results!$C$4="Tissue"),((G17)/(G$3*G$50)),IF(AND(Results!$C$5="Volume",G$52&gt;0,Results!$C$4="Fluid"),((G17)/(G$3*G$52)),IF(AND(Results!$C$4="Cells",Results!$C$5="Million"),((G17)/(G$3*G$50)),"-")))))</f>
        <v>0</v>
      </c>
      <c r="H68" s="18" t="str">
        <f>IF(H17=0,"0",IF(AND(Results!$C$5="Protein",H$51&gt;0,OR(Results!$C$4="Tissue",Results!$C$4="Cells")),((H17)/(H$3*H$51)),IF(AND(Results!$C$5="Weight",H$50&gt;0,Results!$C$4="Tissue"),((H17)/(H$3*H$50)),IF(AND(Results!$C$5="Volume",H$52&gt;0,Results!$C$4="Fluid"),((H17)/(H$3*H$52)),IF(AND(Results!$C$4="Cells",Results!$C$5="Million"),((H17)/(H$3*H$50)),"-")))))</f>
        <v>0</v>
      </c>
      <c r="I68" s="18" t="str">
        <f>IF(I17=0,"0",IF(AND(Results!$C$5="Protein",I$51&gt;0,OR(Results!$C$4="Tissue",Results!$C$4="Cells")),((I17)/(I$3*I$51)),IF(AND(Results!$C$5="Weight",I$50&gt;0,Results!$C$4="Tissue"),((I17)/(I$3*I$50)),IF(AND(Results!$C$5="Volume",I$52&gt;0,Results!$C$4="Fluid"),((I17)/(I$3*I$52)),IF(AND(Results!$C$4="Cells",Results!$C$5="Million"),((I17)/(I$3*I$50)),"-")))))</f>
        <v>0</v>
      </c>
      <c r="J68" s="18" t="str">
        <f>IF(J17=0,"0",IF(AND(Results!$C$5="Protein",J$51&gt;0,OR(Results!$C$4="Tissue",Results!$C$4="Cells")),((J17)/(J$3*J$51)),IF(AND(Results!$C$5="Weight",J$50&gt;0,Results!$C$4="Tissue"),((J17)/(J$3*J$50)),IF(AND(Results!$C$5="Volume",J$52&gt;0,Results!$C$4="Fluid"),((J17)/(J$3*J$52)),IF(AND(Results!$C$4="Cells",Results!$C$5="Million"),((J17)/(J$3*J$50)),"-")))))</f>
        <v>0</v>
      </c>
      <c r="K68" s="18" t="str">
        <f>IF(K17=0,"0",IF(AND(Results!$C$5="Protein",K$51&gt;0,OR(Results!$C$4="Tissue",Results!$C$4="Cells")),((K17)/(K$3*K$51)),IF(AND(Results!$C$5="Weight",K$50&gt;0,Results!$C$4="Tissue"),((K17)/(K$3*K$50)),IF(AND(Results!$C$5="Volume",K$52&gt;0,Results!$C$4="Fluid"),((K17)/(K$3*K$52)),IF(AND(Results!$C$4="Cells",Results!$C$5="Million"),((K17)/(K$3*K$50)),"-")))))</f>
        <v>0</v>
      </c>
      <c r="L68" s="18" t="str">
        <f>IF(L17=0,"0",IF(AND(Results!$C$5="Protein",L$51&gt;0,OR(Results!$C$4="Tissue",Results!$C$4="Cells")),((L17)/(L$3*L$51)),IF(AND(Results!$C$5="Weight",L$50&gt;0,Results!$C$4="Tissue"),((L17)/(L$3*L$50)),IF(AND(Results!$C$5="Volume",L$52&gt;0,Results!$C$4="Fluid"),((L17)/(L$3*L$52)),IF(AND(Results!$C$4="Cells",Results!$C$5="Million"),((L17)/(L$3*L$50)),"-")))))</f>
        <v>0</v>
      </c>
      <c r="M68" s="18" t="str">
        <f>IF(M17=0,"0",IF(AND(Results!$C$5="Protein",M$51&gt;0,OR(Results!$C$4="Tissue",Results!$C$4="Cells")),((M17)/(M$3*M$51)),IF(AND(Results!$C$5="Weight",M$50&gt;0,Results!$C$4="Tissue"),((M17)/(M$3*M$50)),IF(AND(Results!$C$5="Volume",M$52&gt;0,Results!$C$4="Fluid"),((M17)/(M$3*M$52)),IF(AND(Results!$C$4="Cells",Results!$C$5="Million"),((M17)/(M$3*M$50)),"-")))))</f>
        <v>0</v>
      </c>
      <c r="N68" s="18" t="str">
        <f>IF(N17=0,"0",IF(AND(Results!$C$5="Protein",N$51&gt;0,OR(Results!$C$4="Tissue",Results!$C$4="Cells")),((N17)/(N$3*N$51)),IF(AND(Results!$C$5="Weight",N$50&gt;0,Results!$C$4="Tissue"),((N17)/(N$3*N$50)),IF(AND(Results!$C$5="Volume",N$52&gt;0,Results!$C$4="Fluid"),((N17)/(N$3*N$52)),IF(AND(Results!$C$4="Cells",Results!$C$5="Million"),((N17)/(N$3*N$50)),"-")))))</f>
        <v>0</v>
      </c>
      <c r="O68" s="18" t="str">
        <f>IF(O17=0,"0",IF(AND(Results!$C$5="Protein",O$51&gt;0,OR(Results!$C$4="Tissue",Results!$C$4="Cells")),((O17)/(O$3*O$51)),IF(AND(Results!$C$5="Weight",O$50&gt;0,Results!$C$4="Tissue"),((O17)/(O$3*O$50)),IF(AND(Results!$C$5="Volume",O$52&gt;0,Results!$C$4="Fluid"),((O17)/(O$3*O$52)),IF(AND(Results!$C$4="Cells",Results!$C$5="Million"),((O17)/(O$3*O$50)),"-")))))</f>
        <v>0</v>
      </c>
      <c r="P68" s="18" t="str">
        <f>IF(P17=0,"0",IF(AND(Results!$C$5="Protein",P$51&gt;0,OR(Results!$C$4="Tissue",Results!$C$4="Cells")),((P17)/(P$3*P$51)),IF(AND(Results!$C$5="Weight",P$50&gt;0,Results!$C$4="Tissue"),((P17)/(P$3*P$50)),IF(AND(Results!$C$5="Volume",P$52&gt;0,Results!$C$4="Fluid"),((P17)/(P$3*P$52)),IF(AND(Results!$C$4="Cells",Results!$C$5="Million"),((P17)/(P$3*P$50)),"-")))))</f>
        <v>0</v>
      </c>
      <c r="Q68" s="18" t="str">
        <f>IF(Q17=0,"0",IF(AND(Results!$C$5="Protein",Q$51&gt;0,OR(Results!$C$4="Tissue",Results!$C$4="Cells")),((Q17)/(Q$3*Q$51)),IF(AND(Results!$C$5="Weight",Q$50&gt;0,Results!$C$4="Tissue"),((Q17)/(Q$3*Q$50)),IF(AND(Results!$C$5="Volume",Q$52&gt;0,Results!$C$4="Fluid"),((Q17)/(Q$3*Q$52)),IF(AND(Results!$C$4="Cells",Results!$C$5="Million"),((Q17)/(Q$3*Q$50)),"-")))))</f>
        <v>0</v>
      </c>
      <c r="R68" s="18" t="str">
        <f>IF(R17=0,"0",IF(AND(Results!$C$5="Protein",R$51&gt;0,OR(Results!$C$4="Tissue",Results!$C$4="Cells")),((R17)/(R$3*R$51)),IF(AND(Results!$C$5="Weight",R$50&gt;0,Results!$C$4="Tissue"),((R17)/(R$3*R$50)),IF(AND(Results!$C$5="Volume",R$52&gt;0,Results!$C$4="Fluid"),((R17)/(R$3*R$52)),IF(AND(Results!$C$4="Cells",Results!$C$5="Million"),((R17)/(R$3*R$50)),"-")))))</f>
        <v>0</v>
      </c>
      <c r="S68" s="18" t="str">
        <f>IF(S17=0,"0",IF(AND(Results!$C$5="Protein",S$51&gt;0,OR(Results!$C$4="Tissue",Results!$C$4="Cells")),((S17)/(S$3*S$51)),IF(AND(Results!$C$5="Weight",S$50&gt;0,Results!$C$4="Tissue"),((S17)/(S$3*S$50)),IF(AND(Results!$C$5="Volume",S$52&gt;0,Results!$C$4="Fluid"),((S17)/(S$3*S$52)),IF(AND(Results!$C$4="Cells",Results!$C$5="Million"),((S17)/(S$3*S$50)),"-")))))</f>
        <v>0</v>
      </c>
      <c r="T68" s="18" t="str">
        <f>IF(T17=0,"0",IF(AND(Results!$C$5="Protein",T$51&gt;0,OR(Results!$C$4="Tissue",Results!$C$4="Cells")),((T17)/(T$3*T$51)),IF(AND(Results!$C$5="Weight",T$50&gt;0,Results!$C$4="Tissue"),((T17)/(T$3*T$50)),IF(AND(Results!$C$5="Volume",T$52&gt;0,Results!$C$4="Fluid"),((T17)/(T$3*T$52)),IF(AND(Results!$C$4="Cells",Results!$C$5="Million"),((T17)/(T$3*T$50)),"-")))))</f>
        <v>0</v>
      </c>
      <c r="U68" s="18" t="str">
        <f>IF(U17=0,"0",IF(AND(Results!$C$5="Protein",U$51&gt;0,OR(Results!$C$4="Tissue",Results!$C$4="Cells")),((U17)/(U$3*U$51)),IF(AND(Results!$C$5="Weight",U$50&gt;0,Results!$C$4="Tissue"),((U17)/(U$3*U$50)),IF(AND(Results!$C$5="Volume",U$52&gt;0,Results!$C$4="Fluid"),((U17)/(U$3*U$52)),IF(AND(Results!$C$4="Cells",Results!$C$5="Million"),((U17)/(U$3*U$50)),"-")))))</f>
        <v>0</v>
      </c>
      <c r="V68" s="18" t="str">
        <f>IF(V17=0,"0",IF(AND(Results!$C$5="Protein",V$51&gt;0,OR(Results!$C$4="Tissue",Results!$C$4="Cells")),((V17)/(V$3*V$51)),IF(AND(Results!$C$5="Weight",V$50&gt;0,Results!$C$4="Tissue"),((V17)/(V$3*V$50)),IF(AND(Results!$C$5="Volume",V$52&gt;0,Results!$C$4="Fluid"),((V17)/(V$3*V$52)),IF(AND(Results!$C$4="Cells",Results!$C$5="Million"),((V17)/(V$3*V$50)),"-")))))</f>
        <v>0</v>
      </c>
    </row>
    <row r="69" spans="1:22" x14ac:dyDescent="0.25">
      <c r="A69" s="64" t="str">
        <f t="shared" si="0"/>
        <v>L_C24_0</v>
      </c>
      <c r="B69" s="64"/>
      <c r="C69" s="18">
        <f>IF(C18=0,"0",IF(AND(Results!$C$5="Protein",C$51&gt;0,OR(Results!$C$4="Tissue",Results!$C$4="Cells")),((C18)/(C$3*C$51)),IF(AND(Results!$C$5="Weight",C$50&gt;0,Results!$C$4="Tissue"),((C18)/(C$3*C$50)),IF(AND(Results!$C$5="Volume",C$52&gt;0,Results!$C$4="Fluid"),((C18)/(C$3*C$52)),IF(AND(Results!$C$4="Cells",Results!$C$5="Million"),((C18)/(C$3*C$50)),"-")))))</f>
        <v>7.573933567592725E-2</v>
      </c>
      <c r="D69" s="18">
        <f>IF(D18=0,"0",IF(AND(Results!$C$5="Protein",D$51&gt;0,OR(Results!$C$4="Tissue",Results!$C$4="Cells")),((D18)/(D$3*D$51)),IF(AND(Results!$C$5="Weight",D$50&gt;0,Results!$C$4="Tissue"),((D18)/(D$3*D$50)),IF(AND(Results!$C$5="Volume",D$52&gt;0,Results!$C$4="Fluid"),((D18)/(D$3*D$52)),IF(AND(Results!$C$4="Cells",Results!$C$5="Million"),((D18)/(D$3*D$50)),"-")))))</f>
        <v>5.160987859748227E-2</v>
      </c>
      <c r="E69" s="18">
        <f>IF(E18=0,"0",IF(AND(Results!$C$5="Protein",E$51&gt;0,OR(Results!$C$4="Tissue",Results!$C$4="Cells")),((E18)/(E$3*E$51)),IF(AND(Results!$C$5="Weight",E$50&gt;0,Results!$C$4="Tissue"),((E18)/(E$3*E$50)),IF(AND(Results!$C$5="Volume",E$52&gt;0,Results!$C$4="Fluid"),((E18)/(E$3*E$52)),IF(AND(Results!$C$4="Cells",Results!$C$5="Million"),((E18)/(E$3*E$50)),"-")))))</f>
        <v>6.8083451983862217E-2</v>
      </c>
      <c r="F69" s="18">
        <f>IF(F18=0,"0",IF(AND(Results!$C$5="Protein",F$51&gt;0,OR(Results!$C$4="Tissue",Results!$C$4="Cells")),((F18)/(F$3*F$51)),IF(AND(Results!$C$5="Weight",F$50&gt;0,Results!$C$4="Tissue"),((F18)/(F$3*F$50)),IF(AND(Results!$C$5="Volume",F$52&gt;0,Results!$C$4="Fluid"),((F18)/(F$3*F$52)),IF(AND(Results!$C$4="Cells",Results!$C$5="Million"),((F18)/(F$3*F$50)),"-")))))</f>
        <v>7.5508868233511328E-2</v>
      </c>
      <c r="G69" s="18">
        <f>IF(G18=0,"0",IF(AND(Results!$C$5="Protein",G$51&gt;0,OR(Results!$C$4="Tissue",Results!$C$4="Cells")),((G18)/(G$3*G$51)),IF(AND(Results!$C$5="Weight",G$50&gt;0,Results!$C$4="Tissue"),((G18)/(G$3*G$50)),IF(AND(Results!$C$5="Volume",G$52&gt;0,Results!$C$4="Fluid"),((G18)/(G$3*G$52)),IF(AND(Results!$C$4="Cells",Results!$C$5="Million"),((G18)/(G$3*G$50)),"-")))))</f>
        <v>6.8129784619340703E-2</v>
      </c>
      <c r="H69" s="18">
        <f>IF(H18=0,"0",IF(AND(Results!$C$5="Protein",H$51&gt;0,OR(Results!$C$4="Tissue",Results!$C$4="Cells")),((H18)/(H$3*H$51)),IF(AND(Results!$C$5="Weight",H$50&gt;0,Results!$C$4="Tissue"),((H18)/(H$3*H$50)),IF(AND(Results!$C$5="Volume",H$52&gt;0,Results!$C$4="Fluid"),((H18)/(H$3*H$52)),IF(AND(Results!$C$4="Cells",Results!$C$5="Million"),((H18)/(H$3*H$50)),"-")))))</f>
        <v>8.4061044218348813E-2</v>
      </c>
      <c r="I69" s="18">
        <f>IF(I18=0,"0",IF(AND(Results!$C$5="Protein",I$51&gt;0,OR(Results!$C$4="Tissue",Results!$C$4="Cells")),((I18)/(I$3*I$51)),IF(AND(Results!$C$5="Weight",I$50&gt;0,Results!$C$4="Tissue"),((I18)/(I$3*I$50)),IF(AND(Results!$C$5="Volume",I$52&gt;0,Results!$C$4="Fluid"),((I18)/(I$3*I$52)),IF(AND(Results!$C$4="Cells",Results!$C$5="Million"),((I18)/(I$3*I$50)),"-")))))</f>
        <v>3.4706842556870919E-2</v>
      </c>
      <c r="J69" s="18">
        <f>IF(J18=0,"0",IF(AND(Results!$C$5="Protein",J$51&gt;0,OR(Results!$C$4="Tissue",Results!$C$4="Cells")),((J18)/(J$3*J$51)),IF(AND(Results!$C$5="Weight",J$50&gt;0,Results!$C$4="Tissue"),((J18)/(J$3*J$50)),IF(AND(Results!$C$5="Volume",J$52&gt;0,Results!$C$4="Fluid"),((J18)/(J$3*J$52)),IF(AND(Results!$C$4="Cells",Results!$C$5="Million"),((J18)/(J$3*J$50)),"-")))))</f>
        <v>2.5906180423448871E-2</v>
      </c>
      <c r="K69" s="18">
        <f>IF(K18=0,"0",IF(AND(Results!$C$5="Protein",K$51&gt;0,OR(Results!$C$4="Tissue",Results!$C$4="Cells")),((K18)/(K$3*K$51)),IF(AND(Results!$C$5="Weight",K$50&gt;0,Results!$C$4="Tissue"),((K18)/(K$3*K$50)),IF(AND(Results!$C$5="Volume",K$52&gt;0,Results!$C$4="Fluid"),((K18)/(K$3*K$52)),IF(AND(Results!$C$4="Cells",Results!$C$5="Million"),((K18)/(K$3*K$50)),"-")))))</f>
        <v>3.1094982646670068E-2</v>
      </c>
      <c r="L69" s="18">
        <f>IF(L18=0,"0",IF(AND(Results!$C$5="Protein",L$51&gt;0,OR(Results!$C$4="Tissue",Results!$C$4="Cells")),((L18)/(L$3*L$51)),IF(AND(Results!$C$5="Weight",L$50&gt;0,Results!$C$4="Tissue"),((L18)/(L$3*L$50)),IF(AND(Results!$C$5="Volume",L$52&gt;0,Results!$C$4="Fluid"),((L18)/(L$3*L$52)),IF(AND(Results!$C$4="Cells",Results!$C$5="Million"),((L18)/(L$3*L$50)),"-")))))</f>
        <v>4.4081001041646022E-2</v>
      </c>
      <c r="M69" s="18">
        <f>IF(M18=0,"0",IF(AND(Results!$C$5="Protein",M$51&gt;0,OR(Results!$C$4="Tissue",Results!$C$4="Cells")),((M18)/(M$3*M$51)),IF(AND(Results!$C$5="Weight",M$50&gt;0,Results!$C$4="Tissue"),((M18)/(M$3*M$50)),IF(AND(Results!$C$5="Volume",M$52&gt;0,Results!$C$4="Fluid"),((M18)/(M$3*M$52)),IF(AND(Results!$C$4="Cells",Results!$C$5="Million"),((M18)/(M$3*M$50)),"-")))))</f>
        <v>8.8131705465735968E-2</v>
      </c>
      <c r="N69" s="18">
        <f>IF(N18=0,"0",IF(AND(Results!$C$5="Protein",N$51&gt;0,OR(Results!$C$4="Tissue",Results!$C$4="Cells")),((N18)/(N$3*N$51)),IF(AND(Results!$C$5="Weight",N$50&gt;0,Results!$C$4="Tissue"),((N18)/(N$3*N$50)),IF(AND(Results!$C$5="Volume",N$52&gt;0,Results!$C$4="Fluid"),((N18)/(N$3*N$52)),IF(AND(Results!$C$4="Cells",Results!$C$5="Million"),((N18)/(N$3*N$50)),"-")))))</f>
        <v>3.4554343114656744E-2</v>
      </c>
      <c r="O69" s="18">
        <f>IF(O18=0,"0",IF(AND(Results!$C$5="Protein",O$51&gt;0,OR(Results!$C$4="Tissue",Results!$C$4="Cells")),((O18)/(O$3*O$51)),IF(AND(Results!$C$5="Weight",O$50&gt;0,Results!$C$4="Tissue"),((O18)/(O$3*O$50)),IF(AND(Results!$C$5="Volume",O$52&gt;0,Results!$C$4="Fluid"),((O18)/(O$3*O$52)),IF(AND(Results!$C$4="Cells",Results!$C$5="Million"),((O18)/(O$3*O$50)),"-")))))</f>
        <v>5.2064891794705269E-2</v>
      </c>
      <c r="P69" s="18">
        <f>IF(P18=0,"0",IF(AND(Results!$C$5="Protein",P$51&gt;0,OR(Results!$C$4="Tissue",Results!$C$4="Cells")),((P18)/(P$3*P$51)),IF(AND(Results!$C$5="Weight",P$50&gt;0,Results!$C$4="Tissue"),((P18)/(P$3*P$50)),IF(AND(Results!$C$5="Volume",P$52&gt;0,Results!$C$4="Fluid"),((P18)/(P$3*P$52)),IF(AND(Results!$C$4="Cells",Results!$C$5="Million"),((P18)/(P$3*P$50)),"-")))))</f>
        <v>8.9643118826044657E-2</v>
      </c>
      <c r="Q69" s="18">
        <f>IF(Q18=0,"0",IF(AND(Results!$C$5="Protein",Q$51&gt;0,OR(Results!$C$4="Tissue",Results!$C$4="Cells")),((Q18)/(Q$3*Q$51)),IF(AND(Results!$C$5="Weight",Q$50&gt;0,Results!$C$4="Tissue"),((Q18)/(Q$3*Q$50)),IF(AND(Results!$C$5="Volume",Q$52&gt;0,Results!$C$4="Fluid"),((Q18)/(Q$3*Q$52)),IF(AND(Results!$C$4="Cells",Results!$C$5="Million"),((Q18)/(Q$3*Q$50)),"-")))))</f>
        <v>2.7550347590780767E-2</v>
      </c>
      <c r="R69" s="18">
        <f>IF(R18=0,"0",IF(AND(Results!$C$5="Protein",R$51&gt;0,OR(Results!$C$4="Tissue",Results!$C$4="Cells")),((R18)/(R$3*R$51)),IF(AND(Results!$C$5="Weight",R$50&gt;0,Results!$C$4="Tissue"),((R18)/(R$3*R$50)),IF(AND(Results!$C$5="Volume",R$52&gt;0,Results!$C$4="Fluid"),((R18)/(R$3*R$52)),IF(AND(Results!$C$4="Cells",Results!$C$5="Million"),((R18)/(R$3*R$50)),"-")))))</f>
        <v>4.863862924677588E-2</v>
      </c>
      <c r="S69" s="18">
        <f>IF(S18=0,"0",IF(AND(Results!$C$5="Protein",S$51&gt;0,OR(Results!$C$4="Tissue",Results!$C$4="Cells")),((S18)/(S$3*S$51)),IF(AND(Results!$C$5="Weight",S$50&gt;0,Results!$C$4="Tissue"),((S18)/(S$3*S$50)),IF(AND(Results!$C$5="Volume",S$52&gt;0,Results!$C$4="Fluid"),((S18)/(S$3*S$52)),IF(AND(Results!$C$4="Cells",Results!$C$5="Million"),((S18)/(S$3*S$50)),"-")))))</f>
        <v>6.7365230776242263E-2</v>
      </c>
      <c r="T69" s="18">
        <f>IF(T18=0,"0",IF(AND(Results!$C$5="Protein",T$51&gt;0,OR(Results!$C$4="Tissue",Results!$C$4="Cells")),((T18)/(T$3*T$51)),IF(AND(Results!$C$5="Weight",T$50&gt;0,Results!$C$4="Tissue"),((T18)/(T$3*T$50)),IF(AND(Results!$C$5="Volume",T$52&gt;0,Results!$C$4="Fluid"),((T18)/(T$3*T$52)),IF(AND(Results!$C$4="Cells",Results!$C$5="Million"),((T18)/(T$3*T$50)),"-")))))</f>
        <v>7.599906158676252E-2</v>
      </c>
      <c r="U69" s="18">
        <f>IF(U18=0,"0",IF(AND(Results!$C$5="Protein",U$51&gt;0,OR(Results!$C$4="Tissue",Results!$C$4="Cells")),((U18)/(U$3*U$51)),IF(AND(Results!$C$5="Weight",U$50&gt;0,Results!$C$4="Tissue"),((U18)/(U$3*U$50)),IF(AND(Results!$C$5="Volume",U$52&gt;0,Results!$C$4="Fluid"),((U18)/(U$3*U$52)),IF(AND(Results!$C$4="Cells",Results!$C$5="Million"),((U18)/(U$3*U$50)),"-")))))</f>
        <v>9.5197391924627589E-2</v>
      </c>
      <c r="V69" s="18">
        <f>IF(V18=0,"0",IF(AND(Results!$C$5="Protein",V$51&gt;0,OR(Results!$C$4="Tissue",Results!$C$4="Cells")),((V18)/(V$3*V$51)),IF(AND(Results!$C$5="Weight",V$50&gt;0,Results!$C$4="Tissue"),((V18)/(V$3*V$50)),IF(AND(Results!$C$5="Volume",V$52&gt;0,Results!$C$4="Fluid"),((V18)/(V$3*V$52)),IF(AND(Results!$C$4="Cells",Results!$C$5="Million"),((V18)/(V$3*V$50)),"-")))))</f>
        <v>4.0520938936232202E-2</v>
      </c>
    </row>
    <row r="70" spans="1:22" x14ac:dyDescent="0.25">
      <c r="A70" s="64" t="str">
        <f t="shared" si="0"/>
        <v>L_C14_1w7</v>
      </c>
      <c r="B70" s="64"/>
      <c r="C70" s="18" t="str">
        <f>IF(C19=0,"0",IF(AND(Results!$C$5="Protein",C$51&gt;0,OR(Results!$C$4="Tissue",Results!$C$4="Cells")),((C19)/(C$3*C$51)),IF(AND(Results!$C$5="Weight",C$50&gt;0,Results!$C$4="Tissue"),((C19)/(C$3*C$50)),IF(AND(Results!$C$5="Volume",C$52&gt;0,Results!$C$4="Fluid"),((C19)/(C$3*C$52)),IF(AND(Results!$C$4="Cells",Results!$C$5="Million"),((C19)/(C$3*C$50)),"-")))))</f>
        <v>0</v>
      </c>
      <c r="D70" s="18" t="str">
        <f>IF(D19=0,"0",IF(AND(Results!$C$5="Protein",D$51&gt;0,OR(Results!$C$4="Tissue",Results!$C$4="Cells")),((D19)/(D$3*D$51)),IF(AND(Results!$C$5="Weight",D$50&gt;0,Results!$C$4="Tissue"),((D19)/(D$3*D$50)),IF(AND(Results!$C$5="Volume",D$52&gt;0,Results!$C$4="Fluid"),((D19)/(D$3*D$52)),IF(AND(Results!$C$4="Cells",Results!$C$5="Million"),((D19)/(D$3*D$50)),"-")))))</f>
        <v>0</v>
      </c>
      <c r="E70" s="18" t="str">
        <f>IF(E19=0,"0",IF(AND(Results!$C$5="Protein",E$51&gt;0,OR(Results!$C$4="Tissue",Results!$C$4="Cells")),((E19)/(E$3*E$51)),IF(AND(Results!$C$5="Weight",E$50&gt;0,Results!$C$4="Tissue"),((E19)/(E$3*E$50)),IF(AND(Results!$C$5="Volume",E$52&gt;0,Results!$C$4="Fluid"),((E19)/(E$3*E$52)),IF(AND(Results!$C$4="Cells",Results!$C$5="Million"),((E19)/(E$3*E$50)),"-")))))</f>
        <v>0</v>
      </c>
      <c r="F70" s="18" t="str">
        <f>IF(F19=0,"0",IF(AND(Results!$C$5="Protein",F$51&gt;0,OR(Results!$C$4="Tissue",Results!$C$4="Cells")),((F19)/(F$3*F$51)),IF(AND(Results!$C$5="Weight",F$50&gt;0,Results!$C$4="Tissue"),((F19)/(F$3*F$50)),IF(AND(Results!$C$5="Volume",F$52&gt;0,Results!$C$4="Fluid"),((F19)/(F$3*F$52)),IF(AND(Results!$C$4="Cells",Results!$C$5="Million"),((F19)/(F$3*F$50)),"-")))))</f>
        <v>0</v>
      </c>
      <c r="G70" s="18" t="str">
        <f>IF(G19=0,"0",IF(AND(Results!$C$5="Protein",G$51&gt;0,OR(Results!$C$4="Tissue",Results!$C$4="Cells")),((G19)/(G$3*G$51)),IF(AND(Results!$C$5="Weight",G$50&gt;0,Results!$C$4="Tissue"),((G19)/(G$3*G$50)),IF(AND(Results!$C$5="Volume",G$52&gt;0,Results!$C$4="Fluid"),((G19)/(G$3*G$52)),IF(AND(Results!$C$4="Cells",Results!$C$5="Million"),((G19)/(G$3*G$50)),"-")))))</f>
        <v>0</v>
      </c>
      <c r="H70" s="18" t="str">
        <f>IF(H19=0,"0",IF(AND(Results!$C$5="Protein",H$51&gt;0,OR(Results!$C$4="Tissue",Results!$C$4="Cells")),((H19)/(H$3*H$51)),IF(AND(Results!$C$5="Weight",H$50&gt;0,Results!$C$4="Tissue"),((H19)/(H$3*H$50)),IF(AND(Results!$C$5="Volume",H$52&gt;0,Results!$C$4="Fluid"),((H19)/(H$3*H$52)),IF(AND(Results!$C$4="Cells",Results!$C$5="Million"),((H19)/(H$3*H$50)),"-")))))</f>
        <v>0</v>
      </c>
      <c r="I70" s="18" t="str">
        <f>IF(I19=0,"0",IF(AND(Results!$C$5="Protein",I$51&gt;0,OR(Results!$C$4="Tissue",Results!$C$4="Cells")),((I19)/(I$3*I$51)),IF(AND(Results!$C$5="Weight",I$50&gt;0,Results!$C$4="Tissue"),((I19)/(I$3*I$50)),IF(AND(Results!$C$5="Volume",I$52&gt;0,Results!$C$4="Fluid"),((I19)/(I$3*I$52)),IF(AND(Results!$C$4="Cells",Results!$C$5="Million"),((I19)/(I$3*I$50)),"-")))))</f>
        <v>0</v>
      </c>
      <c r="J70" s="18" t="str">
        <f>IF(J19=0,"0",IF(AND(Results!$C$5="Protein",J$51&gt;0,OR(Results!$C$4="Tissue",Results!$C$4="Cells")),((J19)/(J$3*J$51)),IF(AND(Results!$C$5="Weight",J$50&gt;0,Results!$C$4="Tissue"),((J19)/(J$3*J$50)),IF(AND(Results!$C$5="Volume",J$52&gt;0,Results!$C$4="Fluid"),((J19)/(J$3*J$52)),IF(AND(Results!$C$4="Cells",Results!$C$5="Million"),((J19)/(J$3*J$50)),"-")))))</f>
        <v>0</v>
      </c>
      <c r="K70" s="18" t="str">
        <f>IF(K19=0,"0",IF(AND(Results!$C$5="Protein",K$51&gt;0,OR(Results!$C$4="Tissue",Results!$C$4="Cells")),((K19)/(K$3*K$51)),IF(AND(Results!$C$5="Weight",K$50&gt;0,Results!$C$4="Tissue"),((K19)/(K$3*K$50)),IF(AND(Results!$C$5="Volume",K$52&gt;0,Results!$C$4="Fluid"),((K19)/(K$3*K$52)),IF(AND(Results!$C$4="Cells",Results!$C$5="Million"),((K19)/(K$3*K$50)),"-")))))</f>
        <v>0</v>
      </c>
      <c r="L70" s="18" t="str">
        <f>IF(L19=0,"0",IF(AND(Results!$C$5="Protein",L$51&gt;0,OR(Results!$C$4="Tissue",Results!$C$4="Cells")),((L19)/(L$3*L$51)),IF(AND(Results!$C$5="Weight",L$50&gt;0,Results!$C$4="Tissue"),((L19)/(L$3*L$50)),IF(AND(Results!$C$5="Volume",L$52&gt;0,Results!$C$4="Fluid"),((L19)/(L$3*L$52)),IF(AND(Results!$C$4="Cells",Results!$C$5="Million"),((L19)/(L$3*L$50)),"-")))))</f>
        <v>0</v>
      </c>
      <c r="M70" s="18" t="str">
        <f>IF(M19=0,"0",IF(AND(Results!$C$5="Protein",M$51&gt;0,OR(Results!$C$4="Tissue",Results!$C$4="Cells")),((M19)/(M$3*M$51)),IF(AND(Results!$C$5="Weight",M$50&gt;0,Results!$C$4="Tissue"),((M19)/(M$3*M$50)),IF(AND(Results!$C$5="Volume",M$52&gt;0,Results!$C$4="Fluid"),((M19)/(M$3*M$52)),IF(AND(Results!$C$4="Cells",Results!$C$5="Million"),((M19)/(M$3*M$50)),"-")))))</f>
        <v>0</v>
      </c>
      <c r="N70" s="18" t="str">
        <f>IF(N19=0,"0",IF(AND(Results!$C$5="Protein",N$51&gt;0,OR(Results!$C$4="Tissue",Results!$C$4="Cells")),((N19)/(N$3*N$51)),IF(AND(Results!$C$5="Weight",N$50&gt;0,Results!$C$4="Tissue"),((N19)/(N$3*N$50)),IF(AND(Results!$C$5="Volume",N$52&gt;0,Results!$C$4="Fluid"),((N19)/(N$3*N$52)),IF(AND(Results!$C$4="Cells",Results!$C$5="Million"),((N19)/(N$3*N$50)),"-")))))</f>
        <v>0</v>
      </c>
      <c r="O70" s="18" t="str">
        <f>IF(O19=0,"0",IF(AND(Results!$C$5="Protein",O$51&gt;0,OR(Results!$C$4="Tissue",Results!$C$4="Cells")),((O19)/(O$3*O$51)),IF(AND(Results!$C$5="Weight",O$50&gt;0,Results!$C$4="Tissue"),((O19)/(O$3*O$50)),IF(AND(Results!$C$5="Volume",O$52&gt;0,Results!$C$4="Fluid"),((O19)/(O$3*O$52)),IF(AND(Results!$C$4="Cells",Results!$C$5="Million"),((O19)/(O$3*O$50)),"-")))))</f>
        <v>0</v>
      </c>
      <c r="P70" s="18" t="str">
        <f>IF(P19=0,"0",IF(AND(Results!$C$5="Protein",P$51&gt;0,OR(Results!$C$4="Tissue",Results!$C$4="Cells")),((P19)/(P$3*P$51)),IF(AND(Results!$C$5="Weight",P$50&gt;0,Results!$C$4="Tissue"),((P19)/(P$3*P$50)),IF(AND(Results!$C$5="Volume",P$52&gt;0,Results!$C$4="Fluid"),((P19)/(P$3*P$52)),IF(AND(Results!$C$4="Cells",Results!$C$5="Million"),((P19)/(P$3*P$50)),"-")))))</f>
        <v>0</v>
      </c>
      <c r="Q70" s="18" t="str">
        <f>IF(Q19=0,"0",IF(AND(Results!$C$5="Protein",Q$51&gt;0,OR(Results!$C$4="Tissue",Results!$C$4="Cells")),((Q19)/(Q$3*Q$51)),IF(AND(Results!$C$5="Weight",Q$50&gt;0,Results!$C$4="Tissue"),((Q19)/(Q$3*Q$50)),IF(AND(Results!$C$5="Volume",Q$52&gt;0,Results!$C$4="Fluid"),((Q19)/(Q$3*Q$52)),IF(AND(Results!$C$4="Cells",Results!$C$5="Million"),((Q19)/(Q$3*Q$50)),"-")))))</f>
        <v>0</v>
      </c>
      <c r="R70" s="18" t="str">
        <f>IF(R19=0,"0",IF(AND(Results!$C$5="Protein",R$51&gt;0,OR(Results!$C$4="Tissue",Results!$C$4="Cells")),((R19)/(R$3*R$51)),IF(AND(Results!$C$5="Weight",R$50&gt;0,Results!$C$4="Tissue"),((R19)/(R$3*R$50)),IF(AND(Results!$C$5="Volume",R$52&gt;0,Results!$C$4="Fluid"),((R19)/(R$3*R$52)),IF(AND(Results!$C$4="Cells",Results!$C$5="Million"),((R19)/(R$3*R$50)),"-")))))</f>
        <v>0</v>
      </c>
      <c r="S70" s="18" t="str">
        <f>IF(S19=0,"0",IF(AND(Results!$C$5="Protein",S$51&gt;0,OR(Results!$C$4="Tissue",Results!$C$4="Cells")),((S19)/(S$3*S$51)),IF(AND(Results!$C$5="Weight",S$50&gt;0,Results!$C$4="Tissue"),((S19)/(S$3*S$50)),IF(AND(Results!$C$5="Volume",S$52&gt;0,Results!$C$4="Fluid"),((S19)/(S$3*S$52)),IF(AND(Results!$C$4="Cells",Results!$C$5="Million"),((S19)/(S$3*S$50)),"-")))))</f>
        <v>0</v>
      </c>
      <c r="T70" s="18" t="str">
        <f>IF(T19=0,"0",IF(AND(Results!$C$5="Protein",T$51&gt;0,OR(Results!$C$4="Tissue",Results!$C$4="Cells")),((T19)/(T$3*T$51)),IF(AND(Results!$C$5="Weight",T$50&gt;0,Results!$C$4="Tissue"),((T19)/(T$3*T$50)),IF(AND(Results!$C$5="Volume",T$52&gt;0,Results!$C$4="Fluid"),((T19)/(T$3*T$52)),IF(AND(Results!$C$4="Cells",Results!$C$5="Million"),((T19)/(T$3*T$50)),"-")))))</f>
        <v>0</v>
      </c>
      <c r="U70" s="18" t="str">
        <f>IF(U19=0,"0",IF(AND(Results!$C$5="Protein",U$51&gt;0,OR(Results!$C$4="Tissue",Results!$C$4="Cells")),((U19)/(U$3*U$51)),IF(AND(Results!$C$5="Weight",U$50&gt;0,Results!$C$4="Tissue"),((U19)/(U$3*U$50)),IF(AND(Results!$C$5="Volume",U$52&gt;0,Results!$C$4="Fluid"),((U19)/(U$3*U$52)),IF(AND(Results!$C$4="Cells",Results!$C$5="Million"),((U19)/(U$3*U$50)),"-")))))</f>
        <v>0</v>
      </c>
      <c r="V70" s="18" t="str">
        <f>IF(V19=0,"0",IF(AND(Results!$C$5="Protein",V$51&gt;0,OR(Results!$C$4="Tissue",Results!$C$4="Cells")),((V19)/(V$3*V$51)),IF(AND(Results!$C$5="Weight",V$50&gt;0,Results!$C$4="Tissue"),((V19)/(V$3*V$50)),IF(AND(Results!$C$5="Volume",V$52&gt;0,Results!$C$4="Fluid"),((V19)/(V$3*V$52)),IF(AND(Results!$C$4="Cells",Results!$C$5="Million"),((V19)/(V$3*V$50)),"-")))))</f>
        <v>0</v>
      </c>
    </row>
    <row r="71" spans="1:22" x14ac:dyDescent="0.25">
      <c r="A71" s="64" t="str">
        <f t="shared" si="0"/>
        <v>L_C15_1w7</v>
      </c>
      <c r="B71" s="64"/>
      <c r="C71" s="18" t="str">
        <f>IF(C20=0,"0",IF(AND(Results!$C$5="Protein",C$51&gt;0,OR(Results!$C$4="Tissue",Results!$C$4="Cells")),((C20)/(C$3*C$51)),IF(AND(Results!$C$5="Weight",C$50&gt;0,Results!$C$4="Tissue"),((C20)/(C$3*C$50)),IF(AND(Results!$C$5="Volume",C$52&gt;0,Results!$C$4="Fluid"),((C20)/(C$3*C$52)),IF(AND(Results!$C$4="Cells",Results!$C$5="Million"),((C20)/(C$3*C$50)),"-")))))</f>
        <v>0</v>
      </c>
      <c r="D71" s="18" t="str">
        <f>IF(D20=0,"0",IF(AND(Results!$C$5="Protein",D$51&gt;0,OR(Results!$C$4="Tissue",Results!$C$4="Cells")),((D20)/(D$3*D$51)),IF(AND(Results!$C$5="Weight",D$50&gt;0,Results!$C$4="Tissue"),((D20)/(D$3*D$50)),IF(AND(Results!$C$5="Volume",D$52&gt;0,Results!$C$4="Fluid"),((D20)/(D$3*D$52)),IF(AND(Results!$C$4="Cells",Results!$C$5="Million"),((D20)/(D$3*D$50)),"-")))))</f>
        <v>0</v>
      </c>
      <c r="E71" s="18" t="str">
        <f>IF(E20=0,"0",IF(AND(Results!$C$5="Protein",E$51&gt;0,OR(Results!$C$4="Tissue",Results!$C$4="Cells")),((E20)/(E$3*E$51)),IF(AND(Results!$C$5="Weight",E$50&gt;0,Results!$C$4="Tissue"),((E20)/(E$3*E$50)),IF(AND(Results!$C$5="Volume",E$52&gt;0,Results!$C$4="Fluid"),((E20)/(E$3*E$52)),IF(AND(Results!$C$4="Cells",Results!$C$5="Million"),((E20)/(E$3*E$50)),"-")))))</f>
        <v>0</v>
      </c>
      <c r="F71" s="18" t="str">
        <f>IF(F20=0,"0",IF(AND(Results!$C$5="Protein",F$51&gt;0,OR(Results!$C$4="Tissue",Results!$C$4="Cells")),((F20)/(F$3*F$51)),IF(AND(Results!$C$5="Weight",F$50&gt;0,Results!$C$4="Tissue"),((F20)/(F$3*F$50)),IF(AND(Results!$C$5="Volume",F$52&gt;0,Results!$C$4="Fluid"),((F20)/(F$3*F$52)),IF(AND(Results!$C$4="Cells",Results!$C$5="Million"),((F20)/(F$3*F$50)),"-")))))</f>
        <v>0</v>
      </c>
      <c r="G71" s="18" t="str">
        <f>IF(G20=0,"0",IF(AND(Results!$C$5="Protein",G$51&gt;0,OR(Results!$C$4="Tissue",Results!$C$4="Cells")),((G20)/(G$3*G$51)),IF(AND(Results!$C$5="Weight",G$50&gt;0,Results!$C$4="Tissue"),((G20)/(G$3*G$50)),IF(AND(Results!$C$5="Volume",G$52&gt;0,Results!$C$4="Fluid"),((G20)/(G$3*G$52)),IF(AND(Results!$C$4="Cells",Results!$C$5="Million"),((G20)/(G$3*G$50)),"-")))))</f>
        <v>0</v>
      </c>
      <c r="H71" s="18" t="str">
        <f>IF(H20=0,"0",IF(AND(Results!$C$5="Protein",H$51&gt;0,OR(Results!$C$4="Tissue",Results!$C$4="Cells")),((H20)/(H$3*H$51)),IF(AND(Results!$C$5="Weight",H$50&gt;0,Results!$C$4="Tissue"),((H20)/(H$3*H$50)),IF(AND(Results!$C$5="Volume",H$52&gt;0,Results!$C$4="Fluid"),((H20)/(H$3*H$52)),IF(AND(Results!$C$4="Cells",Results!$C$5="Million"),((H20)/(H$3*H$50)),"-")))))</f>
        <v>0</v>
      </c>
      <c r="I71" s="18" t="str">
        <f>IF(I20=0,"0",IF(AND(Results!$C$5="Protein",I$51&gt;0,OR(Results!$C$4="Tissue",Results!$C$4="Cells")),((I20)/(I$3*I$51)),IF(AND(Results!$C$5="Weight",I$50&gt;0,Results!$C$4="Tissue"),((I20)/(I$3*I$50)),IF(AND(Results!$C$5="Volume",I$52&gt;0,Results!$C$4="Fluid"),((I20)/(I$3*I$52)),IF(AND(Results!$C$4="Cells",Results!$C$5="Million"),((I20)/(I$3*I$50)),"-")))))</f>
        <v>0</v>
      </c>
      <c r="J71" s="18" t="str">
        <f>IF(J20=0,"0",IF(AND(Results!$C$5="Protein",J$51&gt;0,OR(Results!$C$4="Tissue",Results!$C$4="Cells")),((J20)/(J$3*J$51)),IF(AND(Results!$C$5="Weight",J$50&gt;0,Results!$C$4="Tissue"),((J20)/(J$3*J$50)),IF(AND(Results!$C$5="Volume",J$52&gt;0,Results!$C$4="Fluid"),((J20)/(J$3*J$52)),IF(AND(Results!$C$4="Cells",Results!$C$5="Million"),((J20)/(J$3*J$50)),"-")))))</f>
        <v>0</v>
      </c>
      <c r="K71" s="18" t="str">
        <f>IF(K20=0,"0",IF(AND(Results!$C$5="Protein",K$51&gt;0,OR(Results!$C$4="Tissue",Results!$C$4="Cells")),((K20)/(K$3*K$51)),IF(AND(Results!$C$5="Weight",K$50&gt;0,Results!$C$4="Tissue"),((K20)/(K$3*K$50)),IF(AND(Results!$C$5="Volume",K$52&gt;0,Results!$C$4="Fluid"),((K20)/(K$3*K$52)),IF(AND(Results!$C$4="Cells",Results!$C$5="Million"),((K20)/(K$3*K$50)),"-")))))</f>
        <v>0</v>
      </c>
      <c r="L71" s="18" t="str">
        <f>IF(L20=0,"0",IF(AND(Results!$C$5="Protein",L$51&gt;0,OR(Results!$C$4="Tissue",Results!$C$4="Cells")),((L20)/(L$3*L$51)),IF(AND(Results!$C$5="Weight",L$50&gt;0,Results!$C$4="Tissue"),((L20)/(L$3*L$50)),IF(AND(Results!$C$5="Volume",L$52&gt;0,Results!$C$4="Fluid"),((L20)/(L$3*L$52)),IF(AND(Results!$C$4="Cells",Results!$C$5="Million"),((L20)/(L$3*L$50)),"-")))))</f>
        <v>0</v>
      </c>
      <c r="M71" s="18" t="str">
        <f>IF(M20=0,"0",IF(AND(Results!$C$5="Protein",M$51&gt;0,OR(Results!$C$4="Tissue",Results!$C$4="Cells")),((M20)/(M$3*M$51)),IF(AND(Results!$C$5="Weight",M$50&gt;0,Results!$C$4="Tissue"),((M20)/(M$3*M$50)),IF(AND(Results!$C$5="Volume",M$52&gt;0,Results!$C$4="Fluid"),((M20)/(M$3*M$52)),IF(AND(Results!$C$4="Cells",Results!$C$5="Million"),((M20)/(M$3*M$50)),"-")))))</f>
        <v>0</v>
      </c>
      <c r="N71" s="18" t="str">
        <f>IF(N20=0,"0",IF(AND(Results!$C$5="Protein",N$51&gt;0,OR(Results!$C$4="Tissue",Results!$C$4="Cells")),((N20)/(N$3*N$51)),IF(AND(Results!$C$5="Weight",N$50&gt;0,Results!$C$4="Tissue"),((N20)/(N$3*N$50)),IF(AND(Results!$C$5="Volume",N$52&gt;0,Results!$C$4="Fluid"),((N20)/(N$3*N$52)),IF(AND(Results!$C$4="Cells",Results!$C$5="Million"),((N20)/(N$3*N$50)),"-")))))</f>
        <v>0</v>
      </c>
      <c r="O71" s="18" t="str">
        <f>IF(O20=0,"0",IF(AND(Results!$C$5="Protein",O$51&gt;0,OR(Results!$C$4="Tissue",Results!$C$4="Cells")),((O20)/(O$3*O$51)),IF(AND(Results!$C$5="Weight",O$50&gt;0,Results!$C$4="Tissue"),((O20)/(O$3*O$50)),IF(AND(Results!$C$5="Volume",O$52&gt;0,Results!$C$4="Fluid"),((O20)/(O$3*O$52)),IF(AND(Results!$C$4="Cells",Results!$C$5="Million"),((O20)/(O$3*O$50)),"-")))))</f>
        <v>0</v>
      </c>
      <c r="P71" s="18" t="str">
        <f>IF(P20=0,"0",IF(AND(Results!$C$5="Protein",P$51&gt;0,OR(Results!$C$4="Tissue",Results!$C$4="Cells")),((P20)/(P$3*P$51)),IF(AND(Results!$C$5="Weight",P$50&gt;0,Results!$C$4="Tissue"),((P20)/(P$3*P$50)),IF(AND(Results!$C$5="Volume",P$52&gt;0,Results!$C$4="Fluid"),((P20)/(P$3*P$52)),IF(AND(Results!$C$4="Cells",Results!$C$5="Million"),((P20)/(P$3*P$50)),"-")))))</f>
        <v>0</v>
      </c>
      <c r="Q71" s="18" t="str">
        <f>IF(Q20=0,"0",IF(AND(Results!$C$5="Protein",Q$51&gt;0,OR(Results!$C$4="Tissue",Results!$C$4="Cells")),((Q20)/(Q$3*Q$51)),IF(AND(Results!$C$5="Weight",Q$50&gt;0,Results!$C$4="Tissue"),((Q20)/(Q$3*Q$50)),IF(AND(Results!$C$5="Volume",Q$52&gt;0,Results!$C$4="Fluid"),((Q20)/(Q$3*Q$52)),IF(AND(Results!$C$4="Cells",Results!$C$5="Million"),((Q20)/(Q$3*Q$50)),"-")))))</f>
        <v>0</v>
      </c>
      <c r="R71" s="18" t="str">
        <f>IF(R20=0,"0",IF(AND(Results!$C$5="Protein",R$51&gt;0,OR(Results!$C$4="Tissue",Results!$C$4="Cells")),((R20)/(R$3*R$51)),IF(AND(Results!$C$5="Weight",R$50&gt;0,Results!$C$4="Tissue"),((R20)/(R$3*R$50)),IF(AND(Results!$C$5="Volume",R$52&gt;0,Results!$C$4="Fluid"),((R20)/(R$3*R$52)),IF(AND(Results!$C$4="Cells",Results!$C$5="Million"),((R20)/(R$3*R$50)),"-")))))</f>
        <v>0</v>
      </c>
      <c r="S71" s="18" t="str">
        <f>IF(S20=0,"0",IF(AND(Results!$C$5="Protein",S$51&gt;0,OR(Results!$C$4="Tissue",Results!$C$4="Cells")),((S20)/(S$3*S$51)),IF(AND(Results!$C$5="Weight",S$50&gt;0,Results!$C$4="Tissue"),((S20)/(S$3*S$50)),IF(AND(Results!$C$5="Volume",S$52&gt;0,Results!$C$4="Fluid"),((S20)/(S$3*S$52)),IF(AND(Results!$C$4="Cells",Results!$C$5="Million"),((S20)/(S$3*S$50)),"-")))))</f>
        <v>0</v>
      </c>
      <c r="T71" s="18" t="str">
        <f>IF(T20=0,"0",IF(AND(Results!$C$5="Protein",T$51&gt;0,OR(Results!$C$4="Tissue",Results!$C$4="Cells")),((T20)/(T$3*T$51)),IF(AND(Results!$C$5="Weight",T$50&gt;0,Results!$C$4="Tissue"),((T20)/(T$3*T$50)),IF(AND(Results!$C$5="Volume",T$52&gt;0,Results!$C$4="Fluid"),((T20)/(T$3*T$52)),IF(AND(Results!$C$4="Cells",Results!$C$5="Million"),((T20)/(T$3*T$50)),"-")))))</f>
        <v>0</v>
      </c>
      <c r="U71" s="18" t="str">
        <f>IF(U20=0,"0",IF(AND(Results!$C$5="Protein",U$51&gt;0,OR(Results!$C$4="Tissue",Results!$C$4="Cells")),((U20)/(U$3*U$51)),IF(AND(Results!$C$5="Weight",U$50&gt;0,Results!$C$4="Tissue"),((U20)/(U$3*U$50)),IF(AND(Results!$C$5="Volume",U$52&gt;0,Results!$C$4="Fluid"),((U20)/(U$3*U$52)),IF(AND(Results!$C$4="Cells",Results!$C$5="Million"),((U20)/(U$3*U$50)),"-")))))</f>
        <v>0</v>
      </c>
      <c r="V71" s="18" t="str">
        <f>IF(V20=0,"0",IF(AND(Results!$C$5="Protein",V$51&gt;0,OR(Results!$C$4="Tissue",Results!$C$4="Cells")),((V20)/(V$3*V$51)),IF(AND(Results!$C$5="Weight",V$50&gt;0,Results!$C$4="Tissue"),((V20)/(V$3*V$50)),IF(AND(Results!$C$5="Volume",V$52&gt;0,Results!$C$4="Fluid"),((V20)/(V$3*V$52)),IF(AND(Results!$C$4="Cells",Results!$C$5="Million"),((V20)/(V$3*V$50)),"-")))))</f>
        <v>0</v>
      </c>
    </row>
    <row r="72" spans="1:22" x14ac:dyDescent="0.25">
      <c r="A72" s="64" t="str">
        <f t="shared" si="0"/>
        <v>L_C16_1w9</v>
      </c>
      <c r="B72" s="64"/>
      <c r="C72" s="18" t="str">
        <f>IF(C21=0,"0",IF(AND(Results!$C$5="Protein",C$51&gt;0,OR(Results!$C$4="Tissue",Results!$C$4="Cells")),((C21)/(C$3*C$51)),IF(AND(Results!$C$5="Weight",C$50&gt;0,Results!$C$4="Tissue"),((C21)/(C$3*C$50)),IF(AND(Results!$C$5="Volume",C$52&gt;0,Results!$C$4="Fluid"),((C21)/(C$3*C$52)),IF(AND(Results!$C$4="Cells",Results!$C$5="Million"),((C21)/(C$3*C$50)),"-")))))</f>
        <v>0</v>
      </c>
      <c r="D72" s="18" t="str">
        <f>IF(D21=0,"0",IF(AND(Results!$C$5="Protein",D$51&gt;0,OR(Results!$C$4="Tissue",Results!$C$4="Cells")),((D21)/(D$3*D$51)),IF(AND(Results!$C$5="Weight",D$50&gt;0,Results!$C$4="Tissue"),((D21)/(D$3*D$50)),IF(AND(Results!$C$5="Volume",D$52&gt;0,Results!$C$4="Fluid"),((D21)/(D$3*D$52)),IF(AND(Results!$C$4="Cells",Results!$C$5="Million"),((D21)/(D$3*D$50)),"-")))))</f>
        <v>0</v>
      </c>
      <c r="E72" s="18" t="str">
        <f>IF(E21=0,"0",IF(AND(Results!$C$5="Protein",E$51&gt;0,OR(Results!$C$4="Tissue",Results!$C$4="Cells")),((E21)/(E$3*E$51)),IF(AND(Results!$C$5="Weight",E$50&gt;0,Results!$C$4="Tissue"),((E21)/(E$3*E$50)),IF(AND(Results!$C$5="Volume",E$52&gt;0,Results!$C$4="Fluid"),((E21)/(E$3*E$52)),IF(AND(Results!$C$4="Cells",Results!$C$5="Million"),((E21)/(E$3*E$50)),"-")))))</f>
        <v>0</v>
      </c>
      <c r="F72" s="18" t="str">
        <f>IF(F21=0,"0",IF(AND(Results!$C$5="Protein",F$51&gt;0,OR(Results!$C$4="Tissue",Results!$C$4="Cells")),((F21)/(F$3*F$51)),IF(AND(Results!$C$5="Weight",F$50&gt;0,Results!$C$4="Tissue"),((F21)/(F$3*F$50)),IF(AND(Results!$C$5="Volume",F$52&gt;0,Results!$C$4="Fluid"),((F21)/(F$3*F$52)),IF(AND(Results!$C$4="Cells",Results!$C$5="Million"),((F21)/(F$3*F$50)),"-")))))</f>
        <v>0</v>
      </c>
      <c r="G72" s="18" t="str">
        <f>IF(G21=0,"0",IF(AND(Results!$C$5="Protein",G$51&gt;0,OR(Results!$C$4="Tissue",Results!$C$4="Cells")),((G21)/(G$3*G$51)),IF(AND(Results!$C$5="Weight",G$50&gt;0,Results!$C$4="Tissue"),((G21)/(G$3*G$50)),IF(AND(Results!$C$5="Volume",G$52&gt;0,Results!$C$4="Fluid"),((G21)/(G$3*G$52)),IF(AND(Results!$C$4="Cells",Results!$C$5="Million"),((G21)/(G$3*G$50)),"-")))))</f>
        <v>0</v>
      </c>
      <c r="H72" s="18" t="str">
        <f>IF(H21=0,"0",IF(AND(Results!$C$5="Protein",H$51&gt;0,OR(Results!$C$4="Tissue",Results!$C$4="Cells")),((H21)/(H$3*H$51)),IF(AND(Results!$C$5="Weight",H$50&gt;0,Results!$C$4="Tissue"),((H21)/(H$3*H$50)),IF(AND(Results!$C$5="Volume",H$52&gt;0,Results!$C$4="Fluid"),((H21)/(H$3*H$52)),IF(AND(Results!$C$4="Cells",Results!$C$5="Million"),((H21)/(H$3*H$50)),"-")))))</f>
        <v>0</v>
      </c>
      <c r="I72" s="18" t="str">
        <f>IF(I21=0,"0",IF(AND(Results!$C$5="Protein",I$51&gt;0,OR(Results!$C$4="Tissue",Results!$C$4="Cells")),((I21)/(I$3*I$51)),IF(AND(Results!$C$5="Weight",I$50&gt;0,Results!$C$4="Tissue"),((I21)/(I$3*I$50)),IF(AND(Results!$C$5="Volume",I$52&gt;0,Results!$C$4="Fluid"),((I21)/(I$3*I$52)),IF(AND(Results!$C$4="Cells",Results!$C$5="Million"),((I21)/(I$3*I$50)),"-")))))</f>
        <v>0</v>
      </c>
      <c r="J72" s="18" t="str">
        <f>IF(J21=0,"0",IF(AND(Results!$C$5="Protein",J$51&gt;0,OR(Results!$C$4="Tissue",Results!$C$4="Cells")),((J21)/(J$3*J$51)),IF(AND(Results!$C$5="Weight",J$50&gt;0,Results!$C$4="Tissue"),((J21)/(J$3*J$50)),IF(AND(Results!$C$5="Volume",J$52&gt;0,Results!$C$4="Fluid"),((J21)/(J$3*J$52)),IF(AND(Results!$C$4="Cells",Results!$C$5="Million"),((J21)/(J$3*J$50)),"-")))))</f>
        <v>0</v>
      </c>
      <c r="K72" s="18" t="str">
        <f>IF(K21=0,"0",IF(AND(Results!$C$5="Protein",K$51&gt;0,OR(Results!$C$4="Tissue",Results!$C$4="Cells")),((K21)/(K$3*K$51)),IF(AND(Results!$C$5="Weight",K$50&gt;0,Results!$C$4="Tissue"),((K21)/(K$3*K$50)),IF(AND(Results!$C$5="Volume",K$52&gt;0,Results!$C$4="Fluid"),((K21)/(K$3*K$52)),IF(AND(Results!$C$4="Cells",Results!$C$5="Million"),((K21)/(K$3*K$50)),"-")))))</f>
        <v>0</v>
      </c>
      <c r="L72" s="18" t="str">
        <f>IF(L21=0,"0",IF(AND(Results!$C$5="Protein",L$51&gt;0,OR(Results!$C$4="Tissue",Results!$C$4="Cells")),((L21)/(L$3*L$51)),IF(AND(Results!$C$5="Weight",L$50&gt;0,Results!$C$4="Tissue"),((L21)/(L$3*L$50)),IF(AND(Results!$C$5="Volume",L$52&gt;0,Results!$C$4="Fluid"),((L21)/(L$3*L$52)),IF(AND(Results!$C$4="Cells",Results!$C$5="Million"),((L21)/(L$3*L$50)),"-")))))</f>
        <v>0</v>
      </c>
      <c r="M72" s="18" t="str">
        <f>IF(M21=0,"0",IF(AND(Results!$C$5="Protein",M$51&gt;0,OR(Results!$C$4="Tissue",Results!$C$4="Cells")),((M21)/(M$3*M$51)),IF(AND(Results!$C$5="Weight",M$50&gt;0,Results!$C$4="Tissue"),((M21)/(M$3*M$50)),IF(AND(Results!$C$5="Volume",M$52&gt;0,Results!$C$4="Fluid"),((M21)/(M$3*M$52)),IF(AND(Results!$C$4="Cells",Results!$C$5="Million"),((M21)/(M$3*M$50)),"-")))))</f>
        <v>0</v>
      </c>
      <c r="N72" s="18" t="str">
        <f>IF(N21=0,"0",IF(AND(Results!$C$5="Protein",N$51&gt;0,OR(Results!$C$4="Tissue",Results!$C$4="Cells")),((N21)/(N$3*N$51)),IF(AND(Results!$C$5="Weight",N$50&gt;0,Results!$C$4="Tissue"),((N21)/(N$3*N$50)),IF(AND(Results!$C$5="Volume",N$52&gt;0,Results!$C$4="Fluid"),((N21)/(N$3*N$52)),IF(AND(Results!$C$4="Cells",Results!$C$5="Million"),((N21)/(N$3*N$50)),"-")))))</f>
        <v>0</v>
      </c>
      <c r="O72" s="18" t="str">
        <f>IF(O21=0,"0",IF(AND(Results!$C$5="Protein",O$51&gt;0,OR(Results!$C$4="Tissue",Results!$C$4="Cells")),((O21)/(O$3*O$51)),IF(AND(Results!$C$5="Weight",O$50&gt;0,Results!$C$4="Tissue"),((O21)/(O$3*O$50)),IF(AND(Results!$C$5="Volume",O$52&gt;0,Results!$C$4="Fluid"),((O21)/(O$3*O$52)),IF(AND(Results!$C$4="Cells",Results!$C$5="Million"),((O21)/(O$3*O$50)),"-")))))</f>
        <v>0</v>
      </c>
      <c r="P72" s="18" t="str">
        <f>IF(P21=0,"0",IF(AND(Results!$C$5="Protein",P$51&gt;0,OR(Results!$C$4="Tissue",Results!$C$4="Cells")),((P21)/(P$3*P$51)),IF(AND(Results!$C$5="Weight",P$50&gt;0,Results!$C$4="Tissue"),((P21)/(P$3*P$50)),IF(AND(Results!$C$5="Volume",P$52&gt;0,Results!$C$4="Fluid"),((P21)/(P$3*P$52)),IF(AND(Results!$C$4="Cells",Results!$C$5="Million"),((P21)/(P$3*P$50)),"-")))))</f>
        <v>0</v>
      </c>
      <c r="Q72" s="18" t="str">
        <f>IF(Q21=0,"0",IF(AND(Results!$C$5="Protein",Q$51&gt;0,OR(Results!$C$4="Tissue",Results!$C$4="Cells")),((Q21)/(Q$3*Q$51)),IF(AND(Results!$C$5="Weight",Q$50&gt;0,Results!$C$4="Tissue"),((Q21)/(Q$3*Q$50)),IF(AND(Results!$C$5="Volume",Q$52&gt;0,Results!$C$4="Fluid"),((Q21)/(Q$3*Q$52)),IF(AND(Results!$C$4="Cells",Results!$C$5="Million"),((Q21)/(Q$3*Q$50)),"-")))))</f>
        <v>0</v>
      </c>
      <c r="R72" s="18" t="str">
        <f>IF(R21=0,"0",IF(AND(Results!$C$5="Protein",R$51&gt;0,OR(Results!$C$4="Tissue",Results!$C$4="Cells")),((R21)/(R$3*R$51)),IF(AND(Results!$C$5="Weight",R$50&gt;0,Results!$C$4="Tissue"),((R21)/(R$3*R$50)),IF(AND(Results!$C$5="Volume",R$52&gt;0,Results!$C$4="Fluid"),((R21)/(R$3*R$52)),IF(AND(Results!$C$4="Cells",Results!$C$5="Million"),((R21)/(R$3*R$50)),"-")))))</f>
        <v>0</v>
      </c>
      <c r="S72" s="18" t="str">
        <f>IF(S21=0,"0",IF(AND(Results!$C$5="Protein",S$51&gt;0,OR(Results!$C$4="Tissue",Results!$C$4="Cells")),((S21)/(S$3*S$51)),IF(AND(Results!$C$5="Weight",S$50&gt;0,Results!$C$4="Tissue"),((S21)/(S$3*S$50)),IF(AND(Results!$C$5="Volume",S$52&gt;0,Results!$C$4="Fluid"),((S21)/(S$3*S$52)),IF(AND(Results!$C$4="Cells",Results!$C$5="Million"),((S21)/(S$3*S$50)),"-")))))</f>
        <v>0</v>
      </c>
      <c r="T72" s="18" t="str">
        <f>IF(T21=0,"0",IF(AND(Results!$C$5="Protein",T$51&gt;0,OR(Results!$C$4="Tissue",Results!$C$4="Cells")),((T21)/(T$3*T$51)),IF(AND(Results!$C$5="Weight",T$50&gt;0,Results!$C$4="Tissue"),((T21)/(T$3*T$50)),IF(AND(Results!$C$5="Volume",T$52&gt;0,Results!$C$4="Fluid"),((T21)/(T$3*T$52)),IF(AND(Results!$C$4="Cells",Results!$C$5="Million"),((T21)/(T$3*T$50)),"-")))))</f>
        <v>0</v>
      </c>
      <c r="U72" s="18" t="str">
        <f>IF(U21=0,"0",IF(AND(Results!$C$5="Protein",U$51&gt;0,OR(Results!$C$4="Tissue",Results!$C$4="Cells")),((U21)/(U$3*U$51)),IF(AND(Results!$C$5="Weight",U$50&gt;0,Results!$C$4="Tissue"),((U21)/(U$3*U$50)),IF(AND(Results!$C$5="Volume",U$52&gt;0,Results!$C$4="Fluid"),((U21)/(U$3*U$52)),IF(AND(Results!$C$4="Cells",Results!$C$5="Million"),((U21)/(U$3*U$50)),"-")))))</f>
        <v>0</v>
      </c>
      <c r="V72" s="18" t="str">
        <f>IF(V21=0,"0",IF(AND(Results!$C$5="Protein",V$51&gt;0,OR(Results!$C$4="Tissue",Results!$C$4="Cells")),((V21)/(V$3*V$51)),IF(AND(Results!$C$5="Weight",V$50&gt;0,Results!$C$4="Tissue"),((V21)/(V$3*V$50)),IF(AND(Results!$C$5="Volume",V$52&gt;0,Results!$C$4="Fluid"),((V21)/(V$3*V$52)),IF(AND(Results!$C$4="Cells",Results!$C$5="Million"),((V21)/(V$3*V$50)),"-")))))</f>
        <v>0</v>
      </c>
    </row>
    <row r="73" spans="1:22" x14ac:dyDescent="0.25">
      <c r="A73" s="64" t="str">
        <f t="shared" si="0"/>
        <v>L_C16_1w7</v>
      </c>
      <c r="B73" s="64"/>
      <c r="C73" s="18">
        <f>IF(C22=0,"0",IF(AND(Results!$C$5="Protein",C$51&gt;0,OR(Results!$C$4="Tissue",Results!$C$4="Cells")),((C22)/(C$3*C$51)),IF(AND(Results!$C$5="Weight",C$50&gt;0,Results!$C$4="Tissue"),((C22)/(C$3*C$50)),IF(AND(Results!$C$5="Volume",C$52&gt;0,Results!$C$4="Fluid"),((C22)/(C$3*C$52)),IF(AND(Results!$C$4="Cells",Results!$C$5="Million"),((C22)/(C$3*C$50)),"-")))))</f>
        <v>6.049574615611255E-2</v>
      </c>
      <c r="D73" s="18">
        <f>IF(D22=0,"0",IF(AND(Results!$C$5="Protein",D$51&gt;0,OR(Results!$C$4="Tissue",Results!$C$4="Cells")),((D22)/(D$3*D$51)),IF(AND(Results!$C$5="Weight",D$50&gt;0,Results!$C$4="Tissue"),((D22)/(D$3*D$50)),IF(AND(Results!$C$5="Volume",D$52&gt;0,Results!$C$4="Fluid"),((D22)/(D$3*D$52)),IF(AND(Results!$C$4="Cells",Results!$C$5="Million"),((D22)/(D$3*D$50)),"-")))))</f>
        <v>0.22466308012657499</v>
      </c>
      <c r="E73" s="18">
        <f>IF(E22=0,"0",IF(AND(Results!$C$5="Protein",E$51&gt;0,OR(Results!$C$4="Tissue",Results!$C$4="Cells")),((E22)/(E$3*E$51)),IF(AND(Results!$C$5="Weight",E$50&gt;0,Results!$C$4="Tissue"),((E22)/(E$3*E$50)),IF(AND(Results!$C$5="Volume",E$52&gt;0,Results!$C$4="Fluid"),((E22)/(E$3*E$52)),IF(AND(Results!$C$4="Cells",Results!$C$5="Million"),((E22)/(E$3*E$50)),"-")))))</f>
        <v>0.11573739439300856</v>
      </c>
      <c r="F73" s="18">
        <f>IF(F22=0,"0",IF(AND(Results!$C$5="Protein",F$51&gt;0,OR(Results!$C$4="Tissue",Results!$C$4="Cells")),((F22)/(F$3*F$51)),IF(AND(Results!$C$5="Weight",F$50&gt;0,Results!$C$4="Tissue"),((F22)/(F$3*F$50)),IF(AND(Results!$C$5="Volume",F$52&gt;0,Results!$C$4="Fluid"),((F22)/(F$3*F$52)),IF(AND(Results!$C$4="Cells",Results!$C$5="Million"),((F22)/(F$3*F$50)),"-")))))</f>
        <v>5.3168396302959962E-2</v>
      </c>
      <c r="G73" s="18">
        <f>IF(G22=0,"0",IF(AND(Results!$C$5="Protein",G$51&gt;0,OR(Results!$C$4="Tissue",Results!$C$4="Cells")),((G22)/(G$3*G$51)),IF(AND(Results!$C$5="Weight",G$50&gt;0,Results!$C$4="Tissue"),((G22)/(G$3*G$50)),IF(AND(Results!$C$5="Volume",G$52&gt;0,Results!$C$4="Fluid"),((G22)/(G$3*G$52)),IF(AND(Results!$C$4="Cells",Results!$C$5="Million"),((G22)/(G$3*G$50)),"-")))))</f>
        <v>0.1332644599929346</v>
      </c>
      <c r="H73" s="18">
        <f>IF(H22=0,"0",IF(AND(Results!$C$5="Protein",H$51&gt;0,OR(Results!$C$4="Tissue",Results!$C$4="Cells")),((H22)/(H$3*H$51)),IF(AND(Results!$C$5="Weight",H$50&gt;0,Results!$C$4="Tissue"),((H22)/(H$3*H$50)),IF(AND(Results!$C$5="Volume",H$52&gt;0,Results!$C$4="Fluid"),((H22)/(H$3*H$52)),IF(AND(Results!$C$4="Cells",Results!$C$5="Million"),((H22)/(H$3*H$50)),"-")))))</f>
        <v>7.3042754126591503E-2</v>
      </c>
      <c r="I73" s="18">
        <f>IF(I22=0,"0",IF(AND(Results!$C$5="Protein",I$51&gt;0,OR(Results!$C$4="Tissue",Results!$C$4="Cells")),((I22)/(I$3*I$51)),IF(AND(Results!$C$5="Weight",I$50&gt;0,Results!$C$4="Tissue"),((I22)/(I$3*I$50)),IF(AND(Results!$C$5="Volume",I$52&gt;0,Results!$C$4="Fluid"),((I22)/(I$3*I$52)),IF(AND(Results!$C$4="Cells",Results!$C$5="Million"),((I22)/(I$3*I$50)),"-")))))</f>
        <v>5.1357103763282973E-2</v>
      </c>
      <c r="J73" s="18">
        <f>IF(J22=0,"0",IF(AND(Results!$C$5="Protein",J$51&gt;0,OR(Results!$C$4="Tissue",Results!$C$4="Cells")),((J22)/(J$3*J$51)),IF(AND(Results!$C$5="Weight",J$50&gt;0,Results!$C$4="Tissue"),((J22)/(J$3*J$50)),IF(AND(Results!$C$5="Volume",J$52&gt;0,Results!$C$4="Fluid"),((J22)/(J$3*J$52)),IF(AND(Results!$C$4="Cells",Results!$C$5="Million"),((J22)/(J$3*J$50)),"-")))))</f>
        <v>0.11496412843759173</v>
      </c>
      <c r="K73" s="18">
        <f>IF(K22=0,"0",IF(AND(Results!$C$5="Protein",K$51&gt;0,OR(Results!$C$4="Tissue",Results!$C$4="Cells")),((K22)/(K$3*K$51)),IF(AND(Results!$C$5="Weight",K$50&gt;0,Results!$C$4="Tissue"),((K22)/(K$3*K$50)),IF(AND(Results!$C$5="Volume",K$52&gt;0,Results!$C$4="Fluid"),((K22)/(K$3*K$52)),IF(AND(Results!$C$4="Cells",Results!$C$5="Million"),((K22)/(K$3*K$50)),"-")))))</f>
        <v>5.790805246464293E-2</v>
      </c>
      <c r="L73" s="18">
        <f>IF(L22=0,"0",IF(AND(Results!$C$5="Protein",L$51&gt;0,OR(Results!$C$4="Tissue",Results!$C$4="Cells")),((L22)/(L$3*L$51)),IF(AND(Results!$C$5="Weight",L$50&gt;0,Results!$C$4="Tissue"),((L22)/(L$3*L$50)),IF(AND(Results!$C$5="Volume",L$52&gt;0,Results!$C$4="Fluid"),((L22)/(L$3*L$52)),IF(AND(Results!$C$4="Cells",Results!$C$5="Million"),((L22)/(L$3*L$50)),"-")))))</f>
        <v>0.12767443302114992</v>
      </c>
      <c r="M73" s="18">
        <f>IF(M22=0,"0",IF(AND(Results!$C$5="Protein",M$51&gt;0,OR(Results!$C$4="Tissue",Results!$C$4="Cells")),((M22)/(M$3*M$51)),IF(AND(Results!$C$5="Weight",M$50&gt;0,Results!$C$4="Tissue"),((M22)/(M$3*M$50)),IF(AND(Results!$C$5="Volume",M$52&gt;0,Results!$C$4="Fluid"),((M22)/(M$3*M$52)),IF(AND(Results!$C$4="Cells",Results!$C$5="Million"),((M22)/(M$3*M$50)),"-")))))</f>
        <v>3.4874617892571722E-2</v>
      </c>
      <c r="N73" s="18">
        <f>IF(N22=0,"0",IF(AND(Results!$C$5="Protein",N$51&gt;0,OR(Results!$C$4="Tissue",Results!$C$4="Cells")),((N22)/(N$3*N$51)),IF(AND(Results!$C$5="Weight",N$50&gt;0,Results!$C$4="Tissue"),((N22)/(N$3*N$50)),IF(AND(Results!$C$5="Volume",N$52&gt;0,Results!$C$4="Fluid"),((N22)/(N$3*N$52)),IF(AND(Results!$C$4="Cells",Results!$C$5="Million"),((N22)/(N$3*N$50)),"-")))))</f>
        <v>6.3335414458789971E-2</v>
      </c>
      <c r="O73" s="18">
        <f>IF(O22=0,"0",IF(AND(Results!$C$5="Protein",O$51&gt;0,OR(Results!$C$4="Tissue",Results!$C$4="Cells")),((O22)/(O$3*O$51)),IF(AND(Results!$C$5="Weight",O$50&gt;0,Results!$C$4="Tissue"),((O22)/(O$3*O$50)),IF(AND(Results!$C$5="Volume",O$52&gt;0,Results!$C$4="Fluid"),((O22)/(O$3*O$52)),IF(AND(Results!$C$4="Cells",Results!$C$5="Million"),((O22)/(O$3*O$50)),"-")))))</f>
        <v>0.13007956945123775</v>
      </c>
      <c r="P73" s="18">
        <f>IF(P22=0,"0",IF(AND(Results!$C$5="Protein",P$51&gt;0,OR(Results!$C$4="Tissue",Results!$C$4="Cells")),((P22)/(P$3*P$51)),IF(AND(Results!$C$5="Weight",P$50&gt;0,Results!$C$4="Tissue"),((P22)/(P$3*P$50)),IF(AND(Results!$C$5="Volume",P$52&gt;0,Results!$C$4="Fluid"),((P22)/(P$3*P$52)),IF(AND(Results!$C$4="Cells",Results!$C$5="Million"),((P22)/(P$3*P$50)),"-")))))</f>
        <v>0.16353593775185996</v>
      </c>
      <c r="Q73" s="18">
        <f>IF(Q22=0,"0",IF(AND(Results!$C$5="Protein",Q$51&gt;0,OR(Results!$C$4="Tissue",Results!$C$4="Cells")),((Q22)/(Q$3*Q$51)),IF(AND(Results!$C$5="Weight",Q$50&gt;0,Results!$C$4="Tissue"),((Q22)/(Q$3*Q$50)),IF(AND(Results!$C$5="Volume",Q$52&gt;0,Results!$C$4="Fluid"),((Q22)/(Q$3*Q$52)),IF(AND(Results!$C$4="Cells",Results!$C$5="Million"),((Q22)/(Q$3*Q$50)),"-")))))</f>
        <v>0.10855082981530247</v>
      </c>
      <c r="R73" s="18">
        <f>IF(R22=0,"0",IF(AND(Results!$C$5="Protein",R$51&gt;0,OR(Results!$C$4="Tissue",Results!$C$4="Cells")),((R22)/(R$3*R$51)),IF(AND(Results!$C$5="Weight",R$50&gt;0,Results!$C$4="Tissue"),((R22)/(R$3*R$50)),IF(AND(Results!$C$5="Volume",R$52&gt;0,Results!$C$4="Fluid"),((R22)/(R$3*R$52)),IF(AND(Results!$C$4="Cells",Results!$C$5="Million"),((R22)/(R$3*R$50)),"-")))))</f>
        <v>4.5753418070433538E-2</v>
      </c>
      <c r="S73" s="18">
        <f>IF(S22=0,"0",IF(AND(Results!$C$5="Protein",S$51&gt;0,OR(Results!$C$4="Tissue",Results!$C$4="Cells")),((S22)/(S$3*S$51)),IF(AND(Results!$C$5="Weight",S$50&gt;0,Results!$C$4="Tissue"),((S22)/(S$3*S$50)),IF(AND(Results!$C$5="Volume",S$52&gt;0,Results!$C$4="Fluid"),((S22)/(S$3*S$52)),IF(AND(Results!$C$4="Cells",Results!$C$5="Million"),((S22)/(S$3*S$50)),"-")))))</f>
        <v>8.4583603204702443E-2</v>
      </c>
      <c r="T73" s="18">
        <f>IF(T22=0,"0",IF(AND(Results!$C$5="Protein",T$51&gt;0,OR(Results!$C$4="Tissue",Results!$C$4="Cells")),((T22)/(T$3*T$51)),IF(AND(Results!$C$5="Weight",T$50&gt;0,Results!$C$4="Tissue"),((T22)/(T$3*T$50)),IF(AND(Results!$C$5="Volume",T$52&gt;0,Results!$C$4="Fluid"),((T22)/(T$3*T$52)),IF(AND(Results!$C$4="Cells",Results!$C$5="Million"),((T22)/(T$3*T$50)),"-")))))</f>
        <v>9.263061054993578E-2</v>
      </c>
      <c r="U73" s="18">
        <f>IF(U22=0,"0",IF(AND(Results!$C$5="Protein",U$51&gt;0,OR(Results!$C$4="Tissue",Results!$C$4="Cells")),((U22)/(U$3*U$51)),IF(AND(Results!$C$5="Weight",U$50&gt;0,Results!$C$4="Tissue"),((U22)/(U$3*U$50)),IF(AND(Results!$C$5="Volume",U$52&gt;0,Results!$C$4="Fluid"),((U22)/(U$3*U$52)),IF(AND(Results!$C$4="Cells",Results!$C$5="Million"),((U22)/(U$3*U$50)),"-")))))</f>
        <v>0.23104237689469159</v>
      </c>
      <c r="V73" s="18">
        <f>IF(V22=0,"0",IF(AND(Results!$C$5="Protein",V$51&gt;0,OR(Results!$C$4="Tissue",Results!$C$4="Cells")),((V22)/(V$3*V$51)),IF(AND(Results!$C$5="Weight",V$50&gt;0,Results!$C$4="Tissue"),((V22)/(V$3*V$50)),IF(AND(Results!$C$5="Volume",V$52&gt;0,Results!$C$4="Fluid"),((V22)/(V$3*V$52)),IF(AND(Results!$C$4="Cells",Results!$C$5="Million"),((V22)/(V$3*V$50)),"-")))))</f>
        <v>9.7784474811796515E-2</v>
      </c>
    </row>
    <row r="74" spans="1:22" x14ac:dyDescent="0.25">
      <c r="A74" s="64" t="str">
        <f t="shared" si="0"/>
        <v>L_C17_1</v>
      </c>
      <c r="B74" s="64"/>
      <c r="C74" s="18" t="str">
        <f>IF(C23=0,"0",IF(AND(Results!$C$5="Protein",C$51&gt;0,OR(Results!$C$4="Tissue",Results!$C$4="Cells")),((C23)/(C$3*C$51)),IF(AND(Results!$C$5="Weight",C$50&gt;0,Results!$C$4="Tissue"),((C23)/(C$3*C$50)),IF(AND(Results!$C$5="Volume",C$52&gt;0,Results!$C$4="Fluid"),((C23)/(C$3*C$52)),IF(AND(Results!$C$4="Cells",Results!$C$5="Million"),((C23)/(C$3*C$50)),"-")))))</f>
        <v>0</v>
      </c>
      <c r="D74" s="18" t="str">
        <f>IF(D23=0,"0",IF(AND(Results!$C$5="Protein",D$51&gt;0,OR(Results!$C$4="Tissue",Results!$C$4="Cells")),((D23)/(D$3*D$51)),IF(AND(Results!$C$5="Weight",D$50&gt;0,Results!$C$4="Tissue"),((D23)/(D$3*D$50)),IF(AND(Results!$C$5="Volume",D$52&gt;0,Results!$C$4="Fluid"),((D23)/(D$3*D$52)),IF(AND(Results!$C$4="Cells",Results!$C$5="Million"),((D23)/(D$3*D$50)),"-")))))</f>
        <v>0</v>
      </c>
      <c r="E74" s="18" t="str">
        <f>IF(E23=0,"0",IF(AND(Results!$C$5="Protein",E$51&gt;0,OR(Results!$C$4="Tissue",Results!$C$4="Cells")),((E23)/(E$3*E$51)),IF(AND(Results!$C$5="Weight",E$50&gt;0,Results!$C$4="Tissue"),((E23)/(E$3*E$50)),IF(AND(Results!$C$5="Volume",E$52&gt;0,Results!$C$4="Fluid"),((E23)/(E$3*E$52)),IF(AND(Results!$C$4="Cells",Results!$C$5="Million"),((E23)/(E$3*E$50)),"-")))))</f>
        <v>0</v>
      </c>
      <c r="F74" s="18" t="str">
        <f>IF(F23=0,"0",IF(AND(Results!$C$5="Protein",F$51&gt;0,OR(Results!$C$4="Tissue",Results!$C$4="Cells")),((F23)/(F$3*F$51)),IF(AND(Results!$C$5="Weight",F$50&gt;0,Results!$C$4="Tissue"),((F23)/(F$3*F$50)),IF(AND(Results!$C$5="Volume",F$52&gt;0,Results!$C$4="Fluid"),((F23)/(F$3*F$52)),IF(AND(Results!$C$4="Cells",Results!$C$5="Million"),((F23)/(F$3*F$50)),"-")))))</f>
        <v>0</v>
      </c>
      <c r="G74" s="18" t="str">
        <f>IF(G23=0,"0",IF(AND(Results!$C$5="Protein",G$51&gt;0,OR(Results!$C$4="Tissue",Results!$C$4="Cells")),((G23)/(G$3*G$51)),IF(AND(Results!$C$5="Weight",G$50&gt;0,Results!$C$4="Tissue"),((G23)/(G$3*G$50)),IF(AND(Results!$C$5="Volume",G$52&gt;0,Results!$C$4="Fluid"),((G23)/(G$3*G$52)),IF(AND(Results!$C$4="Cells",Results!$C$5="Million"),((G23)/(G$3*G$50)),"-")))))</f>
        <v>0</v>
      </c>
      <c r="H74" s="18" t="str">
        <f>IF(H23=0,"0",IF(AND(Results!$C$5="Protein",H$51&gt;0,OR(Results!$C$4="Tissue",Results!$C$4="Cells")),((H23)/(H$3*H$51)),IF(AND(Results!$C$5="Weight",H$50&gt;0,Results!$C$4="Tissue"),((H23)/(H$3*H$50)),IF(AND(Results!$C$5="Volume",H$52&gt;0,Results!$C$4="Fluid"),((H23)/(H$3*H$52)),IF(AND(Results!$C$4="Cells",Results!$C$5="Million"),((H23)/(H$3*H$50)),"-")))))</f>
        <v>0</v>
      </c>
      <c r="I74" s="18" t="str">
        <f>IF(I23=0,"0",IF(AND(Results!$C$5="Protein",I$51&gt;0,OR(Results!$C$4="Tissue",Results!$C$4="Cells")),((I23)/(I$3*I$51)),IF(AND(Results!$C$5="Weight",I$50&gt;0,Results!$C$4="Tissue"),((I23)/(I$3*I$50)),IF(AND(Results!$C$5="Volume",I$52&gt;0,Results!$C$4="Fluid"),((I23)/(I$3*I$52)),IF(AND(Results!$C$4="Cells",Results!$C$5="Million"),((I23)/(I$3*I$50)),"-")))))</f>
        <v>0</v>
      </c>
      <c r="J74" s="18" t="str">
        <f>IF(J23=0,"0",IF(AND(Results!$C$5="Protein",J$51&gt;0,OR(Results!$C$4="Tissue",Results!$C$4="Cells")),((J23)/(J$3*J$51)),IF(AND(Results!$C$5="Weight",J$50&gt;0,Results!$C$4="Tissue"),((J23)/(J$3*J$50)),IF(AND(Results!$C$5="Volume",J$52&gt;0,Results!$C$4="Fluid"),((J23)/(J$3*J$52)),IF(AND(Results!$C$4="Cells",Results!$C$5="Million"),((J23)/(J$3*J$50)),"-")))))</f>
        <v>0</v>
      </c>
      <c r="K74" s="18" t="str">
        <f>IF(K23=0,"0",IF(AND(Results!$C$5="Protein",K$51&gt;0,OR(Results!$C$4="Tissue",Results!$C$4="Cells")),((K23)/(K$3*K$51)),IF(AND(Results!$C$5="Weight",K$50&gt;0,Results!$C$4="Tissue"),((K23)/(K$3*K$50)),IF(AND(Results!$C$5="Volume",K$52&gt;0,Results!$C$4="Fluid"),((K23)/(K$3*K$52)),IF(AND(Results!$C$4="Cells",Results!$C$5="Million"),((K23)/(K$3*K$50)),"-")))))</f>
        <v>0</v>
      </c>
      <c r="L74" s="18" t="str">
        <f>IF(L23=0,"0",IF(AND(Results!$C$5="Protein",L$51&gt;0,OR(Results!$C$4="Tissue",Results!$C$4="Cells")),((L23)/(L$3*L$51)),IF(AND(Results!$C$5="Weight",L$50&gt;0,Results!$C$4="Tissue"),((L23)/(L$3*L$50)),IF(AND(Results!$C$5="Volume",L$52&gt;0,Results!$C$4="Fluid"),((L23)/(L$3*L$52)),IF(AND(Results!$C$4="Cells",Results!$C$5="Million"),((L23)/(L$3*L$50)),"-")))))</f>
        <v>0</v>
      </c>
      <c r="M74" s="18" t="str">
        <f>IF(M23=0,"0",IF(AND(Results!$C$5="Protein",M$51&gt;0,OR(Results!$C$4="Tissue",Results!$C$4="Cells")),((M23)/(M$3*M$51)),IF(AND(Results!$C$5="Weight",M$50&gt;0,Results!$C$4="Tissue"),((M23)/(M$3*M$50)),IF(AND(Results!$C$5="Volume",M$52&gt;0,Results!$C$4="Fluid"),((M23)/(M$3*M$52)),IF(AND(Results!$C$4="Cells",Results!$C$5="Million"),((M23)/(M$3*M$50)),"-")))))</f>
        <v>0</v>
      </c>
      <c r="N74" s="18" t="str">
        <f>IF(N23=0,"0",IF(AND(Results!$C$5="Protein",N$51&gt;0,OR(Results!$C$4="Tissue",Results!$C$4="Cells")),((N23)/(N$3*N$51)),IF(AND(Results!$C$5="Weight",N$50&gt;0,Results!$C$4="Tissue"),((N23)/(N$3*N$50)),IF(AND(Results!$C$5="Volume",N$52&gt;0,Results!$C$4="Fluid"),((N23)/(N$3*N$52)),IF(AND(Results!$C$4="Cells",Results!$C$5="Million"),((N23)/(N$3*N$50)),"-")))))</f>
        <v>0</v>
      </c>
      <c r="O74" s="18" t="str">
        <f>IF(O23=0,"0",IF(AND(Results!$C$5="Protein",O$51&gt;0,OR(Results!$C$4="Tissue",Results!$C$4="Cells")),((O23)/(O$3*O$51)),IF(AND(Results!$C$5="Weight",O$50&gt;0,Results!$C$4="Tissue"),((O23)/(O$3*O$50)),IF(AND(Results!$C$5="Volume",O$52&gt;0,Results!$C$4="Fluid"),((O23)/(O$3*O$52)),IF(AND(Results!$C$4="Cells",Results!$C$5="Million"),((O23)/(O$3*O$50)),"-")))))</f>
        <v>0</v>
      </c>
      <c r="P74" s="18" t="str">
        <f>IF(P23=0,"0",IF(AND(Results!$C$5="Protein",P$51&gt;0,OR(Results!$C$4="Tissue",Results!$C$4="Cells")),((P23)/(P$3*P$51)),IF(AND(Results!$C$5="Weight",P$50&gt;0,Results!$C$4="Tissue"),((P23)/(P$3*P$50)),IF(AND(Results!$C$5="Volume",P$52&gt;0,Results!$C$4="Fluid"),((P23)/(P$3*P$52)),IF(AND(Results!$C$4="Cells",Results!$C$5="Million"),((P23)/(P$3*P$50)),"-")))))</f>
        <v>0</v>
      </c>
      <c r="Q74" s="18" t="str">
        <f>IF(Q23=0,"0",IF(AND(Results!$C$5="Protein",Q$51&gt;0,OR(Results!$C$4="Tissue",Results!$C$4="Cells")),((Q23)/(Q$3*Q$51)),IF(AND(Results!$C$5="Weight",Q$50&gt;0,Results!$C$4="Tissue"),((Q23)/(Q$3*Q$50)),IF(AND(Results!$C$5="Volume",Q$52&gt;0,Results!$C$4="Fluid"),((Q23)/(Q$3*Q$52)),IF(AND(Results!$C$4="Cells",Results!$C$5="Million"),((Q23)/(Q$3*Q$50)),"-")))))</f>
        <v>0</v>
      </c>
      <c r="R74" s="18" t="str">
        <f>IF(R23=0,"0",IF(AND(Results!$C$5="Protein",R$51&gt;0,OR(Results!$C$4="Tissue",Results!$C$4="Cells")),((R23)/(R$3*R$51)),IF(AND(Results!$C$5="Weight",R$50&gt;0,Results!$C$4="Tissue"),((R23)/(R$3*R$50)),IF(AND(Results!$C$5="Volume",R$52&gt;0,Results!$C$4="Fluid"),((R23)/(R$3*R$52)),IF(AND(Results!$C$4="Cells",Results!$C$5="Million"),((R23)/(R$3*R$50)),"-")))))</f>
        <v>0</v>
      </c>
      <c r="S74" s="18" t="str">
        <f>IF(S23=0,"0",IF(AND(Results!$C$5="Protein",S$51&gt;0,OR(Results!$C$4="Tissue",Results!$C$4="Cells")),((S23)/(S$3*S$51)),IF(AND(Results!$C$5="Weight",S$50&gt;0,Results!$C$4="Tissue"),((S23)/(S$3*S$50)),IF(AND(Results!$C$5="Volume",S$52&gt;0,Results!$C$4="Fluid"),((S23)/(S$3*S$52)),IF(AND(Results!$C$4="Cells",Results!$C$5="Million"),((S23)/(S$3*S$50)),"-")))))</f>
        <v>0</v>
      </c>
      <c r="T74" s="18" t="str">
        <f>IF(T23=0,"0",IF(AND(Results!$C$5="Protein",T$51&gt;0,OR(Results!$C$4="Tissue",Results!$C$4="Cells")),((T23)/(T$3*T$51)),IF(AND(Results!$C$5="Weight",T$50&gt;0,Results!$C$4="Tissue"),((T23)/(T$3*T$50)),IF(AND(Results!$C$5="Volume",T$52&gt;0,Results!$C$4="Fluid"),((T23)/(T$3*T$52)),IF(AND(Results!$C$4="Cells",Results!$C$5="Million"),((T23)/(T$3*T$50)),"-")))))</f>
        <v>0</v>
      </c>
      <c r="U74" s="18" t="str">
        <f>IF(U23=0,"0",IF(AND(Results!$C$5="Protein",U$51&gt;0,OR(Results!$C$4="Tissue",Results!$C$4="Cells")),((U23)/(U$3*U$51)),IF(AND(Results!$C$5="Weight",U$50&gt;0,Results!$C$4="Tissue"),((U23)/(U$3*U$50)),IF(AND(Results!$C$5="Volume",U$52&gt;0,Results!$C$4="Fluid"),((U23)/(U$3*U$52)),IF(AND(Results!$C$4="Cells",Results!$C$5="Million"),((U23)/(U$3*U$50)),"-")))))</f>
        <v>0</v>
      </c>
      <c r="V74" s="18" t="str">
        <f>IF(V23=0,"0",IF(AND(Results!$C$5="Protein",V$51&gt;0,OR(Results!$C$4="Tissue",Results!$C$4="Cells")),((V23)/(V$3*V$51)),IF(AND(Results!$C$5="Weight",V$50&gt;0,Results!$C$4="Tissue"),((V23)/(V$3*V$50)),IF(AND(Results!$C$5="Volume",V$52&gt;0,Results!$C$4="Fluid"),((V23)/(V$3*V$52)),IF(AND(Results!$C$4="Cells",Results!$C$5="Million"),((V23)/(V$3*V$50)),"-")))))</f>
        <v>0</v>
      </c>
    </row>
    <row r="75" spans="1:22" x14ac:dyDescent="0.25">
      <c r="A75" s="64" t="str">
        <f t="shared" si="0"/>
        <v>L_C18_1w9c</v>
      </c>
      <c r="B75" s="64"/>
      <c r="C75" s="18">
        <f>IF(C24=0,"0",IF(AND(Results!$C$5="Protein",C$51&gt;0,OR(Results!$C$4="Tissue",Results!$C$4="Cells")),((C24)/(C$3*C$51)),IF(AND(Results!$C$5="Weight",C$50&gt;0,Results!$C$4="Tissue"),((C24)/(C$3*C$50)),IF(AND(Results!$C$5="Volume",C$52&gt;0,Results!$C$4="Fluid"),((C24)/(C$3*C$52)),IF(AND(Results!$C$4="Cells",Results!$C$5="Million"),((C24)/(C$3*C$50)),"-")))))</f>
        <v>7.571261226803272E-2</v>
      </c>
      <c r="D75" s="18">
        <f>IF(D24=0,"0",IF(AND(Results!$C$5="Protein",D$51&gt;0,OR(Results!$C$4="Tissue",Results!$C$4="Cells")),((D24)/(D$3*D$51)),IF(AND(Results!$C$5="Weight",D$50&gt;0,Results!$C$4="Tissue"),((D24)/(D$3*D$50)),IF(AND(Results!$C$5="Volume",D$52&gt;0,Results!$C$4="Fluid"),((D24)/(D$3*D$52)),IF(AND(Results!$C$4="Cells",Results!$C$5="Million"),((D24)/(D$3*D$50)),"-")))))</f>
        <v>0.17121686603872943</v>
      </c>
      <c r="E75" s="18">
        <f>IF(E24=0,"0",IF(AND(Results!$C$5="Protein",E$51&gt;0,OR(Results!$C$4="Tissue",Results!$C$4="Cells")),((E24)/(E$3*E$51)),IF(AND(Results!$C$5="Weight",E$50&gt;0,Results!$C$4="Tissue"),((E24)/(E$3*E$50)),IF(AND(Results!$C$5="Volume",E$52&gt;0,Results!$C$4="Fluid"),((E24)/(E$3*E$52)),IF(AND(Results!$C$4="Cells",Results!$C$5="Million"),((E24)/(E$3*E$50)),"-")))))</f>
        <v>9.6857843194242135E-2</v>
      </c>
      <c r="F75" s="18">
        <f>IF(F24=0,"0",IF(AND(Results!$C$5="Protein",F$51&gt;0,OR(Results!$C$4="Tissue",Results!$C$4="Cells")),((F24)/(F$3*F$51)),IF(AND(Results!$C$5="Weight",F$50&gt;0,Results!$C$4="Tissue"),((F24)/(F$3*F$50)),IF(AND(Results!$C$5="Volume",F$52&gt;0,Results!$C$4="Fluid"),((F24)/(F$3*F$52)),IF(AND(Results!$C$4="Cells",Results!$C$5="Million"),((F24)/(F$3*F$50)),"-")))))</f>
        <v>8.7790505936106822E-2</v>
      </c>
      <c r="G75" s="18">
        <f>IF(G24=0,"0",IF(AND(Results!$C$5="Protein",G$51&gt;0,OR(Results!$C$4="Tissue",Results!$C$4="Cells")),((G24)/(G$3*G$51)),IF(AND(Results!$C$5="Weight",G$50&gt;0,Results!$C$4="Tissue"),((G24)/(G$3*G$50)),IF(AND(Results!$C$5="Volume",G$52&gt;0,Results!$C$4="Fluid"),((G24)/(G$3*G$52)),IF(AND(Results!$C$4="Cells",Results!$C$5="Million"),((G24)/(G$3*G$50)),"-")))))</f>
        <v>8.7064233555304987E-2</v>
      </c>
      <c r="H75" s="18">
        <f>IF(H24=0,"0",IF(AND(Results!$C$5="Protein",H$51&gt;0,OR(Results!$C$4="Tissue",Results!$C$4="Cells")),((H24)/(H$3*H$51)),IF(AND(Results!$C$5="Weight",H$50&gt;0,Results!$C$4="Tissue"),((H24)/(H$3*H$50)),IF(AND(Results!$C$5="Volume",H$52&gt;0,Results!$C$4="Fluid"),((H24)/(H$3*H$52)),IF(AND(Results!$C$4="Cells",Results!$C$5="Million"),((H24)/(H$3*H$50)),"-")))))</f>
        <v>9.8398476648010547E-2</v>
      </c>
      <c r="I75" s="18">
        <f>IF(I24=0,"0",IF(AND(Results!$C$5="Protein",I$51&gt;0,OR(Results!$C$4="Tissue",Results!$C$4="Cells")),((I24)/(I$3*I$51)),IF(AND(Results!$C$5="Weight",I$50&gt;0,Results!$C$4="Tissue"),((I24)/(I$3*I$50)),IF(AND(Results!$C$5="Volume",I$52&gt;0,Results!$C$4="Fluid"),((I24)/(I$3*I$52)),IF(AND(Results!$C$4="Cells",Results!$C$5="Million"),((I24)/(I$3*I$50)),"-")))))</f>
        <v>7.4641657324600375E-2</v>
      </c>
      <c r="J75" s="18">
        <f>IF(J24=0,"0",IF(AND(Results!$C$5="Protein",J$51&gt;0,OR(Results!$C$4="Tissue",Results!$C$4="Cells")),((J24)/(J$3*J$51)),IF(AND(Results!$C$5="Weight",J$50&gt;0,Results!$C$4="Tissue"),((J24)/(J$3*J$50)),IF(AND(Results!$C$5="Volume",J$52&gt;0,Results!$C$4="Fluid"),((J24)/(J$3*J$52)),IF(AND(Results!$C$4="Cells",Results!$C$5="Million"),((J24)/(J$3*J$50)),"-")))))</f>
        <v>5.6995944387529265E-2</v>
      </c>
      <c r="K75" s="18">
        <f>IF(K24=0,"0",IF(AND(Results!$C$5="Protein",K$51&gt;0,OR(Results!$C$4="Tissue",Results!$C$4="Cells")),((K24)/(K$3*K$51)),IF(AND(Results!$C$5="Weight",K$50&gt;0,Results!$C$4="Tissue"),((K24)/(K$3*K$50)),IF(AND(Results!$C$5="Volume",K$52&gt;0,Results!$C$4="Fluid"),((K24)/(K$3*K$52)),IF(AND(Results!$C$4="Cells",Results!$C$5="Million"),((K24)/(K$3*K$50)),"-")))))</f>
        <v>0.10316320612948277</v>
      </c>
      <c r="L75" s="18">
        <f>IF(L24=0,"0",IF(AND(Results!$C$5="Protein",L$51&gt;0,OR(Results!$C$4="Tissue",Results!$C$4="Cells")),((L24)/(L$3*L$51)),IF(AND(Results!$C$5="Weight",L$50&gt;0,Results!$C$4="Tissue"),((L24)/(L$3*L$50)),IF(AND(Results!$C$5="Volume",L$52&gt;0,Results!$C$4="Fluid"),((L24)/(L$3*L$52)),IF(AND(Results!$C$4="Cells",Results!$C$5="Million"),((L24)/(L$3*L$50)),"-")))))</f>
        <v>0.12382954066549957</v>
      </c>
      <c r="M75" s="18">
        <f>IF(M24=0,"0",IF(AND(Results!$C$5="Protein",M$51&gt;0,OR(Results!$C$4="Tissue",Results!$C$4="Cells")),((M24)/(M$3*M$51)),IF(AND(Results!$C$5="Weight",M$50&gt;0,Results!$C$4="Tissue"),((M24)/(M$3*M$50)),IF(AND(Results!$C$5="Volume",M$52&gt;0,Results!$C$4="Fluid"),((M24)/(M$3*M$52)),IF(AND(Results!$C$4="Cells",Results!$C$5="Million"),((M24)/(M$3*M$50)),"-")))))</f>
        <v>8.3723221195280584E-2</v>
      </c>
      <c r="N75" s="18">
        <f>IF(N24=0,"0",IF(AND(Results!$C$5="Protein",N$51&gt;0,OR(Results!$C$4="Tissue",Results!$C$4="Cells")),((N24)/(N$3*N$51)),IF(AND(Results!$C$5="Weight",N$50&gt;0,Results!$C$4="Tissue"),((N24)/(N$3*N$50)),IF(AND(Results!$C$5="Volume",N$52&gt;0,Results!$C$4="Fluid"),((N24)/(N$3*N$52)),IF(AND(Results!$C$4="Cells",Results!$C$5="Million"),((N24)/(N$3*N$50)),"-")))))</f>
        <v>5.7464571892339139E-2</v>
      </c>
      <c r="O75" s="18">
        <f>IF(O24=0,"0",IF(AND(Results!$C$5="Protein",O$51&gt;0,OR(Results!$C$4="Tissue",Results!$C$4="Cells")),((O24)/(O$3*O$51)),IF(AND(Results!$C$5="Weight",O$50&gt;0,Results!$C$4="Tissue"),((O24)/(O$3*O$50)),IF(AND(Results!$C$5="Volume",O$52&gt;0,Results!$C$4="Fluid"),((O24)/(O$3*O$52)),IF(AND(Results!$C$4="Cells",Results!$C$5="Million"),((O24)/(O$3*O$50)),"-")))))</f>
        <v>0.11146465259210959</v>
      </c>
      <c r="P75" s="18">
        <f>IF(P24=0,"0",IF(AND(Results!$C$5="Protein",P$51&gt;0,OR(Results!$C$4="Tissue",Results!$C$4="Cells")),((P24)/(P$3*P$51)),IF(AND(Results!$C$5="Weight",P$50&gt;0,Results!$C$4="Tissue"),((P24)/(P$3*P$50)),IF(AND(Results!$C$5="Volume",P$52&gt;0,Results!$C$4="Fluid"),((P24)/(P$3*P$52)),IF(AND(Results!$C$4="Cells",Results!$C$5="Million"),((P24)/(P$3*P$50)),"-")))))</f>
        <v>0.14967354652454487</v>
      </c>
      <c r="Q75" s="18">
        <f>IF(Q24=0,"0",IF(AND(Results!$C$5="Protein",Q$51&gt;0,OR(Results!$C$4="Tissue",Results!$C$4="Cells")),((Q24)/(Q$3*Q$51)),IF(AND(Results!$C$5="Weight",Q$50&gt;0,Results!$C$4="Tissue"),((Q24)/(Q$3*Q$50)),IF(AND(Results!$C$5="Volume",Q$52&gt;0,Results!$C$4="Fluid"),((Q24)/(Q$3*Q$52)),IF(AND(Results!$C$4="Cells",Results!$C$5="Million"),((Q24)/(Q$3*Q$50)),"-")))))</f>
        <v>6.7072184443388708E-2</v>
      </c>
      <c r="R75" s="18">
        <f>IF(R24=0,"0",IF(AND(Results!$C$5="Protein",R$51&gt;0,OR(Results!$C$4="Tissue",Results!$C$4="Cells")),((R24)/(R$3*R$51)),IF(AND(Results!$C$5="Weight",R$50&gt;0,Results!$C$4="Tissue"),((R24)/(R$3*R$50)),IF(AND(Results!$C$5="Volume",R$52&gt;0,Results!$C$4="Fluid"),((R24)/(R$3*R$52)),IF(AND(Results!$C$4="Cells",Results!$C$5="Million"),((R24)/(R$3*R$50)),"-")))))</f>
        <v>6.8016796873936872E-2</v>
      </c>
      <c r="S75" s="18">
        <f>IF(S24=0,"0",IF(AND(Results!$C$5="Protein",S$51&gt;0,OR(Results!$C$4="Tissue",Results!$C$4="Cells")),((S24)/(S$3*S$51)),IF(AND(Results!$C$5="Weight",S$50&gt;0,Results!$C$4="Tissue"),((S24)/(S$3*S$50)),IF(AND(Results!$C$5="Volume",S$52&gt;0,Results!$C$4="Fluid"),((S24)/(S$3*S$52)),IF(AND(Results!$C$4="Cells",Results!$C$5="Million"),((S24)/(S$3*S$50)),"-")))))</f>
        <v>8.3763765882016408E-2</v>
      </c>
      <c r="T75" s="18">
        <f>IF(T24=0,"0",IF(AND(Results!$C$5="Protein",T$51&gt;0,OR(Results!$C$4="Tissue",Results!$C$4="Cells")),((T24)/(T$3*T$51)),IF(AND(Results!$C$5="Weight",T$50&gt;0,Results!$C$4="Tissue"),((T24)/(T$3*T$50)),IF(AND(Results!$C$5="Volume",T$52&gt;0,Results!$C$4="Fluid"),((T24)/(T$3*T$52)),IF(AND(Results!$C$4="Cells",Results!$C$5="Million"),((T24)/(T$3*T$50)),"-")))))</f>
        <v>0.10978576850112452</v>
      </c>
      <c r="U75" s="18">
        <f>IF(U24=0,"0",IF(AND(Results!$C$5="Protein",U$51&gt;0,OR(Results!$C$4="Tissue",Results!$C$4="Cells")),((U24)/(U$3*U$51)),IF(AND(Results!$C$5="Weight",U$50&gt;0,Results!$C$4="Tissue"),((U24)/(U$3*U$50)),IF(AND(Results!$C$5="Volume",U$52&gt;0,Results!$C$4="Fluid"),((U24)/(U$3*U$52)),IF(AND(Results!$C$4="Cells",Results!$C$5="Million"),((U24)/(U$3*U$50)),"-")))))</f>
        <v>0.15981322217628541</v>
      </c>
      <c r="V75" s="18">
        <f>IF(V24=0,"0",IF(AND(Results!$C$5="Protein",V$51&gt;0,OR(Results!$C$4="Tissue",Results!$C$4="Cells")),((V24)/(V$3*V$51)),IF(AND(Results!$C$5="Weight",V$50&gt;0,Results!$C$4="Tissue"),((V24)/(V$3*V$50)),IF(AND(Results!$C$5="Volume",V$52&gt;0,Results!$C$4="Fluid"),((V24)/(V$3*V$52)),IF(AND(Results!$C$4="Cells",Results!$C$5="Million"),((V24)/(V$3*V$50)),"-")))))</f>
        <v>0.10628683289630503</v>
      </c>
    </row>
    <row r="76" spans="1:22" x14ac:dyDescent="0.25">
      <c r="A76" s="64" t="str">
        <f t="shared" si="0"/>
        <v>L_C18_1w9t</v>
      </c>
      <c r="B76" s="64"/>
      <c r="C76" s="18" t="str">
        <f>IF(C25=0,"0",IF(AND(Results!$C$5="Protein",C$51&gt;0,OR(Results!$C$4="Tissue",Results!$C$4="Cells")),((C25)/(C$3*C$51)),IF(AND(Results!$C$5="Weight",C$50&gt;0,Results!$C$4="Tissue"),((C25)/(C$3*C$50)),IF(AND(Results!$C$5="Volume",C$52&gt;0,Results!$C$4="Fluid"),((C25)/(C$3*C$52)),IF(AND(Results!$C$4="Cells",Results!$C$5="Million"),((C25)/(C$3*C$50)),"-")))))</f>
        <v>0</v>
      </c>
      <c r="D76" s="18" t="str">
        <f>IF(D25=0,"0",IF(AND(Results!$C$5="Protein",D$51&gt;0,OR(Results!$C$4="Tissue",Results!$C$4="Cells")),((D25)/(D$3*D$51)),IF(AND(Results!$C$5="Weight",D$50&gt;0,Results!$C$4="Tissue"),((D25)/(D$3*D$50)),IF(AND(Results!$C$5="Volume",D$52&gt;0,Results!$C$4="Fluid"),((D25)/(D$3*D$52)),IF(AND(Results!$C$4="Cells",Results!$C$5="Million"),((D25)/(D$3*D$50)),"-")))))</f>
        <v>0</v>
      </c>
      <c r="E76" s="18" t="str">
        <f>IF(E25=0,"0",IF(AND(Results!$C$5="Protein",E$51&gt;0,OR(Results!$C$4="Tissue",Results!$C$4="Cells")),((E25)/(E$3*E$51)),IF(AND(Results!$C$5="Weight",E$50&gt;0,Results!$C$4="Tissue"),((E25)/(E$3*E$50)),IF(AND(Results!$C$5="Volume",E$52&gt;0,Results!$C$4="Fluid"),((E25)/(E$3*E$52)),IF(AND(Results!$C$4="Cells",Results!$C$5="Million"),((E25)/(E$3*E$50)),"-")))))</f>
        <v>0</v>
      </c>
      <c r="F76" s="18" t="str">
        <f>IF(F25=0,"0",IF(AND(Results!$C$5="Protein",F$51&gt;0,OR(Results!$C$4="Tissue",Results!$C$4="Cells")),((F25)/(F$3*F$51)),IF(AND(Results!$C$5="Weight",F$50&gt;0,Results!$C$4="Tissue"),((F25)/(F$3*F$50)),IF(AND(Results!$C$5="Volume",F$52&gt;0,Results!$C$4="Fluid"),((F25)/(F$3*F$52)),IF(AND(Results!$C$4="Cells",Results!$C$5="Million"),((F25)/(F$3*F$50)),"-")))))</f>
        <v>0</v>
      </c>
      <c r="G76" s="18" t="str">
        <f>IF(G25=0,"0",IF(AND(Results!$C$5="Protein",G$51&gt;0,OR(Results!$C$4="Tissue",Results!$C$4="Cells")),((G25)/(G$3*G$51)),IF(AND(Results!$C$5="Weight",G$50&gt;0,Results!$C$4="Tissue"),((G25)/(G$3*G$50)),IF(AND(Results!$C$5="Volume",G$52&gt;0,Results!$C$4="Fluid"),((G25)/(G$3*G$52)),IF(AND(Results!$C$4="Cells",Results!$C$5="Million"),((G25)/(G$3*G$50)),"-")))))</f>
        <v>0</v>
      </c>
      <c r="H76" s="18" t="str">
        <f>IF(H25=0,"0",IF(AND(Results!$C$5="Protein",H$51&gt;0,OR(Results!$C$4="Tissue",Results!$C$4="Cells")),((H25)/(H$3*H$51)),IF(AND(Results!$C$5="Weight",H$50&gt;0,Results!$C$4="Tissue"),((H25)/(H$3*H$50)),IF(AND(Results!$C$5="Volume",H$52&gt;0,Results!$C$4="Fluid"),((H25)/(H$3*H$52)),IF(AND(Results!$C$4="Cells",Results!$C$5="Million"),((H25)/(H$3*H$50)),"-")))))</f>
        <v>0</v>
      </c>
      <c r="I76" s="18" t="str">
        <f>IF(I25=0,"0",IF(AND(Results!$C$5="Protein",I$51&gt;0,OR(Results!$C$4="Tissue",Results!$C$4="Cells")),((I25)/(I$3*I$51)),IF(AND(Results!$C$5="Weight",I$50&gt;0,Results!$C$4="Tissue"),((I25)/(I$3*I$50)),IF(AND(Results!$C$5="Volume",I$52&gt;0,Results!$C$4="Fluid"),((I25)/(I$3*I$52)),IF(AND(Results!$C$4="Cells",Results!$C$5="Million"),((I25)/(I$3*I$50)),"-")))))</f>
        <v>0</v>
      </c>
      <c r="J76" s="18" t="str">
        <f>IF(J25=0,"0",IF(AND(Results!$C$5="Protein",J$51&gt;0,OR(Results!$C$4="Tissue",Results!$C$4="Cells")),((J25)/(J$3*J$51)),IF(AND(Results!$C$5="Weight",J$50&gt;0,Results!$C$4="Tissue"),((J25)/(J$3*J$50)),IF(AND(Results!$C$5="Volume",J$52&gt;0,Results!$C$4="Fluid"),((J25)/(J$3*J$52)),IF(AND(Results!$C$4="Cells",Results!$C$5="Million"),((J25)/(J$3*J$50)),"-")))))</f>
        <v>0</v>
      </c>
      <c r="K76" s="18" t="str">
        <f>IF(K25=0,"0",IF(AND(Results!$C$5="Protein",K$51&gt;0,OR(Results!$C$4="Tissue",Results!$C$4="Cells")),((K25)/(K$3*K$51)),IF(AND(Results!$C$5="Weight",K$50&gt;0,Results!$C$4="Tissue"),((K25)/(K$3*K$50)),IF(AND(Results!$C$5="Volume",K$52&gt;0,Results!$C$4="Fluid"),((K25)/(K$3*K$52)),IF(AND(Results!$C$4="Cells",Results!$C$5="Million"),((K25)/(K$3*K$50)),"-")))))</f>
        <v>0</v>
      </c>
      <c r="L76" s="18" t="str">
        <f>IF(L25=0,"0",IF(AND(Results!$C$5="Protein",L$51&gt;0,OR(Results!$C$4="Tissue",Results!$C$4="Cells")),((L25)/(L$3*L$51)),IF(AND(Results!$C$5="Weight",L$50&gt;0,Results!$C$4="Tissue"),((L25)/(L$3*L$50)),IF(AND(Results!$C$5="Volume",L$52&gt;0,Results!$C$4="Fluid"),((L25)/(L$3*L$52)),IF(AND(Results!$C$4="Cells",Results!$C$5="Million"),((L25)/(L$3*L$50)),"-")))))</f>
        <v>0</v>
      </c>
      <c r="M76" s="18" t="str">
        <f>IF(M25=0,"0",IF(AND(Results!$C$5="Protein",M$51&gt;0,OR(Results!$C$4="Tissue",Results!$C$4="Cells")),((M25)/(M$3*M$51)),IF(AND(Results!$C$5="Weight",M$50&gt;0,Results!$C$4="Tissue"),((M25)/(M$3*M$50)),IF(AND(Results!$C$5="Volume",M$52&gt;0,Results!$C$4="Fluid"),((M25)/(M$3*M$52)),IF(AND(Results!$C$4="Cells",Results!$C$5="Million"),((M25)/(M$3*M$50)),"-")))))</f>
        <v>0</v>
      </c>
      <c r="N76" s="18" t="str">
        <f>IF(N25=0,"0",IF(AND(Results!$C$5="Protein",N$51&gt;0,OR(Results!$C$4="Tissue",Results!$C$4="Cells")),((N25)/(N$3*N$51)),IF(AND(Results!$C$5="Weight",N$50&gt;0,Results!$C$4="Tissue"),((N25)/(N$3*N$50)),IF(AND(Results!$C$5="Volume",N$52&gt;0,Results!$C$4="Fluid"),((N25)/(N$3*N$52)),IF(AND(Results!$C$4="Cells",Results!$C$5="Million"),((N25)/(N$3*N$50)),"-")))))</f>
        <v>0</v>
      </c>
      <c r="O76" s="18" t="str">
        <f>IF(O25=0,"0",IF(AND(Results!$C$5="Protein",O$51&gt;0,OR(Results!$C$4="Tissue",Results!$C$4="Cells")),((O25)/(O$3*O$51)),IF(AND(Results!$C$5="Weight",O$50&gt;0,Results!$C$4="Tissue"),((O25)/(O$3*O$50)),IF(AND(Results!$C$5="Volume",O$52&gt;0,Results!$C$4="Fluid"),((O25)/(O$3*O$52)),IF(AND(Results!$C$4="Cells",Results!$C$5="Million"),((O25)/(O$3*O$50)),"-")))))</f>
        <v>0</v>
      </c>
      <c r="P76" s="18" t="str">
        <f>IF(P25=0,"0",IF(AND(Results!$C$5="Protein",P$51&gt;0,OR(Results!$C$4="Tissue",Results!$C$4="Cells")),((P25)/(P$3*P$51)),IF(AND(Results!$C$5="Weight",P$50&gt;0,Results!$C$4="Tissue"),((P25)/(P$3*P$50)),IF(AND(Results!$C$5="Volume",P$52&gt;0,Results!$C$4="Fluid"),((P25)/(P$3*P$52)),IF(AND(Results!$C$4="Cells",Results!$C$5="Million"),((P25)/(P$3*P$50)),"-")))))</f>
        <v>0</v>
      </c>
      <c r="Q76" s="18" t="str">
        <f>IF(Q25=0,"0",IF(AND(Results!$C$5="Protein",Q$51&gt;0,OR(Results!$C$4="Tissue",Results!$C$4="Cells")),((Q25)/(Q$3*Q$51)),IF(AND(Results!$C$5="Weight",Q$50&gt;0,Results!$C$4="Tissue"),((Q25)/(Q$3*Q$50)),IF(AND(Results!$C$5="Volume",Q$52&gt;0,Results!$C$4="Fluid"),((Q25)/(Q$3*Q$52)),IF(AND(Results!$C$4="Cells",Results!$C$5="Million"),((Q25)/(Q$3*Q$50)),"-")))))</f>
        <v>0</v>
      </c>
      <c r="R76" s="18" t="str">
        <f>IF(R25=0,"0",IF(AND(Results!$C$5="Protein",R$51&gt;0,OR(Results!$C$4="Tissue",Results!$C$4="Cells")),((R25)/(R$3*R$51)),IF(AND(Results!$C$5="Weight",R$50&gt;0,Results!$C$4="Tissue"),((R25)/(R$3*R$50)),IF(AND(Results!$C$5="Volume",R$52&gt;0,Results!$C$4="Fluid"),((R25)/(R$3*R$52)),IF(AND(Results!$C$4="Cells",Results!$C$5="Million"),((R25)/(R$3*R$50)),"-")))))</f>
        <v>0</v>
      </c>
      <c r="S76" s="18" t="str">
        <f>IF(S25=0,"0",IF(AND(Results!$C$5="Protein",S$51&gt;0,OR(Results!$C$4="Tissue",Results!$C$4="Cells")),((S25)/(S$3*S$51)),IF(AND(Results!$C$5="Weight",S$50&gt;0,Results!$C$4="Tissue"),((S25)/(S$3*S$50)),IF(AND(Results!$C$5="Volume",S$52&gt;0,Results!$C$4="Fluid"),((S25)/(S$3*S$52)),IF(AND(Results!$C$4="Cells",Results!$C$5="Million"),((S25)/(S$3*S$50)),"-")))))</f>
        <v>0</v>
      </c>
      <c r="T76" s="18" t="str">
        <f>IF(T25=0,"0",IF(AND(Results!$C$5="Protein",T$51&gt;0,OR(Results!$C$4="Tissue",Results!$C$4="Cells")),((T25)/(T$3*T$51)),IF(AND(Results!$C$5="Weight",T$50&gt;0,Results!$C$4="Tissue"),((T25)/(T$3*T$50)),IF(AND(Results!$C$5="Volume",T$52&gt;0,Results!$C$4="Fluid"),((T25)/(T$3*T$52)),IF(AND(Results!$C$4="Cells",Results!$C$5="Million"),((T25)/(T$3*T$50)),"-")))))</f>
        <v>0</v>
      </c>
      <c r="U76" s="18" t="str">
        <f>IF(U25=0,"0",IF(AND(Results!$C$5="Protein",U$51&gt;0,OR(Results!$C$4="Tissue",Results!$C$4="Cells")),((U25)/(U$3*U$51)),IF(AND(Results!$C$5="Weight",U$50&gt;0,Results!$C$4="Tissue"),((U25)/(U$3*U$50)),IF(AND(Results!$C$5="Volume",U$52&gt;0,Results!$C$4="Fluid"),((U25)/(U$3*U$52)),IF(AND(Results!$C$4="Cells",Results!$C$5="Million"),((U25)/(U$3*U$50)),"-")))))</f>
        <v>0</v>
      </c>
      <c r="V76" s="18" t="str">
        <f>IF(V25=0,"0",IF(AND(Results!$C$5="Protein",V$51&gt;0,OR(Results!$C$4="Tissue",Results!$C$4="Cells")),((V25)/(V$3*V$51)),IF(AND(Results!$C$5="Weight",V$50&gt;0,Results!$C$4="Tissue"),((V25)/(V$3*V$50)),IF(AND(Results!$C$5="Volume",V$52&gt;0,Results!$C$4="Fluid"),((V25)/(V$3*V$52)),IF(AND(Results!$C$4="Cells",Results!$C$5="Million"),((V25)/(V$3*V$50)),"-")))))</f>
        <v>0</v>
      </c>
    </row>
    <row r="77" spans="1:22" x14ac:dyDescent="0.25">
      <c r="A77" s="64" t="str">
        <f t="shared" si="0"/>
        <v>L_C18_1w7c</v>
      </c>
      <c r="B77" s="64"/>
      <c r="C77" s="18">
        <f>IF(C26=0,"0",IF(AND(Results!$C$5="Protein",C$51&gt;0,OR(Results!$C$4="Tissue",Results!$C$4="Cells")),((C26)/(C$3*C$51)),IF(AND(Results!$C$5="Weight",C$50&gt;0,Results!$C$4="Tissue"),((C26)/(C$3*C$50)),IF(AND(Results!$C$5="Volume",C$52&gt;0,Results!$C$4="Fluid"),((C26)/(C$3*C$52)),IF(AND(Results!$C$4="Cells",Results!$C$5="Million"),((C26)/(C$3*C$50)),"-")))))</f>
        <v>0.93951635796046562</v>
      </c>
      <c r="D77" s="18">
        <f>IF(D26=0,"0",IF(AND(Results!$C$5="Protein",D$51&gt;0,OR(Results!$C$4="Tissue",Results!$C$4="Cells")),((D26)/(D$3*D$51)),IF(AND(Results!$C$5="Weight",D$50&gt;0,Results!$C$4="Tissue"),((D26)/(D$3*D$50)),IF(AND(Results!$C$5="Volume",D$52&gt;0,Results!$C$4="Fluid"),((D26)/(D$3*D$52)),IF(AND(Results!$C$4="Cells",Results!$C$5="Million"),((D26)/(D$3*D$50)),"-")))))</f>
        <v>1.4711250230714721</v>
      </c>
      <c r="E77" s="18">
        <f>IF(E26=0,"0",IF(AND(Results!$C$5="Protein",E$51&gt;0,OR(Results!$C$4="Tissue",Results!$C$4="Cells")),((E26)/(E$3*E$51)),IF(AND(Results!$C$5="Weight",E$50&gt;0,Results!$C$4="Tissue"),((E26)/(E$3*E$50)),IF(AND(Results!$C$5="Volume",E$52&gt;0,Results!$C$4="Fluid"),((E26)/(E$3*E$52)),IF(AND(Results!$C$4="Cells",Results!$C$5="Million"),((E26)/(E$3*E$50)),"-")))))</f>
        <v>1.5800342241828342</v>
      </c>
      <c r="F77" s="18">
        <f>IF(F26=0,"0",IF(AND(Results!$C$5="Protein",F$51&gt;0,OR(Results!$C$4="Tissue",Results!$C$4="Cells")),((F26)/(F$3*F$51)),IF(AND(Results!$C$5="Weight",F$50&gt;0,Results!$C$4="Tissue"),((F26)/(F$3*F$50)),IF(AND(Results!$C$5="Volume",F$52&gt;0,Results!$C$4="Fluid"),((F26)/(F$3*F$52)),IF(AND(Results!$C$4="Cells",Results!$C$5="Million"),((F26)/(F$3*F$50)),"-")))))</f>
        <v>0.80715018555238049</v>
      </c>
      <c r="G77" s="18">
        <f>IF(G26=0,"0",IF(AND(Results!$C$5="Protein",G$51&gt;0,OR(Results!$C$4="Tissue",Results!$C$4="Cells")),((G26)/(G$3*G$51)),IF(AND(Results!$C$5="Weight",G$50&gt;0,Results!$C$4="Tissue"),((G26)/(G$3*G$50)),IF(AND(Results!$C$5="Volume",G$52&gt;0,Results!$C$4="Fluid"),((G26)/(G$3*G$52)),IF(AND(Results!$C$4="Cells",Results!$C$5="Million"),((G26)/(G$3*G$50)),"-")))))</f>
        <v>1.3111360472609908</v>
      </c>
      <c r="H77" s="18">
        <f>IF(H26=0,"0",IF(AND(Results!$C$5="Protein",H$51&gt;0,OR(Results!$C$4="Tissue",Results!$C$4="Cells")),((H26)/(H$3*H$51)),IF(AND(Results!$C$5="Weight",H$50&gt;0,Results!$C$4="Tissue"),((H26)/(H$3*H$50)),IF(AND(Results!$C$5="Volume",H$52&gt;0,Results!$C$4="Fluid"),((H26)/(H$3*H$52)),IF(AND(Results!$C$4="Cells",Results!$C$5="Million"),((H26)/(H$3*H$50)),"-")))))</f>
        <v>1.2154351149989442</v>
      </c>
      <c r="I77" s="18">
        <f>IF(I26=0,"0",IF(AND(Results!$C$5="Protein",I$51&gt;0,OR(Results!$C$4="Tissue",Results!$C$4="Cells")),((I26)/(I$3*I$51)),IF(AND(Results!$C$5="Weight",I$50&gt;0,Results!$C$4="Tissue"),((I26)/(I$3*I$50)),IF(AND(Results!$C$5="Volume",I$52&gt;0,Results!$C$4="Fluid"),((I26)/(I$3*I$52)),IF(AND(Results!$C$4="Cells",Results!$C$5="Million"),((I26)/(I$3*I$50)),"-")))))</f>
        <v>1.1151258650149849</v>
      </c>
      <c r="J77" s="18">
        <f>IF(J26=0,"0",IF(AND(Results!$C$5="Protein",J$51&gt;0,OR(Results!$C$4="Tissue",Results!$C$4="Cells")),((J26)/(J$3*J$51)),IF(AND(Results!$C$5="Weight",J$50&gt;0,Results!$C$4="Tissue"),((J26)/(J$3*J$50)),IF(AND(Results!$C$5="Volume",J$52&gt;0,Results!$C$4="Fluid"),((J26)/(J$3*J$52)),IF(AND(Results!$C$4="Cells",Results!$C$5="Million"),((J26)/(J$3*J$50)),"-")))))</f>
        <v>1.0671205880559267</v>
      </c>
      <c r="K77" s="18">
        <f>IF(K26=0,"0",IF(AND(Results!$C$5="Protein",K$51&gt;0,OR(Results!$C$4="Tissue",Results!$C$4="Cells")),((K26)/(K$3*K$51)),IF(AND(Results!$C$5="Weight",K$50&gt;0,Results!$C$4="Tissue"),((K26)/(K$3*K$50)),IF(AND(Results!$C$5="Volume",K$52&gt;0,Results!$C$4="Fluid"),((K26)/(K$3*K$52)),IF(AND(Results!$C$4="Cells",Results!$C$5="Million"),((K26)/(K$3*K$50)),"-")))))</f>
        <v>0.96040074768058048</v>
      </c>
      <c r="L77" s="18">
        <f>IF(L26=0,"0",IF(AND(Results!$C$5="Protein",L$51&gt;0,OR(Results!$C$4="Tissue",Results!$C$4="Cells")),((L26)/(L$3*L$51)),IF(AND(Results!$C$5="Weight",L$50&gt;0,Results!$C$4="Tissue"),((L26)/(L$3*L$50)),IF(AND(Results!$C$5="Volume",L$52&gt;0,Results!$C$4="Fluid"),((L26)/(L$3*L$52)),IF(AND(Results!$C$4="Cells",Results!$C$5="Million"),((L26)/(L$3*L$50)),"-")))))</f>
        <v>1.6128594521448558</v>
      </c>
      <c r="M77" s="18">
        <f>IF(M26=0,"0",IF(AND(Results!$C$5="Protein",M$51&gt;0,OR(Results!$C$4="Tissue",Results!$C$4="Cells")),((M26)/(M$3*M$51)),IF(AND(Results!$C$5="Weight",M$50&gt;0,Results!$C$4="Tissue"),((M26)/(M$3*M$50)),IF(AND(Results!$C$5="Volume",M$52&gt;0,Results!$C$4="Fluid"),((M26)/(M$3*M$52)),IF(AND(Results!$C$4="Cells",Results!$C$5="Million"),((M26)/(M$3*M$50)),"-")))))</f>
        <v>0.92375068830495788</v>
      </c>
      <c r="N77" s="18">
        <f>IF(N26=0,"0",IF(AND(Results!$C$5="Protein",N$51&gt;0,OR(Results!$C$4="Tissue",Results!$C$4="Cells")),((N26)/(N$3*N$51)),IF(AND(Results!$C$5="Weight",N$50&gt;0,Results!$C$4="Tissue"),((N26)/(N$3*N$50)),IF(AND(Results!$C$5="Volume",N$52&gt;0,Results!$C$4="Fluid"),((N26)/(N$3*N$52)),IF(AND(Results!$C$4="Cells",Results!$C$5="Million"),((N26)/(N$3*N$50)),"-")))))</f>
        <v>0.9849676276048942</v>
      </c>
      <c r="O77" s="18">
        <f>IF(O26=0,"0",IF(AND(Results!$C$5="Protein",O$51&gt;0,OR(Results!$C$4="Tissue",Results!$C$4="Cells")),((O26)/(O$3*O$51)),IF(AND(Results!$C$5="Weight",O$50&gt;0,Results!$C$4="Tissue"),((O26)/(O$3*O$50)),IF(AND(Results!$C$5="Volume",O$52&gt;0,Results!$C$4="Fluid"),((O26)/(O$3*O$52)),IF(AND(Results!$C$4="Cells",Results!$C$5="Million"),((O26)/(O$3*O$50)),"-")))))</f>
        <v>1.2356432730568454</v>
      </c>
      <c r="P77" s="18">
        <f>IF(P26=0,"0",IF(AND(Results!$C$5="Protein",P$51&gt;0,OR(Results!$C$4="Tissue",Results!$C$4="Cells")),((P26)/(P$3*P$51)),IF(AND(Results!$C$5="Weight",P$50&gt;0,Results!$C$4="Tissue"),((P26)/(P$3*P$50)),IF(AND(Results!$C$5="Volume",P$52&gt;0,Results!$C$4="Fluid"),((P26)/(P$3*P$52)),IF(AND(Results!$C$4="Cells",Results!$C$5="Million"),((P26)/(P$3*P$50)),"-")))))</f>
        <v>2.5249852751439859</v>
      </c>
      <c r="Q77" s="18">
        <f>IF(Q26=0,"0",IF(AND(Results!$C$5="Protein",Q$51&gt;0,OR(Results!$C$4="Tissue",Results!$C$4="Cells")),((Q26)/(Q$3*Q$51)),IF(AND(Results!$C$5="Weight",Q$50&gt;0,Results!$C$4="Tissue"),((Q26)/(Q$3*Q$50)),IF(AND(Results!$C$5="Volume",Q$52&gt;0,Results!$C$4="Fluid"),((Q26)/(Q$3*Q$52)),IF(AND(Results!$C$4="Cells",Results!$C$5="Million"),((Q26)/(Q$3*Q$50)),"-")))))</f>
        <v>1.1347369039418844</v>
      </c>
      <c r="R77" s="18">
        <f>IF(R26=0,"0",IF(AND(Results!$C$5="Protein",R$51&gt;0,OR(Results!$C$4="Tissue",Results!$C$4="Cells")),((R26)/(R$3*R$51)),IF(AND(Results!$C$5="Weight",R$50&gt;0,Results!$C$4="Tissue"),((R26)/(R$3*R$50)),IF(AND(Results!$C$5="Volume",R$52&gt;0,Results!$C$4="Fluid"),((R26)/(R$3*R$52)),IF(AND(Results!$C$4="Cells",Results!$C$5="Million"),((R26)/(R$3*R$50)),"-")))))</f>
        <v>0.8188337754113697</v>
      </c>
      <c r="S77" s="18">
        <f>IF(S26=0,"0",IF(AND(Results!$C$5="Protein",S$51&gt;0,OR(Results!$C$4="Tissue",Results!$C$4="Cells")),((S26)/(S$3*S$51)),IF(AND(Results!$C$5="Weight",S$50&gt;0,Results!$C$4="Tissue"),((S26)/(S$3*S$50)),IF(AND(Results!$C$5="Volume",S$52&gt;0,Results!$C$4="Fluid"),((S26)/(S$3*S$52)),IF(AND(Results!$C$4="Cells",Results!$C$5="Million"),((S26)/(S$3*S$50)),"-")))))</f>
        <v>0.98345245144499094</v>
      </c>
      <c r="T77" s="18">
        <f>IF(T26=0,"0",IF(AND(Results!$C$5="Protein",T$51&gt;0,OR(Results!$C$4="Tissue",Results!$C$4="Cells")),((T26)/(T$3*T$51)),IF(AND(Results!$C$5="Weight",T$50&gt;0,Results!$C$4="Tissue"),((T26)/(T$3*T$50)),IF(AND(Results!$C$5="Volume",T$52&gt;0,Results!$C$4="Fluid"),((T26)/(T$3*T$52)),IF(AND(Results!$C$4="Cells",Results!$C$5="Million"),((T26)/(T$3*T$50)),"-")))))</f>
        <v>1.2211442236648296</v>
      </c>
      <c r="U77" s="18">
        <f>IF(U26=0,"0",IF(AND(Results!$C$5="Protein",U$51&gt;0,OR(Results!$C$4="Tissue",Results!$C$4="Cells")),((U26)/(U$3*U$51)),IF(AND(Results!$C$5="Weight",U$50&gt;0,Results!$C$4="Tissue"),((U26)/(U$3*U$50)),IF(AND(Results!$C$5="Volume",U$52&gt;0,Results!$C$4="Fluid"),((U26)/(U$3*U$52)),IF(AND(Results!$C$4="Cells",Results!$C$5="Million"),((U26)/(U$3*U$50)),"-")))))</f>
        <v>2.6529153187463512</v>
      </c>
      <c r="V77" s="18">
        <f>IF(V26=0,"0",IF(AND(Results!$C$5="Protein",V$51&gt;0,OR(Results!$C$4="Tissue",Results!$C$4="Cells")),((V26)/(V$3*V$51)),IF(AND(Results!$C$5="Weight",V$50&gt;0,Results!$C$4="Tissue"),((V26)/(V$3*V$50)),IF(AND(Results!$C$5="Volume",V$52&gt;0,Results!$C$4="Fluid"),((V26)/(V$3*V$52)),IF(AND(Results!$C$4="Cells",Results!$C$5="Million"),((V26)/(V$3*V$50)),"-")))))</f>
        <v>1.7916386015624279</v>
      </c>
    </row>
    <row r="78" spans="1:22" x14ac:dyDescent="0.25">
      <c r="A78" s="64" t="str">
        <f t="shared" si="0"/>
        <v>L_C20_1w9</v>
      </c>
      <c r="B78" s="64"/>
      <c r="C78" s="18" t="str">
        <f>IF(C27=0,"0",IF(AND(Results!$C$5="Protein",C$51&gt;0,OR(Results!$C$4="Tissue",Results!$C$4="Cells")),((C27)/(C$3*C$51)),IF(AND(Results!$C$5="Weight",C$50&gt;0,Results!$C$4="Tissue"),((C27)/(C$3*C$50)),IF(AND(Results!$C$5="Volume",C$52&gt;0,Results!$C$4="Fluid"),((C27)/(C$3*C$52)),IF(AND(Results!$C$4="Cells",Results!$C$5="Million"),((C27)/(C$3*C$50)),"-")))))</f>
        <v>0</v>
      </c>
      <c r="D78" s="18" t="str">
        <f>IF(D27=0,"0",IF(AND(Results!$C$5="Protein",D$51&gt;0,OR(Results!$C$4="Tissue",Results!$C$4="Cells")),((D27)/(D$3*D$51)),IF(AND(Results!$C$5="Weight",D$50&gt;0,Results!$C$4="Tissue"),((D27)/(D$3*D$50)),IF(AND(Results!$C$5="Volume",D$52&gt;0,Results!$C$4="Fluid"),((D27)/(D$3*D$52)),IF(AND(Results!$C$4="Cells",Results!$C$5="Million"),((D27)/(D$3*D$50)),"-")))))</f>
        <v>0</v>
      </c>
      <c r="E78" s="18" t="str">
        <f>IF(E27=0,"0",IF(AND(Results!$C$5="Protein",E$51&gt;0,OR(Results!$C$4="Tissue",Results!$C$4="Cells")),((E27)/(E$3*E$51)),IF(AND(Results!$C$5="Weight",E$50&gt;0,Results!$C$4="Tissue"),((E27)/(E$3*E$50)),IF(AND(Results!$C$5="Volume",E$52&gt;0,Results!$C$4="Fluid"),((E27)/(E$3*E$52)),IF(AND(Results!$C$4="Cells",Results!$C$5="Million"),((E27)/(E$3*E$50)),"-")))))</f>
        <v>0</v>
      </c>
      <c r="F78" s="18" t="str">
        <f>IF(F27=0,"0",IF(AND(Results!$C$5="Protein",F$51&gt;0,OR(Results!$C$4="Tissue",Results!$C$4="Cells")),((F27)/(F$3*F$51)),IF(AND(Results!$C$5="Weight",F$50&gt;0,Results!$C$4="Tissue"),((F27)/(F$3*F$50)),IF(AND(Results!$C$5="Volume",F$52&gt;0,Results!$C$4="Fluid"),((F27)/(F$3*F$52)),IF(AND(Results!$C$4="Cells",Results!$C$5="Million"),((F27)/(F$3*F$50)),"-")))))</f>
        <v>0</v>
      </c>
      <c r="G78" s="18" t="str">
        <f>IF(G27=0,"0",IF(AND(Results!$C$5="Protein",G$51&gt;0,OR(Results!$C$4="Tissue",Results!$C$4="Cells")),((G27)/(G$3*G$51)),IF(AND(Results!$C$5="Weight",G$50&gt;0,Results!$C$4="Tissue"),((G27)/(G$3*G$50)),IF(AND(Results!$C$5="Volume",G$52&gt;0,Results!$C$4="Fluid"),((G27)/(G$3*G$52)),IF(AND(Results!$C$4="Cells",Results!$C$5="Million"),((G27)/(G$3*G$50)),"-")))))</f>
        <v>0</v>
      </c>
      <c r="H78" s="18" t="str">
        <f>IF(H27=0,"0",IF(AND(Results!$C$5="Protein",H$51&gt;0,OR(Results!$C$4="Tissue",Results!$C$4="Cells")),((H27)/(H$3*H$51)),IF(AND(Results!$C$5="Weight",H$50&gt;0,Results!$C$4="Tissue"),((H27)/(H$3*H$50)),IF(AND(Results!$C$5="Volume",H$52&gt;0,Results!$C$4="Fluid"),((H27)/(H$3*H$52)),IF(AND(Results!$C$4="Cells",Results!$C$5="Million"),((H27)/(H$3*H$50)),"-")))))</f>
        <v>0</v>
      </c>
      <c r="I78" s="18" t="str">
        <f>IF(I27=0,"0",IF(AND(Results!$C$5="Protein",I$51&gt;0,OR(Results!$C$4="Tissue",Results!$C$4="Cells")),((I27)/(I$3*I$51)),IF(AND(Results!$C$5="Weight",I$50&gt;0,Results!$C$4="Tissue"),((I27)/(I$3*I$50)),IF(AND(Results!$C$5="Volume",I$52&gt;0,Results!$C$4="Fluid"),((I27)/(I$3*I$52)),IF(AND(Results!$C$4="Cells",Results!$C$5="Million"),((I27)/(I$3*I$50)),"-")))))</f>
        <v>0</v>
      </c>
      <c r="J78" s="18" t="str">
        <f>IF(J27=0,"0",IF(AND(Results!$C$5="Protein",J$51&gt;0,OR(Results!$C$4="Tissue",Results!$C$4="Cells")),((J27)/(J$3*J$51)),IF(AND(Results!$C$5="Weight",J$50&gt;0,Results!$C$4="Tissue"),((J27)/(J$3*J$50)),IF(AND(Results!$C$5="Volume",J$52&gt;0,Results!$C$4="Fluid"),((J27)/(J$3*J$52)),IF(AND(Results!$C$4="Cells",Results!$C$5="Million"),((J27)/(J$3*J$50)),"-")))))</f>
        <v>0</v>
      </c>
      <c r="K78" s="18" t="str">
        <f>IF(K27=0,"0",IF(AND(Results!$C$5="Protein",K$51&gt;0,OR(Results!$C$4="Tissue",Results!$C$4="Cells")),((K27)/(K$3*K$51)),IF(AND(Results!$C$5="Weight",K$50&gt;0,Results!$C$4="Tissue"),((K27)/(K$3*K$50)),IF(AND(Results!$C$5="Volume",K$52&gt;0,Results!$C$4="Fluid"),((K27)/(K$3*K$52)),IF(AND(Results!$C$4="Cells",Results!$C$5="Million"),((K27)/(K$3*K$50)),"-")))))</f>
        <v>0</v>
      </c>
      <c r="L78" s="18" t="str">
        <f>IF(L27=0,"0",IF(AND(Results!$C$5="Protein",L$51&gt;0,OR(Results!$C$4="Tissue",Results!$C$4="Cells")),((L27)/(L$3*L$51)),IF(AND(Results!$C$5="Weight",L$50&gt;0,Results!$C$4="Tissue"),((L27)/(L$3*L$50)),IF(AND(Results!$C$5="Volume",L$52&gt;0,Results!$C$4="Fluid"),((L27)/(L$3*L$52)),IF(AND(Results!$C$4="Cells",Results!$C$5="Million"),((L27)/(L$3*L$50)),"-")))))</f>
        <v>0</v>
      </c>
      <c r="M78" s="18" t="str">
        <f>IF(M27=0,"0",IF(AND(Results!$C$5="Protein",M$51&gt;0,OR(Results!$C$4="Tissue",Results!$C$4="Cells")),((M27)/(M$3*M$51)),IF(AND(Results!$C$5="Weight",M$50&gt;0,Results!$C$4="Tissue"),((M27)/(M$3*M$50)),IF(AND(Results!$C$5="Volume",M$52&gt;0,Results!$C$4="Fluid"),((M27)/(M$3*M$52)),IF(AND(Results!$C$4="Cells",Results!$C$5="Million"),((M27)/(M$3*M$50)),"-")))))</f>
        <v>0</v>
      </c>
      <c r="N78" s="18" t="str">
        <f>IF(N27=0,"0",IF(AND(Results!$C$5="Protein",N$51&gt;0,OR(Results!$C$4="Tissue",Results!$C$4="Cells")),((N27)/(N$3*N$51)),IF(AND(Results!$C$5="Weight",N$50&gt;0,Results!$C$4="Tissue"),((N27)/(N$3*N$50)),IF(AND(Results!$C$5="Volume",N$52&gt;0,Results!$C$4="Fluid"),((N27)/(N$3*N$52)),IF(AND(Results!$C$4="Cells",Results!$C$5="Million"),((N27)/(N$3*N$50)),"-")))))</f>
        <v>0</v>
      </c>
      <c r="O78" s="18" t="str">
        <f>IF(O27=0,"0",IF(AND(Results!$C$5="Protein",O$51&gt;0,OR(Results!$C$4="Tissue",Results!$C$4="Cells")),((O27)/(O$3*O$51)),IF(AND(Results!$C$5="Weight",O$50&gt;0,Results!$C$4="Tissue"),((O27)/(O$3*O$50)),IF(AND(Results!$C$5="Volume",O$52&gt;0,Results!$C$4="Fluid"),((O27)/(O$3*O$52)),IF(AND(Results!$C$4="Cells",Results!$C$5="Million"),((O27)/(O$3*O$50)),"-")))))</f>
        <v>0</v>
      </c>
      <c r="P78" s="18" t="str">
        <f>IF(P27=0,"0",IF(AND(Results!$C$5="Protein",P$51&gt;0,OR(Results!$C$4="Tissue",Results!$C$4="Cells")),((P27)/(P$3*P$51)),IF(AND(Results!$C$5="Weight",P$50&gt;0,Results!$C$4="Tissue"),((P27)/(P$3*P$50)),IF(AND(Results!$C$5="Volume",P$52&gt;0,Results!$C$4="Fluid"),((P27)/(P$3*P$52)),IF(AND(Results!$C$4="Cells",Results!$C$5="Million"),((P27)/(P$3*P$50)),"-")))))</f>
        <v>0</v>
      </c>
      <c r="Q78" s="18" t="str">
        <f>IF(Q27=0,"0",IF(AND(Results!$C$5="Protein",Q$51&gt;0,OR(Results!$C$4="Tissue",Results!$C$4="Cells")),((Q27)/(Q$3*Q$51)),IF(AND(Results!$C$5="Weight",Q$50&gt;0,Results!$C$4="Tissue"),((Q27)/(Q$3*Q$50)),IF(AND(Results!$C$5="Volume",Q$52&gt;0,Results!$C$4="Fluid"),((Q27)/(Q$3*Q$52)),IF(AND(Results!$C$4="Cells",Results!$C$5="Million"),((Q27)/(Q$3*Q$50)),"-")))))</f>
        <v>0</v>
      </c>
      <c r="R78" s="18" t="str">
        <f>IF(R27=0,"0",IF(AND(Results!$C$5="Protein",R$51&gt;0,OR(Results!$C$4="Tissue",Results!$C$4="Cells")),((R27)/(R$3*R$51)),IF(AND(Results!$C$5="Weight",R$50&gt;0,Results!$C$4="Tissue"),((R27)/(R$3*R$50)),IF(AND(Results!$C$5="Volume",R$52&gt;0,Results!$C$4="Fluid"),((R27)/(R$3*R$52)),IF(AND(Results!$C$4="Cells",Results!$C$5="Million"),((R27)/(R$3*R$50)),"-")))))</f>
        <v>0</v>
      </c>
      <c r="S78" s="18" t="str">
        <f>IF(S27=0,"0",IF(AND(Results!$C$5="Protein",S$51&gt;0,OR(Results!$C$4="Tissue",Results!$C$4="Cells")),((S27)/(S$3*S$51)),IF(AND(Results!$C$5="Weight",S$50&gt;0,Results!$C$4="Tissue"),((S27)/(S$3*S$50)),IF(AND(Results!$C$5="Volume",S$52&gt;0,Results!$C$4="Fluid"),((S27)/(S$3*S$52)),IF(AND(Results!$C$4="Cells",Results!$C$5="Million"),((S27)/(S$3*S$50)),"-")))))</f>
        <v>0</v>
      </c>
      <c r="T78" s="18" t="str">
        <f>IF(T27=0,"0",IF(AND(Results!$C$5="Protein",T$51&gt;0,OR(Results!$C$4="Tissue",Results!$C$4="Cells")),((T27)/(T$3*T$51)),IF(AND(Results!$C$5="Weight",T$50&gt;0,Results!$C$4="Tissue"),((T27)/(T$3*T$50)),IF(AND(Results!$C$5="Volume",T$52&gt;0,Results!$C$4="Fluid"),((T27)/(T$3*T$52)),IF(AND(Results!$C$4="Cells",Results!$C$5="Million"),((T27)/(T$3*T$50)),"-")))))</f>
        <v>0</v>
      </c>
      <c r="U78" s="18" t="str">
        <f>IF(U27=0,"0",IF(AND(Results!$C$5="Protein",U$51&gt;0,OR(Results!$C$4="Tissue",Results!$C$4="Cells")),((U27)/(U$3*U$51)),IF(AND(Results!$C$5="Weight",U$50&gt;0,Results!$C$4="Tissue"),((U27)/(U$3*U$50)),IF(AND(Results!$C$5="Volume",U$52&gt;0,Results!$C$4="Fluid"),((U27)/(U$3*U$52)),IF(AND(Results!$C$4="Cells",Results!$C$5="Million"),((U27)/(U$3*U$50)),"-")))))</f>
        <v>0</v>
      </c>
      <c r="V78" s="18" t="str">
        <f>IF(V27=0,"0",IF(AND(Results!$C$5="Protein",V$51&gt;0,OR(Results!$C$4="Tissue",Results!$C$4="Cells")),((V27)/(V$3*V$51)),IF(AND(Results!$C$5="Weight",V$50&gt;0,Results!$C$4="Tissue"),((V27)/(V$3*V$50)),IF(AND(Results!$C$5="Volume",V$52&gt;0,Results!$C$4="Fluid"),((V27)/(V$3*V$52)),IF(AND(Results!$C$4="Cells",Results!$C$5="Million"),((V27)/(V$3*V$50)),"-")))))</f>
        <v>0</v>
      </c>
    </row>
    <row r="79" spans="1:22" x14ac:dyDescent="0.25">
      <c r="A79" s="64" t="str">
        <f t="shared" si="0"/>
        <v>L_C22_1w9</v>
      </c>
      <c r="B79" s="64"/>
      <c r="C79" s="18" t="str">
        <f>IF(C28=0,"0",IF(AND(Results!$C$5="Protein",C$51&gt;0,OR(Results!$C$4="Tissue",Results!$C$4="Cells")),((C28)/(C$3*C$51)),IF(AND(Results!$C$5="Weight",C$50&gt;0,Results!$C$4="Tissue"),((C28)/(C$3*C$50)),IF(AND(Results!$C$5="Volume",C$52&gt;0,Results!$C$4="Fluid"),((C28)/(C$3*C$52)),IF(AND(Results!$C$4="Cells",Results!$C$5="Million"),((C28)/(C$3*C$50)),"-")))))</f>
        <v>0</v>
      </c>
      <c r="D79" s="18" t="str">
        <f>IF(D28=0,"0",IF(AND(Results!$C$5="Protein",D$51&gt;0,OR(Results!$C$4="Tissue",Results!$C$4="Cells")),((D28)/(D$3*D$51)),IF(AND(Results!$C$5="Weight",D$50&gt;0,Results!$C$4="Tissue"),((D28)/(D$3*D$50)),IF(AND(Results!$C$5="Volume",D$52&gt;0,Results!$C$4="Fluid"),((D28)/(D$3*D$52)),IF(AND(Results!$C$4="Cells",Results!$C$5="Million"),((D28)/(D$3*D$50)),"-")))))</f>
        <v>0</v>
      </c>
      <c r="E79" s="18" t="str">
        <f>IF(E28=0,"0",IF(AND(Results!$C$5="Protein",E$51&gt;0,OR(Results!$C$4="Tissue",Results!$C$4="Cells")),((E28)/(E$3*E$51)),IF(AND(Results!$C$5="Weight",E$50&gt;0,Results!$C$4="Tissue"),((E28)/(E$3*E$50)),IF(AND(Results!$C$5="Volume",E$52&gt;0,Results!$C$4="Fluid"),((E28)/(E$3*E$52)),IF(AND(Results!$C$4="Cells",Results!$C$5="Million"),((E28)/(E$3*E$50)),"-")))))</f>
        <v>0</v>
      </c>
      <c r="F79" s="18" t="str">
        <f>IF(F28=0,"0",IF(AND(Results!$C$5="Protein",F$51&gt;0,OR(Results!$C$4="Tissue",Results!$C$4="Cells")),((F28)/(F$3*F$51)),IF(AND(Results!$C$5="Weight",F$50&gt;0,Results!$C$4="Tissue"),((F28)/(F$3*F$50)),IF(AND(Results!$C$5="Volume",F$52&gt;0,Results!$C$4="Fluid"),((F28)/(F$3*F$52)),IF(AND(Results!$C$4="Cells",Results!$C$5="Million"),((F28)/(F$3*F$50)),"-")))))</f>
        <v>0</v>
      </c>
      <c r="G79" s="18" t="str">
        <f>IF(G28=0,"0",IF(AND(Results!$C$5="Protein",G$51&gt;0,OR(Results!$C$4="Tissue",Results!$C$4="Cells")),((G28)/(G$3*G$51)),IF(AND(Results!$C$5="Weight",G$50&gt;0,Results!$C$4="Tissue"),((G28)/(G$3*G$50)),IF(AND(Results!$C$5="Volume",G$52&gt;0,Results!$C$4="Fluid"),((G28)/(G$3*G$52)),IF(AND(Results!$C$4="Cells",Results!$C$5="Million"),((G28)/(G$3*G$50)),"-")))))</f>
        <v>0</v>
      </c>
      <c r="H79" s="18" t="str">
        <f>IF(H28=0,"0",IF(AND(Results!$C$5="Protein",H$51&gt;0,OR(Results!$C$4="Tissue",Results!$C$4="Cells")),((H28)/(H$3*H$51)),IF(AND(Results!$C$5="Weight",H$50&gt;0,Results!$C$4="Tissue"),((H28)/(H$3*H$50)),IF(AND(Results!$C$5="Volume",H$52&gt;0,Results!$C$4="Fluid"),((H28)/(H$3*H$52)),IF(AND(Results!$C$4="Cells",Results!$C$5="Million"),((H28)/(H$3*H$50)),"-")))))</f>
        <v>0</v>
      </c>
      <c r="I79" s="18" t="str">
        <f>IF(I28=0,"0",IF(AND(Results!$C$5="Protein",I$51&gt;0,OR(Results!$C$4="Tissue",Results!$C$4="Cells")),((I28)/(I$3*I$51)),IF(AND(Results!$C$5="Weight",I$50&gt;0,Results!$C$4="Tissue"),((I28)/(I$3*I$50)),IF(AND(Results!$C$5="Volume",I$52&gt;0,Results!$C$4="Fluid"),((I28)/(I$3*I$52)),IF(AND(Results!$C$4="Cells",Results!$C$5="Million"),((I28)/(I$3*I$50)),"-")))))</f>
        <v>0</v>
      </c>
      <c r="J79" s="18" t="str">
        <f>IF(J28=0,"0",IF(AND(Results!$C$5="Protein",J$51&gt;0,OR(Results!$C$4="Tissue",Results!$C$4="Cells")),((J28)/(J$3*J$51)),IF(AND(Results!$C$5="Weight",J$50&gt;0,Results!$C$4="Tissue"),((J28)/(J$3*J$50)),IF(AND(Results!$C$5="Volume",J$52&gt;0,Results!$C$4="Fluid"),((J28)/(J$3*J$52)),IF(AND(Results!$C$4="Cells",Results!$C$5="Million"),((J28)/(J$3*J$50)),"-")))))</f>
        <v>0</v>
      </c>
      <c r="K79" s="18" t="str">
        <f>IF(K28=0,"0",IF(AND(Results!$C$5="Protein",K$51&gt;0,OR(Results!$C$4="Tissue",Results!$C$4="Cells")),((K28)/(K$3*K$51)),IF(AND(Results!$C$5="Weight",K$50&gt;0,Results!$C$4="Tissue"),((K28)/(K$3*K$50)),IF(AND(Results!$C$5="Volume",K$52&gt;0,Results!$C$4="Fluid"),((K28)/(K$3*K$52)),IF(AND(Results!$C$4="Cells",Results!$C$5="Million"),((K28)/(K$3*K$50)),"-")))))</f>
        <v>0</v>
      </c>
      <c r="L79" s="18" t="str">
        <f>IF(L28=0,"0",IF(AND(Results!$C$5="Protein",L$51&gt;0,OR(Results!$C$4="Tissue",Results!$C$4="Cells")),((L28)/(L$3*L$51)),IF(AND(Results!$C$5="Weight",L$50&gt;0,Results!$C$4="Tissue"),((L28)/(L$3*L$50)),IF(AND(Results!$C$5="Volume",L$52&gt;0,Results!$C$4="Fluid"),((L28)/(L$3*L$52)),IF(AND(Results!$C$4="Cells",Results!$C$5="Million"),((L28)/(L$3*L$50)),"-")))))</f>
        <v>0</v>
      </c>
      <c r="M79" s="18" t="str">
        <f>IF(M28=0,"0",IF(AND(Results!$C$5="Protein",M$51&gt;0,OR(Results!$C$4="Tissue",Results!$C$4="Cells")),((M28)/(M$3*M$51)),IF(AND(Results!$C$5="Weight",M$50&gt;0,Results!$C$4="Tissue"),((M28)/(M$3*M$50)),IF(AND(Results!$C$5="Volume",M$52&gt;0,Results!$C$4="Fluid"),((M28)/(M$3*M$52)),IF(AND(Results!$C$4="Cells",Results!$C$5="Million"),((M28)/(M$3*M$50)),"-")))))</f>
        <v>0</v>
      </c>
      <c r="N79" s="18" t="str">
        <f>IF(N28=0,"0",IF(AND(Results!$C$5="Protein",N$51&gt;0,OR(Results!$C$4="Tissue",Results!$C$4="Cells")),((N28)/(N$3*N$51)),IF(AND(Results!$C$5="Weight",N$50&gt;0,Results!$C$4="Tissue"),((N28)/(N$3*N$50)),IF(AND(Results!$C$5="Volume",N$52&gt;0,Results!$C$4="Fluid"),((N28)/(N$3*N$52)),IF(AND(Results!$C$4="Cells",Results!$C$5="Million"),((N28)/(N$3*N$50)),"-")))))</f>
        <v>0</v>
      </c>
      <c r="O79" s="18" t="str">
        <f>IF(O28=0,"0",IF(AND(Results!$C$5="Protein",O$51&gt;0,OR(Results!$C$4="Tissue",Results!$C$4="Cells")),((O28)/(O$3*O$51)),IF(AND(Results!$C$5="Weight",O$50&gt;0,Results!$C$4="Tissue"),((O28)/(O$3*O$50)),IF(AND(Results!$C$5="Volume",O$52&gt;0,Results!$C$4="Fluid"),((O28)/(O$3*O$52)),IF(AND(Results!$C$4="Cells",Results!$C$5="Million"),((O28)/(O$3*O$50)),"-")))))</f>
        <v>0</v>
      </c>
      <c r="P79" s="18" t="str">
        <f>IF(P28=0,"0",IF(AND(Results!$C$5="Protein",P$51&gt;0,OR(Results!$C$4="Tissue",Results!$C$4="Cells")),((P28)/(P$3*P$51)),IF(AND(Results!$C$5="Weight",P$50&gt;0,Results!$C$4="Tissue"),((P28)/(P$3*P$50)),IF(AND(Results!$C$5="Volume",P$52&gt;0,Results!$C$4="Fluid"),((P28)/(P$3*P$52)),IF(AND(Results!$C$4="Cells",Results!$C$5="Million"),((P28)/(P$3*P$50)),"-")))))</f>
        <v>0</v>
      </c>
      <c r="Q79" s="18" t="str">
        <f>IF(Q28=0,"0",IF(AND(Results!$C$5="Protein",Q$51&gt;0,OR(Results!$C$4="Tissue",Results!$C$4="Cells")),((Q28)/(Q$3*Q$51)),IF(AND(Results!$C$5="Weight",Q$50&gt;0,Results!$C$4="Tissue"),((Q28)/(Q$3*Q$50)),IF(AND(Results!$C$5="Volume",Q$52&gt;0,Results!$C$4="Fluid"),((Q28)/(Q$3*Q$52)),IF(AND(Results!$C$4="Cells",Results!$C$5="Million"),((Q28)/(Q$3*Q$50)),"-")))))</f>
        <v>0</v>
      </c>
      <c r="R79" s="18" t="str">
        <f>IF(R28=0,"0",IF(AND(Results!$C$5="Protein",R$51&gt;0,OR(Results!$C$4="Tissue",Results!$C$4="Cells")),((R28)/(R$3*R$51)),IF(AND(Results!$C$5="Weight",R$50&gt;0,Results!$C$4="Tissue"),((R28)/(R$3*R$50)),IF(AND(Results!$C$5="Volume",R$52&gt;0,Results!$C$4="Fluid"),((R28)/(R$3*R$52)),IF(AND(Results!$C$4="Cells",Results!$C$5="Million"),((R28)/(R$3*R$50)),"-")))))</f>
        <v>0</v>
      </c>
      <c r="S79" s="18" t="str">
        <f>IF(S28=0,"0",IF(AND(Results!$C$5="Protein",S$51&gt;0,OR(Results!$C$4="Tissue",Results!$C$4="Cells")),((S28)/(S$3*S$51)),IF(AND(Results!$C$5="Weight",S$50&gt;0,Results!$C$4="Tissue"),((S28)/(S$3*S$50)),IF(AND(Results!$C$5="Volume",S$52&gt;0,Results!$C$4="Fluid"),((S28)/(S$3*S$52)),IF(AND(Results!$C$4="Cells",Results!$C$5="Million"),((S28)/(S$3*S$50)),"-")))))</f>
        <v>0</v>
      </c>
      <c r="T79" s="18" t="str">
        <f>IF(T28=0,"0",IF(AND(Results!$C$5="Protein",T$51&gt;0,OR(Results!$C$4="Tissue",Results!$C$4="Cells")),((T28)/(T$3*T$51)),IF(AND(Results!$C$5="Weight",T$50&gt;0,Results!$C$4="Tissue"),((T28)/(T$3*T$50)),IF(AND(Results!$C$5="Volume",T$52&gt;0,Results!$C$4="Fluid"),((T28)/(T$3*T$52)),IF(AND(Results!$C$4="Cells",Results!$C$5="Million"),((T28)/(T$3*T$50)),"-")))))</f>
        <v>0</v>
      </c>
      <c r="U79" s="18" t="str">
        <f>IF(U28=0,"0",IF(AND(Results!$C$5="Protein",U$51&gt;0,OR(Results!$C$4="Tissue",Results!$C$4="Cells")),((U28)/(U$3*U$51)),IF(AND(Results!$C$5="Weight",U$50&gt;0,Results!$C$4="Tissue"),((U28)/(U$3*U$50)),IF(AND(Results!$C$5="Volume",U$52&gt;0,Results!$C$4="Fluid"),((U28)/(U$3*U$52)),IF(AND(Results!$C$4="Cells",Results!$C$5="Million"),((U28)/(U$3*U$50)),"-")))))</f>
        <v>0</v>
      </c>
      <c r="V79" s="18" t="str">
        <f>IF(V28=0,"0",IF(AND(Results!$C$5="Protein",V$51&gt;0,OR(Results!$C$4="Tissue",Results!$C$4="Cells")),((V28)/(V$3*V$51)),IF(AND(Results!$C$5="Weight",V$50&gt;0,Results!$C$4="Tissue"),((V28)/(V$3*V$50)),IF(AND(Results!$C$5="Volume",V$52&gt;0,Results!$C$4="Fluid"),((V28)/(V$3*V$52)),IF(AND(Results!$C$4="Cells",Results!$C$5="Million"),((V28)/(V$3*V$50)),"-")))))</f>
        <v>0</v>
      </c>
    </row>
    <row r="80" spans="1:22" x14ac:dyDescent="0.25">
      <c r="A80" s="64" t="str">
        <f t="shared" si="0"/>
        <v>L_C24_1</v>
      </c>
      <c r="B80" s="64"/>
      <c r="C80" s="18" t="str">
        <f>IF(C29=0,"0",IF(AND(Results!$C$5="Protein",C$51&gt;0,OR(Results!$C$4="Tissue",Results!$C$4="Cells")),((C29)/(C$3*C$51)),IF(AND(Results!$C$5="Weight",C$50&gt;0,Results!$C$4="Tissue"),((C29)/(C$3*C$50)),IF(AND(Results!$C$5="Volume",C$52&gt;0,Results!$C$4="Fluid"),((C29)/(C$3*C$52)),IF(AND(Results!$C$4="Cells",Results!$C$5="Million"),((C29)/(C$3*C$50)),"-")))))</f>
        <v>0</v>
      </c>
      <c r="D80" s="18" t="str">
        <f>IF(D29=0,"0",IF(AND(Results!$C$5="Protein",D$51&gt;0,OR(Results!$C$4="Tissue",Results!$C$4="Cells")),((D29)/(D$3*D$51)),IF(AND(Results!$C$5="Weight",D$50&gt;0,Results!$C$4="Tissue"),((D29)/(D$3*D$50)),IF(AND(Results!$C$5="Volume",D$52&gt;0,Results!$C$4="Fluid"),((D29)/(D$3*D$52)),IF(AND(Results!$C$4="Cells",Results!$C$5="Million"),((D29)/(D$3*D$50)),"-")))))</f>
        <v>0</v>
      </c>
      <c r="E80" s="18" t="str">
        <f>IF(E29=0,"0",IF(AND(Results!$C$5="Protein",E$51&gt;0,OR(Results!$C$4="Tissue",Results!$C$4="Cells")),((E29)/(E$3*E$51)),IF(AND(Results!$C$5="Weight",E$50&gt;0,Results!$C$4="Tissue"),((E29)/(E$3*E$50)),IF(AND(Results!$C$5="Volume",E$52&gt;0,Results!$C$4="Fluid"),((E29)/(E$3*E$52)),IF(AND(Results!$C$4="Cells",Results!$C$5="Million"),((E29)/(E$3*E$50)),"-")))))</f>
        <v>0</v>
      </c>
      <c r="F80" s="18" t="str">
        <f>IF(F29=0,"0",IF(AND(Results!$C$5="Protein",F$51&gt;0,OR(Results!$C$4="Tissue",Results!$C$4="Cells")),((F29)/(F$3*F$51)),IF(AND(Results!$C$5="Weight",F$50&gt;0,Results!$C$4="Tissue"),((F29)/(F$3*F$50)),IF(AND(Results!$C$5="Volume",F$52&gt;0,Results!$C$4="Fluid"),((F29)/(F$3*F$52)),IF(AND(Results!$C$4="Cells",Results!$C$5="Million"),((F29)/(F$3*F$50)),"-")))))</f>
        <v>0</v>
      </c>
      <c r="G80" s="18" t="str">
        <f>IF(G29=0,"0",IF(AND(Results!$C$5="Protein",G$51&gt;0,OR(Results!$C$4="Tissue",Results!$C$4="Cells")),((G29)/(G$3*G$51)),IF(AND(Results!$C$5="Weight",G$50&gt;0,Results!$C$4="Tissue"),((G29)/(G$3*G$50)),IF(AND(Results!$C$5="Volume",G$52&gt;0,Results!$C$4="Fluid"),((G29)/(G$3*G$52)),IF(AND(Results!$C$4="Cells",Results!$C$5="Million"),((G29)/(G$3*G$50)),"-")))))</f>
        <v>0</v>
      </c>
      <c r="H80" s="18" t="str">
        <f>IF(H29=0,"0",IF(AND(Results!$C$5="Protein",H$51&gt;0,OR(Results!$C$4="Tissue",Results!$C$4="Cells")),((H29)/(H$3*H$51)),IF(AND(Results!$C$5="Weight",H$50&gt;0,Results!$C$4="Tissue"),((H29)/(H$3*H$50)),IF(AND(Results!$C$5="Volume",H$52&gt;0,Results!$C$4="Fluid"),((H29)/(H$3*H$52)),IF(AND(Results!$C$4="Cells",Results!$C$5="Million"),((H29)/(H$3*H$50)),"-")))))</f>
        <v>0</v>
      </c>
      <c r="I80" s="18" t="str">
        <f>IF(I29=0,"0",IF(AND(Results!$C$5="Protein",I$51&gt;0,OR(Results!$C$4="Tissue",Results!$C$4="Cells")),((I29)/(I$3*I$51)),IF(AND(Results!$C$5="Weight",I$50&gt;0,Results!$C$4="Tissue"),((I29)/(I$3*I$50)),IF(AND(Results!$C$5="Volume",I$52&gt;0,Results!$C$4="Fluid"),((I29)/(I$3*I$52)),IF(AND(Results!$C$4="Cells",Results!$C$5="Million"),((I29)/(I$3*I$50)),"-")))))</f>
        <v>0</v>
      </c>
      <c r="J80" s="18" t="str">
        <f>IF(J29=0,"0",IF(AND(Results!$C$5="Protein",J$51&gt;0,OR(Results!$C$4="Tissue",Results!$C$4="Cells")),((J29)/(J$3*J$51)),IF(AND(Results!$C$5="Weight",J$50&gt;0,Results!$C$4="Tissue"),((J29)/(J$3*J$50)),IF(AND(Results!$C$5="Volume",J$52&gt;0,Results!$C$4="Fluid"),((J29)/(J$3*J$52)),IF(AND(Results!$C$4="Cells",Results!$C$5="Million"),((J29)/(J$3*J$50)),"-")))))</f>
        <v>0</v>
      </c>
      <c r="K80" s="18" t="str">
        <f>IF(K29=0,"0",IF(AND(Results!$C$5="Protein",K$51&gt;0,OR(Results!$C$4="Tissue",Results!$C$4="Cells")),((K29)/(K$3*K$51)),IF(AND(Results!$C$5="Weight",K$50&gt;0,Results!$C$4="Tissue"),((K29)/(K$3*K$50)),IF(AND(Results!$C$5="Volume",K$52&gt;0,Results!$C$4="Fluid"),((K29)/(K$3*K$52)),IF(AND(Results!$C$4="Cells",Results!$C$5="Million"),((K29)/(K$3*K$50)),"-")))))</f>
        <v>0</v>
      </c>
      <c r="L80" s="18" t="str">
        <f>IF(L29=0,"0",IF(AND(Results!$C$5="Protein",L$51&gt;0,OR(Results!$C$4="Tissue",Results!$C$4="Cells")),((L29)/(L$3*L$51)),IF(AND(Results!$C$5="Weight",L$50&gt;0,Results!$C$4="Tissue"),((L29)/(L$3*L$50)),IF(AND(Results!$C$5="Volume",L$52&gt;0,Results!$C$4="Fluid"),((L29)/(L$3*L$52)),IF(AND(Results!$C$4="Cells",Results!$C$5="Million"),((L29)/(L$3*L$50)),"-")))))</f>
        <v>0</v>
      </c>
      <c r="M80" s="18" t="str">
        <f>IF(M29=0,"0",IF(AND(Results!$C$5="Protein",M$51&gt;0,OR(Results!$C$4="Tissue",Results!$C$4="Cells")),((M29)/(M$3*M$51)),IF(AND(Results!$C$5="Weight",M$50&gt;0,Results!$C$4="Tissue"),((M29)/(M$3*M$50)),IF(AND(Results!$C$5="Volume",M$52&gt;0,Results!$C$4="Fluid"),((M29)/(M$3*M$52)),IF(AND(Results!$C$4="Cells",Results!$C$5="Million"),((M29)/(M$3*M$50)),"-")))))</f>
        <v>0</v>
      </c>
      <c r="N80" s="18" t="str">
        <f>IF(N29=0,"0",IF(AND(Results!$C$5="Protein",N$51&gt;0,OR(Results!$C$4="Tissue",Results!$C$4="Cells")),((N29)/(N$3*N$51)),IF(AND(Results!$C$5="Weight",N$50&gt;0,Results!$C$4="Tissue"),((N29)/(N$3*N$50)),IF(AND(Results!$C$5="Volume",N$52&gt;0,Results!$C$4="Fluid"),((N29)/(N$3*N$52)),IF(AND(Results!$C$4="Cells",Results!$C$5="Million"),((N29)/(N$3*N$50)),"-")))))</f>
        <v>0</v>
      </c>
      <c r="O80" s="18" t="str">
        <f>IF(O29=0,"0",IF(AND(Results!$C$5="Protein",O$51&gt;0,OR(Results!$C$4="Tissue",Results!$C$4="Cells")),((O29)/(O$3*O$51)),IF(AND(Results!$C$5="Weight",O$50&gt;0,Results!$C$4="Tissue"),((O29)/(O$3*O$50)),IF(AND(Results!$C$5="Volume",O$52&gt;0,Results!$C$4="Fluid"),((O29)/(O$3*O$52)),IF(AND(Results!$C$4="Cells",Results!$C$5="Million"),((O29)/(O$3*O$50)),"-")))))</f>
        <v>0</v>
      </c>
      <c r="P80" s="18" t="str">
        <f>IF(P29=0,"0",IF(AND(Results!$C$5="Protein",P$51&gt;0,OR(Results!$C$4="Tissue",Results!$C$4="Cells")),((P29)/(P$3*P$51)),IF(AND(Results!$C$5="Weight",P$50&gt;0,Results!$C$4="Tissue"),((P29)/(P$3*P$50)),IF(AND(Results!$C$5="Volume",P$52&gt;0,Results!$C$4="Fluid"),((P29)/(P$3*P$52)),IF(AND(Results!$C$4="Cells",Results!$C$5="Million"),((P29)/(P$3*P$50)),"-")))))</f>
        <v>0</v>
      </c>
      <c r="Q80" s="18" t="str">
        <f>IF(Q29=0,"0",IF(AND(Results!$C$5="Protein",Q$51&gt;0,OR(Results!$C$4="Tissue",Results!$C$4="Cells")),((Q29)/(Q$3*Q$51)),IF(AND(Results!$C$5="Weight",Q$50&gt;0,Results!$C$4="Tissue"),((Q29)/(Q$3*Q$50)),IF(AND(Results!$C$5="Volume",Q$52&gt;0,Results!$C$4="Fluid"),((Q29)/(Q$3*Q$52)),IF(AND(Results!$C$4="Cells",Results!$C$5="Million"),((Q29)/(Q$3*Q$50)),"-")))))</f>
        <v>0</v>
      </c>
      <c r="R80" s="18" t="str">
        <f>IF(R29=0,"0",IF(AND(Results!$C$5="Protein",R$51&gt;0,OR(Results!$C$4="Tissue",Results!$C$4="Cells")),((R29)/(R$3*R$51)),IF(AND(Results!$C$5="Weight",R$50&gt;0,Results!$C$4="Tissue"),((R29)/(R$3*R$50)),IF(AND(Results!$C$5="Volume",R$52&gt;0,Results!$C$4="Fluid"),((R29)/(R$3*R$52)),IF(AND(Results!$C$4="Cells",Results!$C$5="Million"),((R29)/(R$3*R$50)),"-")))))</f>
        <v>0</v>
      </c>
      <c r="S80" s="18" t="str">
        <f>IF(S29=0,"0",IF(AND(Results!$C$5="Protein",S$51&gt;0,OR(Results!$C$4="Tissue",Results!$C$4="Cells")),((S29)/(S$3*S$51)),IF(AND(Results!$C$5="Weight",S$50&gt;0,Results!$C$4="Tissue"),((S29)/(S$3*S$50)),IF(AND(Results!$C$5="Volume",S$52&gt;0,Results!$C$4="Fluid"),((S29)/(S$3*S$52)),IF(AND(Results!$C$4="Cells",Results!$C$5="Million"),((S29)/(S$3*S$50)),"-")))))</f>
        <v>0</v>
      </c>
      <c r="T80" s="18" t="str">
        <f>IF(T29=0,"0",IF(AND(Results!$C$5="Protein",T$51&gt;0,OR(Results!$C$4="Tissue",Results!$C$4="Cells")),((T29)/(T$3*T$51)),IF(AND(Results!$C$5="Weight",T$50&gt;0,Results!$C$4="Tissue"),((T29)/(T$3*T$50)),IF(AND(Results!$C$5="Volume",T$52&gt;0,Results!$C$4="Fluid"),((T29)/(T$3*T$52)),IF(AND(Results!$C$4="Cells",Results!$C$5="Million"),((T29)/(T$3*T$50)),"-")))))</f>
        <v>0</v>
      </c>
      <c r="U80" s="18" t="str">
        <f>IF(U29=0,"0",IF(AND(Results!$C$5="Protein",U$51&gt;0,OR(Results!$C$4="Tissue",Results!$C$4="Cells")),((U29)/(U$3*U$51)),IF(AND(Results!$C$5="Weight",U$50&gt;0,Results!$C$4="Tissue"),((U29)/(U$3*U$50)),IF(AND(Results!$C$5="Volume",U$52&gt;0,Results!$C$4="Fluid"),((U29)/(U$3*U$52)),IF(AND(Results!$C$4="Cells",Results!$C$5="Million"),((U29)/(U$3*U$50)),"-")))))</f>
        <v>0</v>
      </c>
      <c r="V80" s="18" t="str">
        <f>IF(V29=0,"0",IF(AND(Results!$C$5="Protein",V$51&gt;0,OR(Results!$C$4="Tissue",Results!$C$4="Cells")),((V29)/(V$3*V$51)),IF(AND(Results!$C$5="Weight",V$50&gt;0,Results!$C$4="Tissue"),((V29)/(V$3*V$50)),IF(AND(Results!$C$5="Volume",V$52&gt;0,Results!$C$4="Fluid"),((V29)/(V$3*V$52)),IF(AND(Results!$C$4="Cells",Results!$C$5="Million"),((V29)/(V$3*V$50)),"-")))))</f>
        <v>0</v>
      </c>
    </row>
    <row r="81" spans="1:22" x14ac:dyDescent="0.25">
      <c r="A81" s="64" t="str">
        <f t="shared" si="0"/>
        <v>L_C16_2w6</v>
      </c>
      <c r="B81" s="64"/>
      <c r="C81" s="18" t="str">
        <f>IF(C30=0,"0",IF(AND(Results!$C$5="Protein",C$51&gt;0,OR(Results!$C$4="Tissue",Results!$C$4="Cells")),((C30)/(C$3*C$51)),IF(AND(Results!$C$5="Weight",C$50&gt;0,Results!$C$4="Tissue"),((C30)/(C$3*C$50)),IF(AND(Results!$C$5="Volume",C$52&gt;0,Results!$C$4="Fluid"),((C30)/(C$3*C$52)),IF(AND(Results!$C$4="Cells",Results!$C$5="Million"),((C30)/(C$3*C$50)),"-")))))</f>
        <v>0</v>
      </c>
      <c r="D81" s="18" t="str">
        <f>IF(D30=0,"0",IF(AND(Results!$C$5="Protein",D$51&gt;0,OR(Results!$C$4="Tissue",Results!$C$4="Cells")),((D30)/(D$3*D$51)),IF(AND(Results!$C$5="Weight",D$50&gt;0,Results!$C$4="Tissue"),((D30)/(D$3*D$50)),IF(AND(Results!$C$5="Volume",D$52&gt;0,Results!$C$4="Fluid"),((D30)/(D$3*D$52)),IF(AND(Results!$C$4="Cells",Results!$C$5="Million"),((D30)/(D$3*D$50)),"-")))))</f>
        <v>0</v>
      </c>
      <c r="E81" s="18" t="str">
        <f>IF(E30=0,"0",IF(AND(Results!$C$5="Protein",E$51&gt;0,OR(Results!$C$4="Tissue",Results!$C$4="Cells")),((E30)/(E$3*E$51)),IF(AND(Results!$C$5="Weight",E$50&gt;0,Results!$C$4="Tissue"),((E30)/(E$3*E$50)),IF(AND(Results!$C$5="Volume",E$52&gt;0,Results!$C$4="Fluid"),((E30)/(E$3*E$52)),IF(AND(Results!$C$4="Cells",Results!$C$5="Million"),((E30)/(E$3*E$50)),"-")))))</f>
        <v>0</v>
      </c>
      <c r="F81" s="18" t="str">
        <f>IF(F30=0,"0",IF(AND(Results!$C$5="Protein",F$51&gt;0,OR(Results!$C$4="Tissue",Results!$C$4="Cells")),((F30)/(F$3*F$51)),IF(AND(Results!$C$5="Weight",F$50&gt;0,Results!$C$4="Tissue"),((F30)/(F$3*F$50)),IF(AND(Results!$C$5="Volume",F$52&gt;0,Results!$C$4="Fluid"),((F30)/(F$3*F$52)),IF(AND(Results!$C$4="Cells",Results!$C$5="Million"),((F30)/(F$3*F$50)),"-")))))</f>
        <v>0</v>
      </c>
      <c r="G81" s="18" t="str">
        <f>IF(G30=0,"0",IF(AND(Results!$C$5="Protein",G$51&gt;0,OR(Results!$C$4="Tissue",Results!$C$4="Cells")),((G30)/(G$3*G$51)),IF(AND(Results!$C$5="Weight",G$50&gt;0,Results!$C$4="Tissue"),((G30)/(G$3*G$50)),IF(AND(Results!$C$5="Volume",G$52&gt;0,Results!$C$4="Fluid"),((G30)/(G$3*G$52)),IF(AND(Results!$C$4="Cells",Results!$C$5="Million"),((G30)/(G$3*G$50)),"-")))))</f>
        <v>0</v>
      </c>
      <c r="H81" s="18" t="str">
        <f>IF(H30=0,"0",IF(AND(Results!$C$5="Protein",H$51&gt;0,OR(Results!$C$4="Tissue",Results!$C$4="Cells")),((H30)/(H$3*H$51)),IF(AND(Results!$C$5="Weight",H$50&gt;0,Results!$C$4="Tissue"),((H30)/(H$3*H$50)),IF(AND(Results!$C$5="Volume",H$52&gt;0,Results!$C$4="Fluid"),((H30)/(H$3*H$52)),IF(AND(Results!$C$4="Cells",Results!$C$5="Million"),((H30)/(H$3*H$50)),"-")))))</f>
        <v>0</v>
      </c>
      <c r="I81" s="18" t="str">
        <f>IF(I30=0,"0",IF(AND(Results!$C$5="Protein",I$51&gt;0,OR(Results!$C$4="Tissue",Results!$C$4="Cells")),((I30)/(I$3*I$51)),IF(AND(Results!$C$5="Weight",I$50&gt;0,Results!$C$4="Tissue"),((I30)/(I$3*I$50)),IF(AND(Results!$C$5="Volume",I$52&gt;0,Results!$C$4="Fluid"),((I30)/(I$3*I$52)),IF(AND(Results!$C$4="Cells",Results!$C$5="Million"),((I30)/(I$3*I$50)),"-")))))</f>
        <v>0</v>
      </c>
      <c r="J81" s="18" t="str">
        <f>IF(J30=0,"0",IF(AND(Results!$C$5="Protein",J$51&gt;0,OR(Results!$C$4="Tissue",Results!$C$4="Cells")),((J30)/(J$3*J$51)),IF(AND(Results!$C$5="Weight",J$50&gt;0,Results!$C$4="Tissue"),((J30)/(J$3*J$50)),IF(AND(Results!$C$5="Volume",J$52&gt;0,Results!$C$4="Fluid"),((J30)/(J$3*J$52)),IF(AND(Results!$C$4="Cells",Results!$C$5="Million"),((J30)/(J$3*J$50)),"-")))))</f>
        <v>0</v>
      </c>
      <c r="K81" s="18" t="str">
        <f>IF(K30=0,"0",IF(AND(Results!$C$5="Protein",K$51&gt;0,OR(Results!$C$4="Tissue",Results!$C$4="Cells")),((K30)/(K$3*K$51)),IF(AND(Results!$C$5="Weight",K$50&gt;0,Results!$C$4="Tissue"),((K30)/(K$3*K$50)),IF(AND(Results!$C$5="Volume",K$52&gt;0,Results!$C$4="Fluid"),((K30)/(K$3*K$52)),IF(AND(Results!$C$4="Cells",Results!$C$5="Million"),((K30)/(K$3*K$50)),"-")))))</f>
        <v>0</v>
      </c>
      <c r="L81" s="18" t="str">
        <f>IF(L30=0,"0",IF(AND(Results!$C$5="Protein",L$51&gt;0,OR(Results!$C$4="Tissue",Results!$C$4="Cells")),((L30)/(L$3*L$51)),IF(AND(Results!$C$5="Weight",L$50&gt;0,Results!$C$4="Tissue"),((L30)/(L$3*L$50)),IF(AND(Results!$C$5="Volume",L$52&gt;0,Results!$C$4="Fluid"),((L30)/(L$3*L$52)),IF(AND(Results!$C$4="Cells",Results!$C$5="Million"),((L30)/(L$3*L$50)),"-")))))</f>
        <v>0</v>
      </c>
      <c r="M81" s="18" t="str">
        <f>IF(M30=0,"0",IF(AND(Results!$C$5="Protein",M$51&gt;0,OR(Results!$C$4="Tissue",Results!$C$4="Cells")),((M30)/(M$3*M$51)),IF(AND(Results!$C$5="Weight",M$50&gt;0,Results!$C$4="Tissue"),((M30)/(M$3*M$50)),IF(AND(Results!$C$5="Volume",M$52&gt;0,Results!$C$4="Fluid"),((M30)/(M$3*M$52)),IF(AND(Results!$C$4="Cells",Results!$C$5="Million"),((M30)/(M$3*M$50)),"-")))))</f>
        <v>0</v>
      </c>
      <c r="N81" s="18" t="str">
        <f>IF(N30=0,"0",IF(AND(Results!$C$5="Protein",N$51&gt;0,OR(Results!$C$4="Tissue",Results!$C$4="Cells")),((N30)/(N$3*N$51)),IF(AND(Results!$C$5="Weight",N$50&gt;0,Results!$C$4="Tissue"),((N30)/(N$3*N$50)),IF(AND(Results!$C$5="Volume",N$52&gt;0,Results!$C$4="Fluid"),((N30)/(N$3*N$52)),IF(AND(Results!$C$4="Cells",Results!$C$5="Million"),((N30)/(N$3*N$50)),"-")))))</f>
        <v>0</v>
      </c>
      <c r="O81" s="18" t="str">
        <f>IF(O30=0,"0",IF(AND(Results!$C$5="Protein",O$51&gt;0,OR(Results!$C$4="Tissue",Results!$C$4="Cells")),((O30)/(O$3*O$51)),IF(AND(Results!$C$5="Weight",O$50&gt;0,Results!$C$4="Tissue"),((O30)/(O$3*O$50)),IF(AND(Results!$C$5="Volume",O$52&gt;0,Results!$C$4="Fluid"),((O30)/(O$3*O$52)),IF(AND(Results!$C$4="Cells",Results!$C$5="Million"),((O30)/(O$3*O$50)),"-")))))</f>
        <v>0</v>
      </c>
      <c r="P81" s="18" t="str">
        <f>IF(P30=0,"0",IF(AND(Results!$C$5="Protein",P$51&gt;0,OR(Results!$C$4="Tissue",Results!$C$4="Cells")),((P30)/(P$3*P$51)),IF(AND(Results!$C$5="Weight",P$50&gt;0,Results!$C$4="Tissue"),((P30)/(P$3*P$50)),IF(AND(Results!$C$5="Volume",P$52&gt;0,Results!$C$4="Fluid"),((P30)/(P$3*P$52)),IF(AND(Results!$C$4="Cells",Results!$C$5="Million"),((P30)/(P$3*P$50)),"-")))))</f>
        <v>0</v>
      </c>
      <c r="Q81" s="18" t="str">
        <f>IF(Q30=0,"0",IF(AND(Results!$C$5="Protein",Q$51&gt;0,OR(Results!$C$4="Tissue",Results!$C$4="Cells")),((Q30)/(Q$3*Q$51)),IF(AND(Results!$C$5="Weight",Q$50&gt;0,Results!$C$4="Tissue"),((Q30)/(Q$3*Q$50)),IF(AND(Results!$C$5="Volume",Q$52&gt;0,Results!$C$4="Fluid"),((Q30)/(Q$3*Q$52)),IF(AND(Results!$C$4="Cells",Results!$C$5="Million"),((Q30)/(Q$3*Q$50)),"-")))))</f>
        <v>0</v>
      </c>
      <c r="R81" s="18" t="str">
        <f>IF(R30=0,"0",IF(AND(Results!$C$5="Protein",R$51&gt;0,OR(Results!$C$4="Tissue",Results!$C$4="Cells")),((R30)/(R$3*R$51)),IF(AND(Results!$C$5="Weight",R$50&gt;0,Results!$C$4="Tissue"),((R30)/(R$3*R$50)),IF(AND(Results!$C$5="Volume",R$52&gt;0,Results!$C$4="Fluid"),((R30)/(R$3*R$52)),IF(AND(Results!$C$4="Cells",Results!$C$5="Million"),((R30)/(R$3*R$50)),"-")))))</f>
        <v>0</v>
      </c>
      <c r="S81" s="18" t="str">
        <f>IF(S30=0,"0",IF(AND(Results!$C$5="Protein",S$51&gt;0,OR(Results!$C$4="Tissue",Results!$C$4="Cells")),((S30)/(S$3*S$51)),IF(AND(Results!$C$5="Weight",S$50&gt;0,Results!$C$4="Tissue"),((S30)/(S$3*S$50)),IF(AND(Results!$C$5="Volume",S$52&gt;0,Results!$C$4="Fluid"),((S30)/(S$3*S$52)),IF(AND(Results!$C$4="Cells",Results!$C$5="Million"),((S30)/(S$3*S$50)),"-")))))</f>
        <v>0</v>
      </c>
      <c r="T81" s="18" t="str">
        <f>IF(T30=0,"0",IF(AND(Results!$C$5="Protein",T$51&gt;0,OR(Results!$C$4="Tissue",Results!$C$4="Cells")),((T30)/(T$3*T$51)),IF(AND(Results!$C$5="Weight",T$50&gt;0,Results!$C$4="Tissue"),((T30)/(T$3*T$50)),IF(AND(Results!$C$5="Volume",T$52&gt;0,Results!$C$4="Fluid"),((T30)/(T$3*T$52)),IF(AND(Results!$C$4="Cells",Results!$C$5="Million"),((T30)/(T$3*T$50)),"-")))))</f>
        <v>0</v>
      </c>
      <c r="U81" s="18" t="str">
        <f>IF(U30=0,"0",IF(AND(Results!$C$5="Protein",U$51&gt;0,OR(Results!$C$4="Tissue",Results!$C$4="Cells")),((U30)/(U$3*U$51)),IF(AND(Results!$C$5="Weight",U$50&gt;0,Results!$C$4="Tissue"),((U30)/(U$3*U$50)),IF(AND(Results!$C$5="Volume",U$52&gt;0,Results!$C$4="Fluid"),((U30)/(U$3*U$52)),IF(AND(Results!$C$4="Cells",Results!$C$5="Million"),((U30)/(U$3*U$50)),"-")))))</f>
        <v>0</v>
      </c>
      <c r="V81" s="18" t="str">
        <f>IF(V30=0,"0",IF(AND(Results!$C$5="Protein",V$51&gt;0,OR(Results!$C$4="Tissue",Results!$C$4="Cells")),((V30)/(V$3*V$51)),IF(AND(Results!$C$5="Weight",V$50&gt;0,Results!$C$4="Tissue"),((V30)/(V$3*V$50)),IF(AND(Results!$C$5="Volume",V$52&gt;0,Results!$C$4="Fluid"),((V30)/(V$3*V$52)),IF(AND(Results!$C$4="Cells",Results!$C$5="Million"),((V30)/(V$3*V$50)),"-")))))</f>
        <v>0</v>
      </c>
    </row>
    <row r="82" spans="1:22" x14ac:dyDescent="0.25">
      <c r="A82" s="64" t="str">
        <f t="shared" si="0"/>
        <v>L_C16_2w4</v>
      </c>
      <c r="B82" s="64"/>
      <c r="C82" s="18" t="str">
        <f>IF(C31=0,"0",IF(AND(Results!$C$5="Protein",C$51&gt;0,OR(Results!$C$4="Tissue",Results!$C$4="Cells")),((C31)/(C$3*C$51)),IF(AND(Results!$C$5="Weight",C$50&gt;0,Results!$C$4="Tissue"),((C31)/(C$3*C$50)),IF(AND(Results!$C$5="Volume",C$52&gt;0,Results!$C$4="Fluid"),((C31)/(C$3*C$52)),IF(AND(Results!$C$4="Cells",Results!$C$5="Million"),((C31)/(C$3*C$50)),"-")))))</f>
        <v>0</v>
      </c>
      <c r="D82" s="18" t="str">
        <f>IF(D31=0,"0",IF(AND(Results!$C$5="Protein",D$51&gt;0,OR(Results!$C$4="Tissue",Results!$C$4="Cells")),((D31)/(D$3*D$51)),IF(AND(Results!$C$5="Weight",D$50&gt;0,Results!$C$4="Tissue"),((D31)/(D$3*D$50)),IF(AND(Results!$C$5="Volume",D$52&gt;0,Results!$C$4="Fluid"),((D31)/(D$3*D$52)),IF(AND(Results!$C$4="Cells",Results!$C$5="Million"),((D31)/(D$3*D$50)),"-")))))</f>
        <v>0</v>
      </c>
      <c r="E82" s="18" t="str">
        <f>IF(E31=0,"0",IF(AND(Results!$C$5="Protein",E$51&gt;0,OR(Results!$C$4="Tissue",Results!$C$4="Cells")),((E31)/(E$3*E$51)),IF(AND(Results!$C$5="Weight",E$50&gt;0,Results!$C$4="Tissue"),((E31)/(E$3*E$50)),IF(AND(Results!$C$5="Volume",E$52&gt;0,Results!$C$4="Fluid"),((E31)/(E$3*E$52)),IF(AND(Results!$C$4="Cells",Results!$C$5="Million"),((E31)/(E$3*E$50)),"-")))))</f>
        <v>0</v>
      </c>
      <c r="F82" s="18" t="str">
        <f>IF(F31=0,"0",IF(AND(Results!$C$5="Protein",F$51&gt;0,OR(Results!$C$4="Tissue",Results!$C$4="Cells")),((F31)/(F$3*F$51)),IF(AND(Results!$C$5="Weight",F$50&gt;0,Results!$C$4="Tissue"),((F31)/(F$3*F$50)),IF(AND(Results!$C$5="Volume",F$52&gt;0,Results!$C$4="Fluid"),((F31)/(F$3*F$52)),IF(AND(Results!$C$4="Cells",Results!$C$5="Million"),((F31)/(F$3*F$50)),"-")))))</f>
        <v>0</v>
      </c>
      <c r="G82" s="18" t="str">
        <f>IF(G31=0,"0",IF(AND(Results!$C$5="Protein",G$51&gt;0,OR(Results!$C$4="Tissue",Results!$C$4="Cells")),((G31)/(G$3*G$51)),IF(AND(Results!$C$5="Weight",G$50&gt;0,Results!$C$4="Tissue"),((G31)/(G$3*G$50)),IF(AND(Results!$C$5="Volume",G$52&gt;0,Results!$C$4="Fluid"),((G31)/(G$3*G$52)),IF(AND(Results!$C$4="Cells",Results!$C$5="Million"),((G31)/(G$3*G$50)),"-")))))</f>
        <v>0</v>
      </c>
      <c r="H82" s="18" t="str">
        <f>IF(H31=0,"0",IF(AND(Results!$C$5="Protein",H$51&gt;0,OR(Results!$C$4="Tissue",Results!$C$4="Cells")),((H31)/(H$3*H$51)),IF(AND(Results!$C$5="Weight",H$50&gt;0,Results!$C$4="Tissue"),((H31)/(H$3*H$50)),IF(AND(Results!$C$5="Volume",H$52&gt;0,Results!$C$4="Fluid"),((H31)/(H$3*H$52)),IF(AND(Results!$C$4="Cells",Results!$C$5="Million"),((H31)/(H$3*H$50)),"-")))))</f>
        <v>0</v>
      </c>
      <c r="I82" s="18" t="str">
        <f>IF(I31=0,"0",IF(AND(Results!$C$5="Protein",I$51&gt;0,OR(Results!$C$4="Tissue",Results!$C$4="Cells")),((I31)/(I$3*I$51)),IF(AND(Results!$C$5="Weight",I$50&gt;0,Results!$C$4="Tissue"),((I31)/(I$3*I$50)),IF(AND(Results!$C$5="Volume",I$52&gt;0,Results!$C$4="Fluid"),((I31)/(I$3*I$52)),IF(AND(Results!$C$4="Cells",Results!$C$5="Million"),((I31)/(I$3*I$50)),"-")))))</f>
        <v>0</v>
      </c>
      <c r="J82" s="18" t="str">
        <f>IF(J31=0,"0",IF(AND(Results!$C$5="Protein",J$51&gt;0,OR(Results!$C$4="Tissue",Results!$C$4="Cells")),((J31)/(J$3*J$51)),IF(AND(Results!$C$5="Weight",J$50&gt;0,Results!$C$4="Tissue"),((J31)/(J$3*J$50)),IF(AND(Results!$C$5="Volume",J$52&gt;0,Results!$C$4="Fluid"),((J31)/(J$3*J$52)),IF(AND(Results!$C$4="Cells",Results!$C$5="Million"),((J31)/(J$3*J$50)),"-")))))</f>
        <v>0</v>
      </c>
      <c r="K82" s="18" t="str">
        <f>IF(K31=0,"0",IF(AND(Results!$C$5="Protein",K$51&gt;0,OR(Results!$C$4="Tissue",Results!$C$4="Cells")),((K31)/(K$3*K$51)),IF(AND(Results!$C$5="Weight",K$50&gt;0,Results!$C$4="Tissue"),((K31)/(K$3*K$50)),IF(AND(Results!$C$5="Volume",K$52&gt;0,Results!$C$4="Fluid"),((K31)/(K$3*K$52)),IF(AND(Results!$C$4="Cells",Results!$C$5="Million"),((K31)/(K$3*K$50)),"-")))))</f>
        <v>0</v>
      </c>
      <c r="L82" s="18" t="str">
        <f>IF(L31=0,"0",IF(AND(Results!$C$5="Protein",L$51&gt;0,OR(Results!$C$4="Tissue",Results!$C$4="Cells")),((L31)/(L$3*L$51)),IF(AND(Results!$C$5="Weight",L$50&gt;0,Results!$C$4="Tissue"),((L31)/(L$3*L$50)),IF(AND(Results!$C$5="Volume",L$52&gt;0,Results!$C$4="Fluid"),((L31)/(L$3*L$52)),IF(AND(Results!$C$4="Cells",Results!$C$5="Million"),((L31)/(L$3*L$50)),"-")))))</f>
        <v>0</v>
      </c>
      <c r="M82" s="18" t="str">
        <f>IF(M31=0,"0",IF(AND(Results!$C$5="Protein",M$51&gt;0,OR(Results!$C$4="Tissue",Results!$C$4="Cells")),((M31)/(M$3*M$51)),IF(AND(Results!$C$5="Weight",M$50&gt;0,Results!$C$4="Tissue"),((M31)/(M$3*M$50)),IF(AND(Results!$C$5="Volume",M$52&gt;0,Results!$C$4="Fluid"),((M31)/(M$3*M$52)),IF(AND(Results!$C$4="Cells",Results!$C$5="Million"),((M31)/(M$3*M$50)),"-")))))</f>
        <v>0</v>
      </c>
      <c r="N82" s="18" t="str">
        <f>IF(N31=0,"0",IF(AND(Results!$C$5="Protein",N$51&gt;0,OR(Results!$C$4="Tissue",Results!$C$4="Cells")),((N31)/(N$3*N$51)),IF(AND(Results!$C$5="Weight",N$50&gt;0,Results!$C$4="Tissue"),((N31)/(N$3*N$50)),IF(AND(Results!$C$5="Volume",N$52&gt;0,Results!$C$4="Fluid"),((N31)/(N$3*N$52)),IF(AND(Results!$C$4="Cells",Results!$C$5="Million"),((N31)/(N$3*N$50)),"-")))))</f>
        <v>0</v>
      </c>
      <c r="O82" s="18" t="str">
        <f>IF(O31=0,"0",IF(AND(Results!$C$5="Protein",O$51&gt;0,OR(Results!$C$4="Tissue",Results!$C$4="Cells")),((O31)/(O$3*O$51)),IF(AND(Results!$C$5="Weight",O$50&gt;0,Results!$C$4="Tissue"),((O31)/(O$3*O$50)),IF(AND(Results!$C$5="Volume",O$52&gt;0,Results!$C$4="Fluid"),((O31)/(O$3*O$52)),IF(AND(Results!$C$4="Cells",Results!$C$5="Million"),((O31)/(O$3*O$50)),"-")))))</f>
        <v>0</v>
      </c>
      <c r="P82" s="18" t="str">
        <f>IF(P31=0,"0",IF(AND(Results!$C$5="Protein",P$51&gt;0,OR(Results!$C$4="Tissue",Results!$C$4="Cells")),((P31)/(P$3*P$51)),IF(AND(Results!$C$5="Weight",P$50&gt;0,Results!$C$4="Tissue"),((P31)/(P$3*P$50)),IF(AND(Results!$C$5="Volume",P$52&gt;0,Results!$C$4="Fluid"),((P31)/(P$3*P$52)),IF(AND(Results!$C$4="Cells",Results!$C$5="Million"),((P31)/(P$3*P$50)),"-")))))</f>
        <v>0</v>
      </c>
      <c r="Q82" s="18" t="str">
        <f>IF(Q31=0,"0",IF(AND(Results!$C$5="Protein",Q$51&gt;0,OR(Results!$C$4="Tissue",Results!$C$4="Cells")),((Q31)/(Q$3*Q$51)),IF(AND(Results!$C$5="Weight",Q$50&gt;0,Results!$C$4="Tissue"),((Q31)/(Q$3*Q$50)),IF(AND(Results!$C$5="Volume",Q$52&gt;0,Results!$C$4="Fluid"),((Q31)/(Q$3*Q$52)),IF(AND(Results!$C$4="Cells",Results!$C$5="Million"),((Q31)/(Q$3*Q$50)),"-")))))</f>
        <v>0</v>
      </c>
      <c r="R82" s="18" t="str">
        <f>IF(R31=0,"0",IF(AND(Results!$C$5="Protein",R$51&gt;0,OR(Results!$C$4="Tissue",Results!$C$4="Cells")),((R31)/(R$3*R$51)),IF(AND(Results!$C$5="Weight",R$50&gt;0,Results!$C$4="Tissue"),((R31)/(R$3*R$50)),IF(AND(Results!$C$5="Volume",R$52&gt;0,Results!$C$4="Fluid"),((R31)/(R$3*R$52)),IF(AND(Results!$C$4="Cells",Results!$C$5="Million"),((R31)/(R$3*R$50)),"-")))))</f>
        <v>0</v>
      </c>
      <c r="S82" s="18" t="str">
        <f>IF(S31=0,"0",IF(AND(Results!$C$5="Protein",S$51&gt;0,OR(Results!$C$4="Tissue",Results!$C$4="Cells")),((S31)/(S$3*S$51)),IF(AND(Results!$C$5="Weight",S$50&gt;0,Results!$C$4="Tissue"),((S31)/(S$3*S$50)),IF(AND(Results!$C$5="Volume",S$52&gt;0,Results!$C$4="Fluid"),((S31)/(S$3*S$52)),IF(AND(Results!$C$4="Cells",Results!$C$5="Million"),((S31)/(S$3*S$50)),"-")))))</f>
        <v>0</v>
      </c>
      <c r="T82" s="18" t="str">
        <f>IF(T31=0,"0",IF(AND(Results!$C$5="Protein",T$51&gt;0,OR(Results!$C$4="Tissue",Results!$C$4="Cells")),((T31)/(T$3*T$51)),IF(AND(Results!$C$5="Weight",T$50&gt;0,Results!$C$4="Tissue"),((T31)/(T$3*T$50)),IF(AND(Results!$C$5="Volume",T$52&gt;0,Results!$C$4="Fluid"),((T31)/(T$3*T$52)),IF(AND(Results!$C$4="Cells",Results!$C$5="Million"),((T31)/(T$3*T$50)),"-")))))</f>
        <v>0</v>
      </c>
      <c r="U82" s="18" t="str">
        <f>IF(U31=0,"0",IF(AND(Results!$C$5="Protein",U$51&gt;0,OR(Results!$C$4="Tissue",Results!$C$4="Cells")),((U31)/(U$3*U$51)),IF(AND(Results!$C$5="Weight",U$50&gt;0,Results!$C$4="Tissue"),((U31)/(U$3*U$50)),IF(AND(Results!$C$5="Volume",U$52&gt;0,Results!$C$4="Fluid"),((U31)/(U$3*U$52)),IF(AND(Results!$C$4="Cells",Results!$C$5="Million"),((U31)/(U$3*U$50)),"-")))))</f>
        <v>0</v>
      </c>
      <c r="V82" s="18" t="str">
        <f>IF(V31=0,"0",IF(AND(Results!$C$5="Protein",V$51&gt;0,OR(Results!$C$4="Tissue",Results!$C$4="Cells")),((V31)/(V$3*V$51)),IF(AND(Results!$C$5="Weight",V$50&gt;0,Results!$C$4="Tissue"),((V31)/(V$3*V$50)),IF(AND(Results!$C$5="Volume",V$52&gt;0,Results!$C$4="Fluid"),((V31)/(V$3*V$52)),IF(AND(Results!$C$4="Cells",Results!$C$5="Million"),((V31)/(V$3*V$50)),"-")))))</f>
        <v>0</v>
      </c>
    </row>
    <row r="83" spans="1:22" x14ac:dyDescent="0.25">
      <c r="A83" s="64" t="str">
        <f t="shared" si="0"/>
        <v>L_C16_3</v>
      </c>
      <c r="B83" s="64"/>
      <c r="C83" s="18" t="str">
        <f>IF(C32=0,"0",IF(AND(Results!$C$5="Protein",C$51&gt;0,OR(Results!$C$4="Tissue",Results!$C$4="Cells")),((C32)/(C$3*C$51)),IF(AND(Results!$C$5="Weight",C$50&gt;0,Results!$C$4="Tissue"),((C32)/(C$3*C$50)),IF(AND(Results!$C$5="Volume",C$52&gt;0,Results!$C$4="Fluid"),((C32)/(C$3*C$52)),IF(AND(Results!$C$4="Cells",Results!$C$5="Million"),((C32)/(C$3*C$50)),"-")))))</f>
        <v>0</v>
      </c>
      <c r="D83" s="18" t="str">
        <f>IF(D32=0,"0",IF(AND(Results!$C$5="Protein",D$51&gt;0,OR(Results!$C$4="Tissue",Results!$C$4="Cells")),((D32)/(D$3*D$51)),IF(AND(Results!$C$5="Weight",D$50&gt;0,Results!$C$4="Tissue"),((D32)/(D$3*D$50)),IF(AND(Results!$C$5="Volume",D$52&gt;0,Results!$C$4="Fluid"),((D32)/(D$3*D$52)),IF(AND(Results!$C$4="Cells",Results!$C$5="Million"),((D32)/(D$3*D$50)),"-")))))</f>
        <v>0</v>
      </c>
      <c r="E83" s="18" t="str">
        <f>IF(E32=0,"0",IF(AND(Results!$C$5="Protein",E$51&gt;0,OR(Results!$C$4="Tissue",Results!$C$4="Cells")),((E32)/(E$3*E$51)),IF(AND(Results!$C$5="Weight",E$50&gt;0,Results!$C$4="Tissue"),((E32)/(E$3*E$50)),IF(AND(Results!$C$5="Volume",E$52&gt;0,Results!$C$4="Fluid"),((E32)/(E$3*E$52)),IF(AND(Results!$C$4="Cells",Results!$C$5="Million"),((E32)/(E$3*E$50)),"-")))))</f>
        <v>0</v>
      </c>
      <c r="F83" s="18" t="str">
        <f>IF(F32=0,"0",IF(AND(Results!$C$5="Protein",F$51&gt;0,OR(Results!$C$4="Tissue",Results!$C$4="Cells")),((F32)/(F$3*F$51)),IF(AND(Results!$C$5="Weight",F$50&gt;0,Results!$C$4="Tissue"),((F32)/(F$3*F$50)),IF(AND(Results!$C$5="Volume",F$52&gt;0,Results!$C$4="Fluid"),((F32)/(F$3*F$52)),IF(AND(Results!$C$4="Cells",Results!$C$5="Million"),((F32)/(F$3*F$50)),"-")))))</f>
        <v>0</v>
      </c>
      <c r="G83" s="18" t="str">
        <f>IF(G32=0,"0",IF(AND(Results!$C$5="Protein",G$51&gt;0,OR(Results!$C$4="Tissue",Results!$C$4="Cells")),((G32)/(G$3*G$51)),IF(AND(Results!$C$5="Weight",G$50&gt;0,Results!$C$4="Tissue"),((G32)/(G$3*G$50)),IF(AND(Results!$C$5="Volume",G$52&gt;0,Results!$C$4="Fluid"),((G32)/(G$3*G$52)),IF(AND(Results!$C$4="Cells",Results!$C$5="Million"),((G32)/(G$3*G$50)),"-")))))</f>
        <v>0</v>
      </c>
      <c r="H83" s="18" t="str">
        <f>IF(H32=0,"0",IF(AND(Results!$C$5="Protein",H$51&gt;0,OR(Results!$C$4="Tissue",Results!$C$4="Cells")),((H32)/(H$3*H$51)),IF(AND(Results!$C$5="Weight",H$50&gt;0,Results!$C$4="Tissue"),((H32)/(H$3*H$50)),IF(AND(Results!$C$5="Volume",H$52&gt;0,Results!$C$4="Fluid"),((H32)/(H$3*H$52)),IF(AND(Results!$C$4="Cells",Results!$C$5="Million"),((H32)/(H$3*H$50)),"-")))))</f>
        <v>0</v>
      </c>
      <c r="I83" s="18" t="str">
        <f>IF(I32=0,"0",IF(AND(Results!$C$5="Protein",I$51&gt;0,OR(Results!$C$4="Tissue",Results!$C$4="Cells")),((I32)/(I$3*I$51)),IF(AND(Results!$C$5="Weight",I$50&gt;0,Results!$C$4="Tissue"),((I32)/(I$3*I$50)),IF(AND(Results!$C$5="Volume",I$52&gt;0,Results!$C$4="Fluid"),((I32)/(I$3*I$52)),IF(AND(Results!$C$4="Cells",Results!$C$5="Million"),((I32)/(I$3*I$50)),"-")))))</f>
        <v>0</v>
      </c>
      <c r="J83" s="18" t="str">
        <f>IF(J32=0,"0",IF(AND(Results!$C$5="Protein",J$51&gt;0,OR(Results!$C$4="Tissue",Results!$C$4="Cells")),((J32)/(J$3*J$51)),IF(AND(Results!$C$5="Weight",J$50&gt;0,Results!$C$4="Tissue"),((J32)/(J$3*J$50)),IF(AND(Results!$C$5="Volume",J$52&gt;0,Results!$C$4="Fluid"),((J32)/(J$3*J$52)),IF(AND(Results!$C$4="Cells",Results!$C$5="Million"),((J32)/(J$3*J$50)),"-")))))</f>
        <v>0</v>
      </c>
      <c r="K83" s="18" t="str">
        <f>IF(K32=0,"0",IF(AND(Results!$C$5="Protein",K$51&gt;0,OR(Results!$C$4="Tissue",Results!$C$4="Cells")),((K32)/(K$3*K$51)),IF(AND(Results!$C$5="Weight",K$50&gt;0,Results!$C$4="Tissue"),((K32)/(K$3*K$50)),IF(AND(Results!$C$5="Volume",K$52&gt;0,Results!$C$4="Fluid"),((K32)/(K$3*K$52)),IF(AND(Results!$C$4="Cells",Results!$C$5="Million"),((K32)/(K$3*K$50)),"-")))))</f>
        <v>0</v>
      </c>
      <c r="L83" s="18" t="str">
        <f>IF(L32=0,"0",IF(AND(Results!$C$5="Protein",L$51&gt;0,OR(Results!$C$4="Tissue",Results!$C$4="Cells")),((L32)/(L$3*L$51)),IF(AND(Results!$C$5="Weight",L$50&gt;0,Results!$C$4="Tissue"),((L32)/(L$3*L$50)),IF(AND(Results!$C$5="Volume",L$52&gt;0,Results!$C$4="Fluid"),((L32)/(L$3*L$52)),IF(AND(Results!$C$4="Cells",Results!$C$5="Million"),((L32)/(L$3*L$50)),"-")))))</f>
        <v>0</v>
      </c>
      <c r="M83" s="18" t="str">
        <f>IF(M32=0,"0",IF(AND(Results!$C$5="Protein",M$51&gt;0,OR(Results!$C$4="Tissue",Results!$C$4="Cells")),((M32)/(M$3*M$51)),IF(AND(Results!$C$5="Weight",M$50&gt;0,Results!$C$4="Tissue"),((M32)/(M$3*M$50)),IF(AND(Results!$C$5="Volume",M$52&gt;0,Results!$C$4="Fluid"),((M32)/(M$3*M$52)),IF(AND(Results!$C$4="Cells",Results!$C$5="Million"),((M32)/(M$3*M$50)),"-")))))</f>
        <v>0</v>
      </c>
      <c r="N83" s="18" t="str">
        <f>IF(N32=0,"0",IF(AND(Results!$C$5="Protein",N$51&gt;0,OR(Results!$C$4="Tissue",Results!$C$4="Cells")),((N32)/(N$3*N$51)),IF(AND(Results!$C$5="Weight",N$50&gt;0,Results!$C$4="Tissue"),((N32)/(N$3*N$50)),IF(AND(Results!$C$5="Volume",N$52&gt;0,Results!$C$4="Fluid"),((N32)/(N$3*N$52)),IF(AND(Results!$C$4="Cells",Results!$C$5="Million"),((N32)/(N$3*N$50)),"-")))))</f>
        <v>0</v>
      </c>
      <c r="O83" s="18" t="str">
        <f>IF(O32=0,"0",IF(AND(Results!$C$5="Protein",O$51&gt;0,OR(Results!$C$4="Tissue",Results!$C$4="Cells")),((O32)/(O$3*O$51)),IF(AND(Results!$C$5="Weight",O$50&gt;0,Results!$C$4="Tissue"),((O32)/(O$3*O$50)),IF(AND(Results!$C$5="Volume",O$52&gt;0,Results!$C$4="Fluid"),((O32)/(O$3*O$52)),IF(AND(Results!$C$4="Cells",Results!$C$5="Million"),((O32)/(O$3*O$50)),"-")))))</f>
        <v>0</v>
      </c>
      <c r="P83" s="18" t="str">
        <f>IF(P32=0,"0",IF(AND(Results!$C$5="Protein",P$51&gt;0,OR(Results!$C$4="Tissue",Results!$C$4="Cells")),((P32)/(P$3*P$51)),IF(AND(Results!$C$5="Weight",P$50&gt;0,Results!$C$4="Tissue"),((P32)/(P$3*P$50)),IF(AND(Results!$C$5="Volume",P$52&gt;0,Results!$C$4="Fluid"),((P32)/(P$3*P$52)),IF(AND(Results!$C$4="Cells",Results!$C$5="Million"),((P32)/(P$3*P$50)),"-")))))</f>
        <v>0</v>
      </c>
      <c r="Q83" s="18" t="str">
        <f>IF(Q32=0,"0",IF(AND(Results!$C$5="Protein",Q$51&gt;0,OR(Results!$C$4="Tissue",Results!$C$4="Cells")),((Q32)/(Q$3*Q$51)),IF(AND(Results!$C$5="Weight",Q$50&gt;0,Results!$C$4="Tissue"),((Q32)/(Q$3*Q$50)),IF(AND(Results!$C$5="Volume",Q$52&gt;0,Results!$C$4="Fluid"),((Q32)/(Q$3*Q$52)),IF(AND(Results!$C$4="Cells",Results!$C$5="Million"),((Q32)/(Q$3*Q$50)),"-")))))</f>
        <v>0</v>
      </c>
      <c r="R83" s="18" t="str">
        <f>IF(R32=0,"0",IF(AND(Results!$C$5="Protein",R$51&gt;0,OR(Results!$C$4="Tissue",Results!$C$4="Cells")),((R32)/(R$3*R$51)),IF(AND(Results!$C$5="Weight",R$50&gt;0,Results!$C$4="Tissue"),((R32)/(R$3*R$50)),IF(AND(Results!$C$5="Volume",R$52&gt;0,Results!$C$4="Fluid"),((R32)/(R$3*R$52)),IF(AND(Results!$C$4="Cells",Results!$C$5="Million"),((R32)/(R$3*R$50)),"-")))))</f>
        <v>0</v>
      </c>
      <c r="S83" s="18" t="str">
        <f>IF(S32=0,"0",IF(AND(Results!$C$5="Protein",S$51&gt;0,OR(Results!$C$4="Tissue",Results!$C$4="Cells")),((S32)/(S$3*S$51)),IF(AND(Results!$C$5="Weight",S$50&gt;0,Results!$C$4="Tissue"),((S32)/(S$3*S$50)),IF(AND(Results!$C$5="Volume",S$52&gt;0,Results!$C$4="Fluid"),((S32)/(S$3*S$52)),IF(AND(Results!$C$4="Cells",Results!$C$5="Million"),((S32)/(S$3*S$50)),"-")))))</f>
        <v>0</v>
      </c>
      <c r="T83" s="18" t="str">
        <f>IF(T32=0,"0",IF(AND(Results!$C$5="Protein",T$51&gt;0,OR(Results!$C$4="Tissue",Results!$C$4="Cells")),((T32)/(T$3*T$51)),IF(AND(Results!$C$5="Weight",T$50&gt;0,Results!$C$4="Tissue"),((T32)/(T$3*T$50)),IF(AND(Results!$C$5="Volume",T$52&gt;0,Results!$C$4="Fluid"),((T32)/(T$3*T$52)),IF(AND(Results!$C$4="Cells",Results!$C$5="Million"),((T32)/(T$3*T$50)),"-")))))</f>
        <v>0</v>
      </c>
      <c r="U83" s="18" t="str">
        <f>IF(U32=0,"0",IF(AND(Results!$C$5="Protein",U$51&gt;0,OR(Results!$C$4="Tissue",Results!$C$4="Cells")),((U32)/(U$3*U$51)),IF(AND(Results!$C$5="Weight",U$50&gt;0,Results!$C$4="Tissue"),((U32)/(U$3*U$50)),IF(AND(Results!$C$5="Volume",U$52&gt;0,Results!$C$4="Fluid"),((U32)/(U$3*U$52)),IF(AND(Results!$C$4="Cells",Results!$C$5="Million"),((U32)/(U$3*U$50)),"-")))))</f>
        <v>0</v>
      </c>
      <c r="V83" s="18" t="str">
        <f>IF(V32=0,"0",IF(AND(Results!$C$5="Protein",V$51&gt;0,OR(Results!$C$4="Tissue",Results!$C$4="Cells")),((V32)/(V$3*V$51)),IF(AND(Results!$C$5="Weight",V$50&gt;0,Results!$C$4="Tissue"),((V32)/(V$3*V$50)),IF(AND(Results!$C$5="Volume",V$52&gt;0,Results!$C$4="Fluid"),((V32)/(V$3*V$52)),IF(AND(Results!$C$4="Cells",Results!$C$5="Million"),((V32)/(V$3*V$50)),"-")))))</f>
        <v>0</v>
      </c>
    </row>
    <row r="84" spans="1:22" x14ac:dyDescent="0.25">
      <c r="A84" s="64" t="str">
        <f t="shared" si="0"/>
        <v>L_C16_4w3</v>
      </c>
      <c r="B84" s="64"/>
      <c r="C84" s="18" t="str">
        <f>IF(C33=0,"0",IF(AND(Results!$C$5="Protein",C$51&gt;0,OR(Results!$C$4="Tissue",Results!$C$4="Cells")),((C33)/(C$3*C$51)),IF(AND(Results!$C$5="Weight",C$50&gt;0,Results!$C$4="Tissue"),((C33)/(C$3*C$50)),IF(AND(Results!$C$5="Volume",C$52&gt;0,Results!$C$4="Fluid"),((C33)/(C$3*C$52)),IF(AND(Results!$C$4="Cells",Results!$C$5="Million"),((C33)/(C$3*C$50)),"-")))))</f>
        <v>0</v>
      </c>
      <c r="D84" s="18" t="str">
        <f>IF(D33=0,"0",IF(AND(Results!$C$5="Protein",D$51&gt;0,OR(Results!$C$4="Tissue",Results!$C$4="Cells")),((D33)/(D$3*D$51)),IF(AND(Results!$C$5="Weight",D$50&gt;0,Results!$C$4="Tissue"),((D33)/(D$3*D$50)),IF(AND(Results!$C$5="Volume",D$52&gt;0,Results!$C$4="Fluid"),((D33)/(D$3*D$52)),IF(AND(Results!$C$4="Cells",Results!$C$5="Million"),((D33)/(D$3*D$50)),"-")))))</f>
        <v>0</v>
      </c>
      <c r="E84" s="18" t="str">
        <f>IF(E33=0,"0",IF(AND(Results!$C$5="Protein",E$51&gt;0,OR(Results!$C$4="Tissue",Results!$C$4="Cells")),((E33)/(E$3*E$51)),IF(AND(Results!$C$5="Weight",E$50&gt;0,Results!$C$4="Tissue"),((E33)/(E$3*E$50)),IF(AND(Results!$C$5="Volume",E$52&gt;0,Results!$C$4="Fluid"),((E33)/(E$3*E$52)),IF(AND(Results!$C$4="Cells",Results!$C$5="Million"),((E33)/(E$3*E$50)),"-")))))</f>
        <v>0</v>
      </c>
      <c r="F84" s="18" t="str">
        <f>IF(F33=0,"0",IF(AND(Results!$C$5="Protein",F$51&gt;0,OR(Results!$C$4="Tissue",Results!$C$4="Cells")),((F33)/(F$3*F$51)),IF(AND(Results!$C$5="Weight",F$50&gt;0,Results!$C$4="Tissue"),((F33)/(F$3*F$50)),IF(AND(Results!$C$5="Volume",F$52&gt;0,Results!$C$4="Fluid"),((F33)/(F$3*F$52)),IF(AND(Results!$C$4="Cells",Results!$C$5="Million"),((F33)/(F$3*F$50)),"-")))))</f>
        <v>0</v>
      </c>
      <c r="G84" s="18" t="str">
        <f>IF(G33=0,"0",IF(AND(Results!$C$5="Protein",G$51&gt;0,OR(Results!$C$4="Tissue",Results!$C$4="Cells")),((G33)/(G$3*G$51)),IF(AND(Results!$C$5="Weight",G$50&gt;0,Results!$C$4="Tissue"),((G33)/(G$3*G$50)),IF(AND(Results!$C$5="Volume",G$52&gt;0,Results!$C$4="Fluid"),((G33)/(G$3*G$52)),IF(AND(Results!$C$4="Cells",Results!$C$5="Million"),((G33)/(G$3*G$50)),"-")))))</f>
        <v>0</v>
      </c>
      <c r="H84" s="18" t="str">
        <f>IF(H33=0,"0",IF(AND(Results!$C$5="Protein",H$51&gt;0,OR(Results!$C$4="Tissue",Results!$C$4="Cells")),((H33)/(H$3*H$51)),IF(AND(Results!$C$5="Weight",H$50&gt;0,Results!$C$4="Tissue"),((H33)/(H$3*H$50)),IF(AND(Results!$C$5="Volume",H$52&gt;0,Results!$C$4="Fluid"),((H33)/(H$3*H$52)),IF(AND(Results!$C$4="Cells",Results!$C$5="Million"),((H33)/(H$3*H$50)),"-")))))</f>
        <v>0</v>
      </c>
      <c r="I84" s="18" t="str">
        <f>IF(I33=0,"0",IF(AND(Results!$C$5="Protein",I$51&gt;0,OR(Results!$C$4="Tissue",Results!$C$4="Cells")),((I33)/(I$3*I$51)),IF(AND(Results!$C$5="Weight",I$50&gt;0,Results!$C$4="Tissue"),((I33)/(I$3*I$50)),IF(AND(Results!$C$5="Volume",I$52&gt;0,Results!$C$4="Fluid"),((I33)/(I$3*I$52)),IF(AND(Results!$C$4="Cells",Results!$C$5="Million"),((I33)/(I$3*I$50)),"-")))))</f>
        <v>0</v>
      </c>
      <c r="J84" s="18" t="str">
        <f>IF(J33=0,"0",IF(AND(Results!$C$5="Protein",J$51&gt;0,OR(Results!$C$4="Tissue",Results!$C$4="Cells")),((J33)/(J$3*J$51)),IF(AND(Results!$C$5="Weight",J$50&gt;0,Results!$C$4="Tissue"),((J33)/(J$3*J$50)),IF(AND(Results!$C$5="Volume",J$52&gt;0,Results!$C$4="Fluid"),((J33)/(J$3*J$52)),IF(AND(Results!$C$4="Cells",Results!$C$5="Million"),((J33)/(J$3*J$50)),"-")))))</f>
        <v>0</v>
      </c>
      <c r="K84" s="18" t="str">
        <f>IF(K33=0,"0",IF(AND(Results!$C$5="Protein",K$51&gt;0,OR(Results!$C$4="Tissue",Results!$C$4="Cells")),((K33)/(K$3*K$51)),IF(AND(Results!$C$5="Weight",K$50&gt;0,Results!$C$4="Tissue"),((K33)/(K$3*K$50)),IF(AND(Results!$C$5="Volume",K$52&gt;0,Results!$C$4="Fluid"),((K33)/(K$3*K$52)),IF(AND(Results!$C$4="Cells",Results!$C$5="Million"),((K33)/(K$3*K$50)),"-")))))</f>
        <v>0</v>
      </c>
      <c r="L84" s="18" t="str">
        <f>IF(L33=0,"0",IF(AND(Results!$C$5="Protein",L$51&gt;0,OR(Results!$C$4="Tissue",Results!$C$4="Cells")),((L33)/(L$3*L$51)),IF(AND(Results!$C$5="Weight",L$50&gt;0,Results!$C$4="Tissue"),((L33)/(L$3*L$50)),IF(AND(Results!$C$5="Volume",L$52&gt;0,Results!$C$4="Fluid"),((L33)/(L$3*L$52)),IF(AND(Results!$C$4="Cells",Results!$C$5="Million"),((L33)/(L$3*L$50)),"-")))))</f>
        <v>0</v>
      </c>
      <c r="M84" s="18" t="str">
        <f>IF(M33=0,"0",IF(AND(Results!$C$5="Protein",M$51&gt;0,OR(Results!$C$4="Tissue",Results!$C$4="Cells")),((M33)/(M$3*M$51)),IF(AND(Results!$C$5="Weight",M$50&gt;0,Results!$C$4="Tissue"),((M33)/(M$3*M$50)),IF(AND(Results!$C$5="Volume",M$52&gt;0,Results!$C$4="Fluid"),((M33)/(M$3*M$52)),IF(AND(Results!$C$4="Cells",Results!$C$5="Million"),((M33)/(M$3*M$50)),"-")))))</f>
        <v>0</v>
      </c>
      <c r="N84" s="18" t="str">
        <f>IF(N33=0,"0",IF(AND(Results!$C$5="Protein",N$51&gt;0,OR(Results!$C$4="Tissue",Results!$C$4="Cells")),((N33)/(N$3*N$51)),IF(AND(Results!$C$5="Weight",N$50&gt;0,Results!$C$4="Tissue"),((N33)/(N$3*N$50)),IF(AND(Results!$C$5="Volume",N$52&gt;0,Results!$C$4="Fluid"),((N33)/(N$3*N$52)),IF(AND(Results!$C$4="Cells",Results!$C$5="Million"),((N33)/(N$3*N$50)),"-")))))</f>
        <v>0</v>
      </c>
      <c r="O84" s="18" t="str">
        <f>IF(O33=0,"0",IF(AND(Results!$C$5="Protein",O$51&gt;0,OR(Results!$C$4="Tissue",Results!$C$4="Cells")),((O33)/(O$3*O$51)),IF(AND(Results!$C$5="Weight",O$50&gt;0,Results!$C$4="Tissue"),((O33)/(O$3*O$50)),IF(AND(Results!$C$5="Volume",O$52&gt;0,Results!$C$4="Fluid"),((O33)/(O$3*O$52)),IF(AND(Results!$C$4="Cells",Results!$C$5="Million"),((O33)/(O$3*O$50)),"-")))))</f>
        <v>0</v>
      </c>
      <c r="P84" s="18" t="str">
        <f>IF(P33=0,"0",IF(AND(Results!$C$5="Protein",P$51&gt;0,OR(Results!$C$4="Tissue",Results!$C$4="Cells")),((P33)/(P$3*P$51)),IF(AND(Results!$C$5="Weight",P$50&gt;0,Results!$C$4="Tissue"),((P33)/(P$3*P$50)),IF(AND(Results!$C$5="Volume",P$52&gt;0,Results!$C$4="Fluid"),((P33)/(P$3*P$52)),IF(AND(Results!$C$4="Cells",Results!$C$5="Million"),((P33)/(P$3*P$50)),"-")))))</f>
        <v>0</v>
      </c>
      <c r="Q84" s="18" t="str">
        <f>IF(Q33=0,"0",IF(AND(Results!$C$5="Protein",Q$51&gt;0,OR(Results!$C$4="Tissue",Results!$C$4="Cells")),((Q33)/(Q$3*Q$51)),IF(AND(Results!$C$5="Weight",Q$50&gt;0,Results!$C$4="Tissue"),((Q33)/(Q$3*Q$50)),IF(AND(Results!$C$5="Volume",Q$52&gt;0,Results!$C$4="Fluid"),((Q33)/(Q$3*Q$52)),IF(AND(Results!$C$4="Cells",Results!$C$5="Million"),((Q33)/(Q$3*Q$50)),"-")))))</f>
        <v>0</v>
      </c>
      <c r="R84" s="18" t="str">
        <f>IF(R33=0,"0",IF(AND(Results!$C$5="Protein",R$51&gt;0,OR(Results!$C$4="Tissue",Results!$C$4="Cells")),((R33)/(R$3*R$51)),IF(AND(Results!$C$5="Weight",R$50&gt;0,Results!$C$4="Tissue"),((R33)/(R$3*R$50)),IF(AND(Results!$C$5="Volume",R$52&gt;0,Results!$C$4="Fluid"),((R33)/(R$3*R$52)),IF(AND(Results!$C$4="Cells",Results!$C$5="Million"),((R33)/(R$3*R$50)),"-")))))</f>
        <v>0</v>
      </c>
      <c r="S84" s="18" t="str">
        <f>IF(S33=0,"0",IF(AND(Results!$C$5="Protein",S$51&gt;0,OR(Results!$C$4="Tissue",Results!$C$4="Cells")),((S33)/(S$3*S$51)),IF(AND(Results!$C$5="Weight",S$50&gt;0,Results!$C$4="Tissue"),((S33)/(S$3*S$50)),IF(AND(Results!$C$5="Volume",S$52&gt;0,Results!$C$4="Fluid"),((S33)/(S$3*S$52)),IF(AND(Results!$C$4="Cells",Results!$C$5="Million"),((S33)/(S$3*S$50)),"-")))))</f>
        <v>0</v>
      </c>
      <c r="T84" s="18" t="str">
        <f>IF(T33=0,"0",IF(AND(Results!$C$5="Protein",T$51&gt;0,OR(Results!$C$4="Tissue",Results!$C$4="Cells")),((T33)/(T$3*T$51)),IF(AND(Results!$C$5="Weight",T$50&gt;0,Results!$C$4="Tissue"),((T33)/(T$3*T$50)),IF(AND(Results!$C$5="Volume",T$52&gt;0,Results!$C$4="Fluid"),((T33)/(T$3*T$52)),IF(AND(Results!$C$4="Cells",Results!$C$5="Million"),((T33)/(T$3*T$50)),"-")))))</f>
        <v>0</v>
      </c>
      <c r="U84" s="18" t="str">
        <f>IF(U33=0,"0",IF(AND(Results!$C$5="Protein",U$51&gt;0,OR(Results!$C$4="Tissue",Results!$C$4="Cells")),((U33)/(U$3*U$51)),IF(AND(Results!$C$5="Weight",U$50&gt;0,Results!$C$4="Tissue"),((U33)/(U$3*U$50)),IF(AND(Results!$C$5="Volume",U$52&gt;0,Results!$C$4="Fluid"),((U33)/(U$3*U$52)),IF(AND(Results!$C$4="Cells",Results!$C$5="Million"),((U33)/(U$3*U$50)),"-")))))</f>
        <v>0</v>
      </c>
      <c r="V84" s="18" t="str">
        <f>IF(V33=0,"0",IF(AND(Results!$C$5="Protein",V$51&gt;0,OR(Results!$C$4="Tissue",Results!$C$4="Cells")),((V33)/(V$3*V$51)),IF(AND(Results!$C$5="Weight",V$50&gt;0,Results!$C$4="Tissue"),((V33)/(V$3*V$50)),IF(AND(Results!$C$5="Volume",V$52&gt;0,Results!$C$4="Fluid"),((V33)/(V$3*V$52)),IF(AND(Results!$C$4="Cells",Results!$C$5="Million"),((V33)/(V$3*V$50)),"-")))))</f>
        <v>0</v>
      </c>
    </row>
    <row r="85" spans="1:22" x14ac:dyDescent="0.25">
      <c r="A85" s="64" t="str">
        <f t="shared" si="0"/>
        <v>L_C18_2w6c</v>
      </c>
      <c r="B85" s="64"/>
      <c r="C85" s="18">
        <f>IF(C34=0,"0",IF(AND(Results!$C$5="Protein",C$51&gt;0,OR(Results!$C$4="Tissue",Results!$C$4="Cells")),((C34)/(C$3*C$51)),IF(AND(Results!$C$5="Weight",C$50&gt;0,Results!$C$4="Tissue"),((C34)/(C$3*C$50)),IF(AND(Results!$C$5="Volume",C$52&gt;0,Results!$C$4="Fluid"),((C34)/(C$3*C$52)),IF(AND(Results!$C$4="Cells",Results!$C$5="Million"),((C34)/(C$3*C$50)),"-")))))</f>
        <v>1.1555306356890851</v>
      </c>
      <c r="D85" s="18">
        <f>IF(D34=0,"0",IF(AND(Results!$C$5="Protein",D$51&gt;0,OR(Results!$C$4="Tissue",Results!$C$4="Cells")),((D34)/(D$3*D$51)),IF(AND(Results!$C$5="Weight",D$50&gt;0,Results!$C$4="Tissue"),((D34)/(D$3*D$50)),IF(AND(Results!$C$5="Volume",D$52&gt;0,Results!$C$4="Fluid"),((D34)/(D$3*D$52)),IF(AND(Results!$C$4="Cells",Results!$C$5="Million"),((D34)/(D$3*D$50)),"-")))))</f>
        <v>1.1711562020025867</v>
      </c>
      <c r="E85" s="18">
        <f>IF(E34=0,"0",IF(AND(Results!$C$5="Protein",E$51&gt;0,OR(Results!$C$4="Tissue",Results!$C$4="Cells")),((E34)/(E$3*E$51)),IF(AND(Results!$C$5="Weight",E$50&gt;0,Results!$C$4="Tissue"),((E34)/(E$3*E$50)),IF(AND(Results!$C$5="Volume",E$52&gt;0,Results!$C$4="Fluid"),((E34)/(E$3*E$52)),IF(AND(Results!$C$4="Cells",Results!$C$5="Million"),((E34)/(E$3*E$50)),"-")))))</f>
        <v>1.1840310336545437</v>
      </c>
      <c r="F85" s="18">
        <f>IF(F34=0,"0",IF(AND(Results!$C$5="Protein",F$51&gt;0,OR(Results!$C$4="Tissue",Results!$C$4="Cells")),((F34)/(F$3*F$51)),IF(AND(Results!$C$5="Weight",F$50&gt;0,Results!$C$4="Tissue"),((F34)/(F$3*F$50)),IF(AND(Results!$C$5="Volume",F$52&gt;0,Results!$C$4="Fluid"),((F34)/(F$3*F$52)),IF(AND(Results!$C$4="Cells",Results!$C$5="Million"),((F34)/(F$3*F$50)),"-")))))</f>
        <v>1.0501976472782071</v>
      </c>
      <c r="G85" s="18">
        <f>IF(G34=0,"0",IF(AND(Results!$C$5="Protein",G$51&gt;0,OR(Results!$C$4="Tissue",Results!$C$4="Cells")),((G34)/(G$3*G$51)),IF(AND(Results!$C$5="Weight",G$50&gt;0,Results!$C$4="Tissue"),((G34)/(G$3*G$50)),IF(AND(Results!$C$5="Volume",G$52&gt;0,Results!$C$4="Fluid"),((G34)/(G$3*G$52)),IF(AND(Results!$C$4="Cells",Results!$C$5="Million"),((G34)/(G$3*G$50)),"-")))))</f>
        <v>1.0317720964723467</v>
      </c>
      <c r="H85" s="18">
        <f>IF(H34=0,"0",IF(AND(Results!$C$5="Protein",H$51&gt;0,OR(Results!$C$4="Tissue",Results!$C$4="Cells")),((H34)/(H$3*H$51)),IF(AND(Results!$C$5="Weight",H$50&gt;0,Results!$C$4="Tissue"),((H34)/(H$3*H$50)),IF(AND(Results!$C$5="Volume",H$52&gt;0,Results!$C$4="Fluid"),((H34)/(H$3*H$52)),IF(AND(Results!$C$4="Cells",Results!$C$5="Million"),((H34)/(H$3*H$50)),"-")))))</f>
        <v>1.5069489081583984</v>
      </c>
      <c r="I85" s="18">
        <f>IF(I34=0,"0",IF(AND(Results!$C$5="Protein",I$51&gt;0,OR(Results!$C$4="Tissue",Results!$C$4="Cells")),((I34)/(I$3*I$51)),IF(AND(Results!$C$5="Weight",I$50&gt;0,Results!$C$4="Tissue"),((I34)/(I$3*I$50)),IF(AND(Results!$C$5="Volume",I$52&gt;0,Results!$C$4="Fluid"),((I34)/(I$3*I$52)),IF(AND(Results!$C$4="Cells",Results!$C$5="Million"),((I34)/(I$3*I$50)),"-")))))</f>
        <v>0.94551125791304991</v>
      </c>
      <c r="J85" s="18">
        <f>IF(J34=0,"0",IF(AND(Results!$C$5="Protein",J$51&gt;0,OR(Results!$C$4="Tissue",Results!$C$4="Cells")),((J34)/(J$3*J$51)),IF(AND(Results!$C$5="Weight",J$50&gt;0,Results!$C$4="Tissue"),((J34)/(J$3*J$50)),IF(AND(Results!$C$5="Volume",J$52&gt;0,Results!$C$4="Fluid"),((J34)/(J$3*J$52)),IF(AND(Results!$C$4="Cells",Results!$C$5="Million"),((J34)/(J$3*J$50)),"-")))))</f>
        <v>0.79221571885254138</v>
      </c>
      <c r="K85" s="18">
        <f>IF(K34=0,"0",IF(AND(Results!$C$5="Protein",K$51&gt;0,OR(Results!$C$4="Tissue",Results!$C$4="Cells")),((K34)/(K$3*K$51)),IF(AND(Results!$C$5="Weight",K$50&gt;0,Results!$C$4="Tissue"),((K34)/(K$3*K$50)),IF(AND(Results!$C$5="Volume",K$52&gt;0,Results!$C$4="Fluid"),((K34)/(K$3*K$52)),IF(AND(Results!$C$4="Cells",Results!$C$5="Million"),((K34)/(K$3*K$50)),"-")))))</f>
        <v>1.0336189636783408</v>
      </c>
      <c r="L85" s="18">
        <f>IF(L34=0,"0",IF(AND(Results!$C$5="Protein",L$51&gt;0,OR(Results!$C$4="Tissue",Results!$C$4="Cells")),((L34)/(L$3*L$51)),IF(AND(Results!$C$5="Weight",L$50&gt;0,Results!$C$4="Tissue"),((L34)/(L$3*L$50)),IF(AND(Results!$C$5="Volume",L$52&gt;0,Results!$C$4="Fluid"),((L34)/(L$3*L$52)),IF(AND(Results!$C$4="Cells",Results!$C$5="Million"),((L34)/(L$3*L$50)),"-")))))</f>
        <v>1.103174079261029</v>
      </c>
      <c r="M85" s="18">
        <f>IF(M34=0,"0",IF(AND(Results!$C$5="Protein",M$51&gt;0,OR(Results!$C$4="Tissue",Results!$C$4="Cells")),((M34)/(M$3*M$51)),IF(AND(Results!$C$5="Weight",M$50&gt;0,Results!$C$4="Tissue"),((M34)/(M$3*M$50)),IF(AND(Results!$C$5="Volume",M$52&gt;0,Results!$C$4="Fluid"),((M34)/(M$3*M$52)),IF(AND(Results!$C$4="Cells",Results!$C$5="Million"),((M34)/(M$3*M$50)),"-")))))</f>
        <v>1.1874333774346753</v>
      </c>
      <c r="N85" s="18">
        <f>IF(N34=0,"0",IF(AND(Results!$C$5="Protein",N$51&gt;0,OR(Results!$C$4="Tissue",Results!$C$4="Cells")),((N34)/(N$3*N$51)),IF(AND(Results!$C$5="Weight",N$50&gt;0,Results!$C$4="Tissue"),((N34)/(N$3*N$50)),IF(AND(Results!$C$5="Volume",N$52&gt;0,Results!$C$4="Fluid"),((N34)/(N$3*N$52)),IF(AND(Results!$C$4="Cells",Results!$C$5="Million"),((N34)/(N$3*N$50)),"-")))))</f>
        <v>0.94316456011635885</v>
      </c>
      <c r="O85" s="18">
        <f>IF(O34=0,"0",IF(AND(Results!$C$5="Protein",O$51&gt;0,OR(Results!$C$4="Tissue",Results!$C$4="Cells")),((O34)/(O$3*O$51)),IF(AND(Results!$C$5="Weight",O$50&gt;0,Results!$C$4="Tissue"),((O34)/(O$3*O$50)),IF(AND(Results!$C$5="Volume",O$52&gt;0,Results!$C$4="Fluid"),((O34)/(O$3*O$52)),IF(AND(Results!$C$4="Cells",Results!$C$5="Million"),((O34)/(O$3*O$50)),"-")))))</f>
        <v>1.173075223027082</v>
      </c>
      <c r="P85" s="18">
        <f>IF(P34=0,"0",IF(AND(Results!$C$5="Protein",P$51&gt;0,OR(Results!$C$4="Tissue",Results!$C$4="Cells")),((P34)/(P$3*P$51)),IF(AND(Results!$C$5="Weight",P$50&gt;0,Results!$C$4="Tissue"),((P34)/(P$3*P$50)),IF(AND(Results!$C$5="Volume",P$52&gt;0,Results!$C$4="Fluid"),((P34)/(P$3*P$52)),IF(AND(Results!$C$4="Cells",Results!$C$5="Million"),((P34)/(P$3*P$50)),"-")))))</f>
        <v>2.0361363266957109</v>
      </c>
      <c r="Q85" s="18">
        <f>IF(Q34=0,"0",IF(AND(Results!$C$5="Protein",Q$51&gt;0,OR(Results!$C$4="Tissue",Results!$C$4="Cells")),((Q34)/(Q$3*Q$51)),IF(AND(Results!$C$5="Weight",Q$50&gt;0,Results!$C$4="Tissue"),((Q34)/(Q$3*Q$50)),IF(AND(Results!$C$5="Volume",Q$52&gt;0,Results!$C$4="Fluid"),((Q34)/(Q$3*Q$52)),IF(AND(Results!$C$4="Cells",Results!$C$5="Million"),((Q34)/(Q$3*Q$50)),"-")))))</f>
        <v>1.4186858463731036</v>
      </c>
      <c r="R85" s="18">
        <f>IF(R34=0,"0",IF(AND(Results!$C$5="Protein",R$51&gt;0,OR(Results!$C$4="Tissue",Results!$C$4="Cells")),((R34)/(R$3*R$51)),IF(AND(Results!$C$5="Weight",R$50&gt;0,Results!$C$4="Tissue"),((R34)/(R$3*R$50)),IF(AND(Results!$C$5="Volume",R$52&gt;0,Results!$C$4="Fluid"),((R34)/(R$3*R$52)),IF(AND(Results!$C$4="Cells",Results!$C$5="Million"),((R34)/(R$3*R$50)),"-")))))</f>
        <v>0.86062137105744363</v>
      </c>
      <c r="S85" s="18">
        <f>IF(S34=0,"0",IF(AND(Results!$C$5="Protein",S$51&gt;0,OR(Results!$C$4="Tissue",Results!$C$4="Cells")),((S34)/(S$3*S$51)),IF(AND(Results!$C$5="Weight",S$50&gt;0,Results!$C$4="Tissue"),((S34)/(S$3*S$50)),IF(AND(Results!$C$5="Volume",S$52&gt;0,Results!$C$4="Fluid"),((S34)/(S$3*S$52)),IF(AND(Results!$C$4="Cells",Results!$C$5="Million"),((S34)/(S$3*S$50)),"-")))))</f>
        <v>1.1140780554066863</v>
      </c>
      <c r="T85" s="18">
        <f>IF(T34=0,"0",IF(AND(Results!$C$5="Protein",T$51&gt;0,OR(Results!$C$4="Tissue",Results!$C$4="Cells")),((T34)/(T$3*T$51)),IF(AND(Results!$C$5="Weight",T$50&gt;0,Results!$C$4="Tissue"),((T34)/(T$3*T$50)),IF(AND(Results!$C$5="Volume",T$52&gt;0,Results!$C$4="Fluid"),((T34)/(T$3*T$52)),IF(AND(Results!$C$4="Cells",Results!$C$5="Million"),((T34)/(T$3*T$50)),"-")))))</f>
        <v>1.2243540045599242</v>
      </c>
      <c r="U85" s="18">
        <f>IF(U34=0,"0",IF(AND(Results!$C$5="Protein",U$51&gt;0,OR(Results!$C$4="Tissue",Results!$C$4="Cells")),((U34)/(U$3*U$51)),IF(AND(Results!$C$5="Weight",U$50&gt;0,Results!$C$4="Tissue"),((U34)/(U$3*U$50)),IF(AND(Results!$C$5="Volume",U$52&gt;0,Results!$C$4="Fluid"),((U34)/(U$3*U$52)),IF(AND(Results!$C$4="Cells",Results!$C$5="Million"),((U34)/(U$3*U$50)),"-")))))</f>
        <v>2.0020526195842354</v>
      </c>
      <c r="V85" s="18">
        <f>IF(V34=0,"0",IF(AND(Results!$C$5="Protein",V$51&gt;0,OR(Results!$C$4="Tissue",Results!$C$4="Cells")),((V34)/(V$3*V$51)),IF(AND(Results!$C$5="Weight",V$50&gt;0,Results!$C$4="Tissue"),((V34)/(V$3*V$50)),IF(AND(Results!$C$5="Volume",V$52&gt;0,Results!$C$4="Fluid"),((V34)/(V$3*V$52)),IF(AND(Results!$C$4="Cells",Results!$C$5="Million"),((V34)/(V$3*V$50)),"-")))))</f>
        <v>1.1790383508274953</v>
      </c>
    </row>
    <row r="86" spans="1:22" x14ac:dyDescent="0.25">
      <c r="A86" s="64" t="str">
        <f t="shared" si="0"/>
        <v>L_C18_2w6t</v>
      </c>
      <c r="B86" s="64"/>
      <c r="C86" s="18" t="str">
        <f>IF(C35=0,"0",IF(AND(Results!$C$5="Protein",C$51&gt;0,OR(Results!$C$4="Tissue",Results!$C$4="Cells")),((C35)/(C$3*C$51)),IF(AND(Results!$C$5="Weight",C$50&gt;0,Results!$C$4="Tissue"),((C35)/(C$3*C$50)),IF(AND(Results!$C$5="Volume",C$52&gt;0,Results!$C$4="Fluid"),((C35)/(C$3*C$52)),IF(AND(Results!$C$4="Cells",Results!$C$5="Million"),((C35)/(C$3*C$50)),"-")))))</f>
        <v>0</v>
      </c>
      <c r="D86" s="18" t="str">
        <f>IF(D35=0,"0",IF(AND(Results!$C$5="Protein",D$51&gt;0,OR(Results!$C$4="Tissue",Results!$C$4="Cells")),((D35)/(D$3*D$51)),IF(AND(Results!$C$5="Weight",D$50&gt;0,Results!$C$4="Tissue"),((D35)/(D$3*D$50)),IF(AND(Results!$C$5="Volume",D$52&gt;0,Results!$C$4="Fluid"),((D35)/(D$3*D$52)),IF(AND(Results!$C$4="Cells",Results!$C$5="Million"),((D35)/(D$3*D$50)),"-")))))</f>
        <v>0</v>
      </c>
      <c r="E86" s="18" t="str">
        <f>IF(E35=0,"0",IF(AND(Results!$C$5="Protein",E$51&gt;0,OR(Results!$C$4="Tissue",Results!$C$4="Cells")),((E35)/(E$3*E$51)),IF(AND(Results!$C$5="Weight",E$50&gt;0,Results!$C$4="Tissue"),((E35)/(E$3*E$50)),IF(AND(Results!$C$5="Volume",E$52&gt;0,Results!$C$4="Fluid"),((E35)/(E$3*E$52)),IF(AND(Results!$C$4="Cells",Results!$C$5="Million"),((E35)/(E$3*E$50)),"-")))))</f>
        <v>0</v>
      </c>
      <c r="F86" s="18" t="str">
        <f>IF(F35=0,"0",IF(AND(Results!$C$5="Protein",F$51&gt;0,OR(Results!$C$4="Tissue",Results!$C$4="Cells")),((F35)/(F$3*F$51)),IF(AND(Results!$C$5="Weight",F$50&gt;0,Results!$C$4="Tissue"),((F35)/(F$3*F$50)),IF(AND(Results!$C$5="Volume",F$52&gt;0,Results!$C$4="Fluid"),((F35)/(F$3*F$52)),IF(AND(Results!$C$4="Cells",Results!$C$5="Million"),((F35)/(F$3*F$50)),"-")))))</f>
        <v>0</v>
      </c>
      <c r="G86" s="18" t="str">
        <f>IF(G35=0,"0",IF(AND(Results!$C$5="Protein",G$51&gt;0,OR(Results!$C$4="Tissue",Results!$C$4="Cells")),((G35)/(G$3*G$51)),IF(AND(Results!$C$5="Weight",G$50&gt;0,Results!$C$4="Tissue"),((G35)/(G$3*G$50)),IF(AND(Results!$C$5="Volume",G$52&gt;0,Results!$C$4="Fluid"),((G35)/(G$3*G$52)),IF(AND(Results!$C$4="Cells",Results!$C$5="Million"),((G35)/(G$3*G$50)),"-")))))</f>
        <v>0</v>
      </c>
      <c r="H86" s="18" t="str">
        <f>IF(H35=0,"0",IF(AND(Results!$C$5="Protein",H$51&gt;0,OR(Results!$C$4="Tissue",Results!$C$4="Cells")),((H35)/(H$3*H$51)),IF(AND(Results!$C$5="Weight",H$50&gt;0,Results!$C$4="Tissue"),((H35)/(H$3*H$50)),IF(AND(Results!$C$5="Volume",H$52&gt;0,Results!$C$4="Fluid"),((H35)/(H$3*H$52)),IF(AND(Results!$C$4="Cells",Results!$C$5="Million"),((H35)/(H$3*H$50)),"-")))))</f>
        <v>0</v>
      </c>
      <c r="I86" s="18" t="str">
        <f>IF(I35=0,"0",IF(AND(Results!$C$5="Protein",I$51&gt;0,OR(Results!$C$4="Tissue",Results!$C$4="Cells")),((I35)/(I$3*I$51)),IF(AND(Results!$C$5="Weight",I$50&gt;0,Results!$C$4="Tissue"),((I35)/(I$3*I$50)),IF(AND(Results!$C$5="Volume",I$52&gt;0,Results!$C$4="Fluid"),((I35)/(I$3*I$52)),IF(AND(Results!$C$4="Cells",Results!$C$5="Million"),((I35)/(I$3*I$50)),"-")))))</f>
        <v>0</v>
      </c>
      <c r="J86" s="18" t="str">
        <f>IF(J35=0,"0",IF(AND(Results!$C$5="Protein",J$51&gt;0,OR(Results!$C$4="Tissue",Results!$C$4="Cells")),((J35)/(J$3*J$51)),IF(AND(Results!$C$5="Weight",J$50&gt;0,Results!$C$4="Tissue"),((J35)/(J$3*J$50)),IF(AND(Results!$C$5="Volume",J$52&gt;0,Results!$C$4="Fluid"),((J35)/(J$3*J$52)),IF(AND(Results!$C$4="Cells",Results!$C$5="Million"),((J35)/(J$3*J$50)),"-")))))</f>
        <v>0</v>
      </c>
      <c r="K86" s="18" t="str">
        <f>IF(K35=0,"0",IF(AND(Results!$C$5="Protein",K$51&gt;0,OR(Results!$C$4="Tissue",Results!$C$4="Cells")),((K35)/(K$3*K$51)),IF(AND(Results!$C$5="Weight",K$50&gt;0,Results!$C$4="Tissue"),((K35)/(K$3*K$50)),IF(AND(Results!$C$5="Volume",K$52&gt;0,Results!$C$4="Fluid"),((K35)/(K$3*K$52)),IF(AND(Results!$C$4="Cells",Results!$C$5="Million"),((K35)/(K$3*K$50)),"-")))))</f>
        <v>0</v>
      </c>
      <c r="L86" s="18" t="str">
        <f>IF(L35=0,"0",IF(AND(Results!$C$5="Protein",L$51&gt;0,OR(Results!$C$4="Tissue",Results!$C$4="Cells")),((L35)/(L$3*L$51)),IF(AND(Results!$C$5="Weight",L$50&gt;0,Results!$C$4="Tissue"),((L35)/(L$3*L$50)),IF(AND(Results!$C$5="Volume",L$52&gt;0,Results!$C$4="Fluid"),((L35)/(L$3*L$52)),IF(AND(Results!$C$4="Cells",Results!$C$5="Million"),((L35)/(L$3*L$50)),"-")))))</f>
        <v>0</v>
      </c>
      <c r="M86" s="18" t="str">
        <f>IF(M35=0,"0",IF(AND(Results!$C$5="Protein",M$51&gt;0,OR(Results!$C$4="Tissue",Results!$C$4="Cells")),((M35)/(M$3*M$51)),IF(AND(Results!$C$5="Weight",M$50&gt;0,Results!$C$4="Tissue"),((M35)/(M$3*M$50)),IF(AND(Results!$C$5="Volume",M$52&gt;0,Results!$C$4="Fluid"),((M35)/(M$3*M$52)),IF(AND(Results!$C$4="Cells",Results!$C$5="Million"),((M35)/(M$3*M$50)),"-")))))</f>
        <v>0</v>
      </c>
      <c r="N86" s="18" t="str">
        <f>IF(N35=0,"0",IF(AND(Results!$C$5="Protein",N$51&gt;0,OR(Results!$C$4="Tissue",Results!$C$4="Cells")),((N35)/(N$3*N$51)),IF(AND(Results!$C$5="Weight",N$50&gt;0,Results!$C$4="Tissue"),((N35)/(N$3*N$50)),IF(AND(Results!$C$5="Volume",N$52&gt;0,Results!$C$4="Fluid"),((N35)/(N$3*N$52)),IF(AND(Results!$C$4="Cells",Results!$C$5="Million"),((N35)/(N$3*N$50)),"-")))))</f>
        <v>0</v>
      </c>
      <c r="O86" s="18" t="str">
        <f>IF(O35=0,"0",IF(AND(Results!$C$5="Protein",O$51&gt;0,OR(Results!$C$4="Tissue",Results!$C$4="Cells")),((O35)/(O$3*O$51)),IF(AND(Results!$C$5="Weight",O$50&gt;0,Results!$C$4="Tissue"),((O35)/(O$3*O$50)),IF(AND(Results!$C$5="Volume",O$52&gt;0,Results!$C$4="Fluid"),((O35)/(O$3*O$52)),IF(AND(Results!$C$4="Cells",Results!$C$5="Million"),((O35)/(O$3*O$50)),"-")))))</f>
        <v>0</v>
      </c>
      <c r="P86" s="18" t="str">
        <f>IF(P35=0,"0",IF(AND(Results!$C$5="Protein",P$51&gt;0,OR(Results!$C$4="Tissue",Results!$C$4="Cells")),((P35)/(P$3*P$51)),IF(AND(Results!$C$5="Weight",P$50&gt;0,Results!$C$4="Tissue"),((P35)/(P$3*P$50)),IF(AND(Results!$C$5="Volume",P$52&gt;0,Results!$C$4="Fluid"),((P35)/(P$3*P$52)),IF(AND(Results!$C$4="Cells",Results!$C$5="Million"),((P35)/(P$3*P$50)),"-")))))</f>
        <v>0</v>
      </c>
      <c r="Q86" s="18" t="str">
        <f>IF(Q35=0,"0",IF(AND(Results!$C$5="Protein",Q$51&gt;0,OR(Results!$C$4="Tissue",Results!$C$4="Cells")),((Q35)/(Q$3*Q$51)),IF(AND(Results!$C$5="Weight",Q$50&gt;0,Results!$C$4="Tissue"),((Q35)/(Q$3*Q$50)),IF(AND(Results!$C$5="Volume",Q$52&gt;0,Results!$C$4="Fluid"),((Q35)/(Q$3*Q$52)),IF(AND(Results!$C$4="Cells",Results!$C$5="Million"),((Q35)/(Q$3*Q$50)),"-")))))</f>
        <v>0</v>
      </c>
      <c r="R86" s="18" t="str">
        <f>IF(R35=0,"0",IF(AND(Results!$C$5="Protein",R$51&gt;0,OR(Results!$C$4="Tissue",Results!$C$4="Cells")),((R35)/(R$3*R$51)),IF(AND(Results!$C$5="Weight",R$50&gt;0,Results!$C$4="Tissue"),((R35)/(R$3*R$50)),IF(AND(Results!$C$5="Volume",R$52&gt;0,Results!$C$4="Fluid"),((R35)/(R$3*R$52)),IF(AND(Results!$C$4="Cells",Results!$C$5="Million"),((R35)/(R$3*R$50)),"-")))))</f>
        <v>0</v>
      </c>
      <c r="S86" s="18" t="str">
        <f>IF(S35=0,"0",IF(AND(Results!$C$5="Protein",S$51&gt;0,OR(Results!$C$4="Tissue",Results!$C$4="Cells")),((S35)/(S$3*S$51)),IF(AND(Results!$C$5="Weight",S$50&gt;0,Results!$C$4="Tissue"),((S35)/(S$3*S$50)),IF(AND(Results!$C$5="Volume",S$52&gt;0,Results!$C$4="Fluid"),((S35)/(S$3*S$52)),IF(AND(Results!$C$4="Cells",Results!$C$5="Million"),((S35)/(S$3*S$50)),"-")))))</f>
        <v>0</v>
      </c>
      <c r="T86" s="18" t="str">
        <f>IF(T35=0,"0",IF(AND(Results!$C$5="Protein",T$51&gt;0,OR(Results!$C$4="Tissue",Results!$C$4="Cells")),((T35)/(T$3*T$51)),IF(AND(Results!$C$5="Weight",T$50&gt;0,Results!$C$4="Tissue"),((T35)/(T$3*T$50)),IF(AND(Results!$C$5="Volume",T$52&gt;0,Results!$C$4="Fluid"),((T35)/(T$3*T$52)),IF(AND(Results!$C$4="Cells",Results!$C$5="Million"),((T35)/(T$3*T$50)),"-")))))</f>
        <v>0</v>
      </c>
      <c r="U86" s="18" t="str">
        <f>IF(U35=0,"0",IF(AND(Results!$C$5="Protein",U$51&gt;0,OR(Results!$C$4="Tissue",Results!$C$4="Cells")),((U35)/(U$3*U$51)),IF(AND(Results!$C$5="Weight",U$50&gt;0,Results!$C$4="Tissue"),((U35)/(U$3*U$50)),IF(AND(Results!$C$5="Volume",U$52&gt;0,Results!$C$4="Fluid"),((U35)/(U$3*U$52)),IF(AND(Results!$C$4="Cells",Results!$C$5="Million"),((U35)/(U$3*U$50)),"-")))))</f>
        <v>0</v>
      </c>
      <c r="V86" s="18" t="str">
        <f>IF(V35=0,"0",IF(AND(Results!$C$5="Protein",V$51&gt;0,OR(Results!$C$4="Tissue",Results!$C$4="Cells")),((V35)/(V$3*V$51)),IF(AND(Results!$C$5="Weight",V$50&gt;0,Results!$C$4="Tissue"),((V35)/(V$3*V$50)),IF(AND(Results!$C$5="Volume",V$52&gt;0,Results!$C$4="Fluid"),((V35)/(V$3*V$52)),IF(AND(Results!$C$4="Cells",Results!$C$5="Million"),((V35)/(V$3*V$50)),"-")))))</f>
        <v>0</v>
      </c>
    </row>
    <row r="87" spans="1:22" x14ac:dyDescent="0.25">
      <c r="A87" s="64" t="str">
        <f t="shared" si="0"/>
        <v>L_C18_3w6</v>
      </c>
      <c r="B87" s="64"/>
      <c r="C87" s="18" t="str">
        <f>IF(C36=0,"0",IF(AND(Results!$C$5="Protein",C$51&gt;0,OR(Results!$C$4="Tissue",Results!$C$4="Cells")),((C36)/(C$3*C$51)),IF(AND(Results!$C$5="Weight",C$50&gt;0,Results!$C$4="Tissue"),((C36)/(C$3*C$50)),IF(AND(Results!$C$5="Volume",C$52&gt;0,Results!$C$4="Fluid"),((C36)/(C$3*C$52)),IF(AND(Results!$C$4="Cells",Results!$C$5="Million"),((C36)/(C$3*C$50)),"-")))))</f>
        <v>0</v>
      </c>
      <c r="D87" s="18" t="str">
        <f>IF(D36=0,"0",IF(AND(Results!$C$5="Protein",D$51&gt;0,OR(Results!$C$4="Tissue",Results!$C$4="Cells")),((D36)/(D$3*D$51)),IF(AND(Results!$C$5="Weight",D$50&gt;0,Results!$C$4="Tissue"),((D36)/(D$3*D$50)),IF(AND(Results!$C$5="Volume",D$52&gt;0,Results!$C$4="Fluid"),((D36)/(D$3*D$52)),IF(AND(Results!$C$4="Cells",Results!$C$5="Million"),((D36)/(D$3*D$50)),"-")))))</f>
        <v>0</v>
      </c>
      <c r="E87" s="18" t="str">
        <f>IF(E36=0,"0",IF(AND(Results!$C$5="Protein",E$51&gt;0,OR(Results!$C$4="Tissue",Results!$C$4="Cells")),((E36)/(E$3*E$51)),IF(AND(Results!$C$5="Weight",E$50&gt;0,Results!$C$4="Tissue"),((E36)/(E$3*E$50)),IF(AND(Results!$C$5="Volume",E$52&gt;0,Results!$C$4="Fluid"),((E36)/(E$3*E$52)),IF(AND(Results!$C$4="Cells",Results!$C$5="Million"),((E36)/(E$3*E$50)),"-")))))</f>
        <v>0</v>
      </c>
      <c r="F87" s="18" t="str">
        <f>IF(F36=0,"0",IF(AND(Results!$C$5="Protein",F$51&gt;0,OR(Results!$C$4="Tissue",Results!$C$4="Cells")),((F36)/(F$3*F$51)),IF(AND(Results!$C$5="Weight",F$50&gt;0,Results!$C$4="Tissue"),((F36)/(F$3*F$50)),IF(AND(Results!$C$5="Volume",F$52&gt;0,Results!$C$4="Fluid"),((F36)/(F$3*F$52)),IF(AND(Results!$C$4="Cells",Results!$C$5="Million"),((F36)/(F$3*F$50)),"-")))))</f>
        <v>0</v>
      </c>
      <c r="G87" s="18" t="str">
        <f>IF(G36=0,"0",IF(AND(Results!$C$5="Protein",G$51&gt;0,OR(Results!$C$4="Tissue",Results!$C$4="Cells")),((G36)/(G$3*G$51)),IF(AND(Results!$C$5="Weight",G$50&gt;0,Results!$C$4="Tissue"),((G36)/(G$3*G$50)),IF(AND(Results!$C$5="Volume",G$52&gt;0,Results!$C$4="Fluid"),((G36)/(G$3*G$52)),IF(AND(Results!$C$4="Cells",Results!$C$5="Million"),((G36)/(G$3*G$50)),"-")))))</f>
        <v>0</v>
      </c>
      <c r="H87" s="18" t="str">
        <f>IF(H36=0,"0",IF(AND(Results!$C$5="Protein",H$51&gt;0,OR(Results!$C$4="Tissue",Results!$C$4="Cells")),((H36)/(H$3*H$51)),IF(AND(Results!$C$5="Weight",H$50&gt;0,Results!$C$4="Tissue"),((H36)/(H$3*H$50)),IF(AND(Results!$C$5="Volume",H$52&gt;0,Results!$C$4="Fluid"),((H36)/(H$3*H$52)),IF(AND(Results!$C$4="Cells",Results!$C$5="Million"),((H36)/(H$3*H$50)),"-")))))</f>
        <v>0</v>
      </c>
      <c r="I87" s="18" t="str">
        <f>IF(I36=0,"0",IF(AND(Results!$C$5="Protein",I$51&gt;0,OR(Results!$C$4="Tissue",Results!$C$4="Cells")),((I36)/(I$3*I$51)),IF(AND(Results!$C$5="Weight",I$50&gt;0,Results!$C$4="Tissue"),((I36)/(I$3*I$50)),IF(AND(Results!$C$5="Volume",I$52&gt;0,Results!$C$4="Fluid"),((I36)/(I$3*I$52)),IF(AND(Results!$C$4="Cells",Results!$C$5="Million"),((I36)/(I$3*I$50)),"-")))))</f>
        <v>0</v>
      </c>
      <c r="J87" s="18" t="str">
        <f>IF(J36=0,"0",IF(AND(Results!$C$5="Protein",J$51&gt;0,OR(Results!$C$4="Tissue",Results!$C$4="Cells")),((J36)/(J$3*J$51)),IF(AND(Results!$C$5="Weight",J$50&gt;0,Results!$C$4="Tissue"),((J36)/(J$3*J$50)),IF(AND(Results!$C$5="Volume",J$52&gt;0,Results!$C$4="Fluid"),((J36)/(J$3*J$52)),IF(AND(Results!$C$4="Cells",Results!$C$5="Million"),((J36)/(J$3*J$50)),"-")))))</f>
        <v>0</v>
      </c>
      <c r="K87" s="18" t="str">
        <f>IF(K36=0,"0",IF(AND(Results!$C$5="Protein",K$51&gt;0,OR(Results!$C$4="Tissue",Results!$C$4="Cells")),((K36)/(K$3*K$51)),IF(AND(Results!$C$5="Weight",K$50&gt;0,Results!$C$4="Tissue"),((K36)/(K$3*K$50)),IF(AND(Results!$C$5="Volume",K$52&gt;0,Results!$C$4="Fluid"),((K36)/(K$3*K$52)),IF(AND(Results!$C$4="Cells",Results!$C$5="Million"),((K36)/(K$3*K$50)),"-")))))</f>
        <v>0</v>
      </c>
      <c r="L87" s="18" t="str">
        <f>IF(L36=0,"0",IF(AND(Results!$C$5="Protein",L$51&gt;0,OR(Results!$C$4="Tissue",Results!$C$4="Cells")),((L36)/(L$3*L$51)),IF(AND(Results!$C$5="Weight",L$50&gt;0,Results!$C$4="Tissue"),((L36)/(L$3*L$50)),IF(AND(Results!$C$5="Volume",L$52&gt;0,Results!$C$4="Fluid"),((L36)/(L$3*L$52)),IF(AND(Results!$C$4="Cells",Results!$C$5="Million"),((L36)/(L$3*L$50)),"-")))))</f>
        <v>0</v>
      </c>
      <c r="M87" s="18" t="str">
        <f>IF(M36=0,"0",IF(AND(Results!$C$5="Protein",M$51&gt;0,OR(Results!$C$4="Tissue",Results!$C$4="Cells")),((M36)/(M$3*M$51)),IF(AND(Results!$C$5="Weight",M$50&gt;0,Results!$C$4="Tissue"),((M36)/(M$3*M$50)),IF(AND(Results!$C$5="Volume",M$52&gt;0,Results!$C$4="Fluid"),((M36)/(M$3*M$52)),IF(AND(Results!$C$4="Cells",Results!$C$5="Million"),((M36)/(M$3*M$50)),"-")))))</f>
        <v>0</v>
      </c>
      <c r="N87" s="18" t="str">
        <f>IF(N36=0,"0",IF(AND(Results!$C$5="Protein",N$51&gt;0,OR(Results!$C$4="Tissue",Results!$C$4="Cells")),((N36)/(N$3*N$51)),IF(AND(Results!$C$5="Weight",N$50&gt;0,Results!$C$4="Tissue"),((N36)/(N$3*N$50)),IF(AND(Results!$C$5="Volume",N$52&gt;0,Results!$C$4="Fluid"),((N36)/(N$3*N$52)),IF(AND(Results!$C$4="Cells",Results!$C$5="Million"),((N36)/(N$3*N$50)),"-")))))</f>
        <v>0</v>
      </c>
      <c r="O87" s="18" t="str">
        <f>IF(O36=0,"0",IF(AND(Results!$C$5="Protein",O$51&gt;0,OR(Results!$C$4="Tissue",Results!$C$4="Cells")),((O36)/(O$3*O$51)),IF(AND(Results!$C$5="Weight",O$50&gt;0,Results!$C$4="Tissue"),((O36)/(O$3*O$50)),IF(AND(Results!$C$5="Volume",O$52&gt;0,Results!$C$4="Fluid"),((O36)/(O$3*O$52)),IF(AND(Results!$C$4="Cells",Results!$C$5="Million"),((O36)/(O$3*O$50)),"-")))))</f>
        <v>0</v>
      </c>
      <c r="P87" s="18" t="str">
        <f>IF(P36=0,"0",IF(AND(Results!$C$5="Protein",P$51&gt;0,OR(Results!$C$4="Tissue",Results!$C$4="Cells")),((P36)/(P$3*P$51)),IF(AND(Results!$C$5="Weight",P$50&gt;0,Results!$C$4="Tissue"),((P36)/(P$3*P$50)),IF(AND(Results!$C$5="Volume",P$52&gt;0,Results!$C$4="Fluid"),((P36)/(P$3*P$52)),IF(AND(Results!$C$4="Cells",Results!$C$5="Million"),((P36)/(P$3*P$50)),"-")))))</f>
        <v>0</v>
      </c>
      <c r="Q87" s="18" t="str">
        <f>IF(Q36=0,"0",IF(AND(Results!$C$5="Protein",Q$51&gt;0,OR(Results!$C$4="Tissue",Results!$C$4="Cells")),((Q36)/(Q$3*Q$51)),IF(AND(Results!$C$5="Weight",Q$50&gt;0,Results!$C$4="Tissue"),((Q36)/(Q$3*Q$50)),IF(AND(Results!$C$5="Volume",Q$52&gt;0,Results!$C$4="Fluid"),((Q36)/(Q$3*Q$52)),IF(AND(Results!$C$4="Cells",Results!$C$5="Million"),((Q36)/(Q$3*Q$50)),"-")))))</f>
        <v>0</v>
      </c>
      <c r="R87" s="18" t="str">
        <f>IF(R36=0,"0",IF(AND(Results!$C$5="Protein",R$51&gt;0,OR(Results!$C$4="Tissue",Results!$C$4="Cells")),((R36)/(R$3*R$51)),IF(AND(Results!$C$5="Weight",R$50&gt;0,Results!$C$4="Tissue"),((R36)/(R$3*R$50)),IF(AND(Results!$C$5="Volume",R$52&gt;0,Results!$C$4="Fluid"),((R36)/(R$3*R$52)),IF(AND(Results!$C$4="Cells",Results!$C$5="Million"),((R36)/(R$3*R$50)),"-")))))</f>
        <v>0</v>
      </c>
      <c r="S87" s="18" t="str">
        <f>IF(S36=0,"0",IF(AND(Results!$C$5="Protein",S$51&gt;0,OR(Results!$C$4="Tissue",Results!$C$4="Cells")),((S36)/(S$3*S$51)),IF(AND(Results!$C$5="Weight",S$50&gt;0,Results!$C$4="Tissue"),((S36)/(S$3*S$50)),IF(AND(Results!$C$5="Volume",S$52&gt;0,Results!$C$4="Fluid"),((S36)/(S$3*S$52)),IF(AND(Results!$C$4="Cells",Results!$C$5="Million"),((S36)/(S$3*S$50)),"-")))))</f>
        <v>0</v>
      </c>
      <c r="T87" s="18" t="str">
        <f>IF(T36=0,"0",IF(AND(Results!$C$5="Protein",T$51&gt;0,OR(Results!$C$4="Tissue",Results!$C$4="Cells")),((T36)/(T$3*T$51)),IF(AND(Results!$C$5="Weight",T$50&gt;0,Results!$C$4="Tissue"),((T36)/(T$3*T$50)),IF(AND(Results!$C$5="Volume",T$52&gt;0,Results!$C$4="Fluid"),((T36)/(T$3*T$52)),IF(AND(Results!$C$4="Cells",Results!$C$5="Million"),((T36)/(T$3*T$50)),"-")))))</f>
        <v>0</v>
      </c>
      <c r="U87" s="18" t="str">
        <f>IF(U36=0,"0",IF(AND(Results!$C$5="Protein",U$51&gt;0,OR(Results!$C$4="Tissue",Results!$C$4="Cells")),((U36)/(U$3*U$51)),IF(AND(Results!$C$5="Weight",U$50&gt;0,Results!$C$4="Tissue"),((U36)/(U$3*U$50)),IF(AND(Results!$C$5="Volume",U$52&gt;0,Results!$C$4="Fluid"),((U36)/(U$3*U$52)),IF(AND(Results!$C$4="Cells",Results!$C$5="Million"),((U36)/(U$3*U$50)),"-")))))</f>
        <v>0</v>
      </c>
      <c r="V87" s="18" t="str">
        <f>IF(V36=0,"0",IF(AND(Results!$C$5="Protein",V$51&gt;0,OR(Results!$C$4="Tissue",Results!$C$4="Cells")),((V36)/(V$3*V$51)),IF(AND(Results!$C$5="Weight",V$50&gt;0,Results!$C$4="Tissue"),((V36)/(V$3*V$50)),IF(AND(Results!$C$5="Volume",V$52&gt;0,Results!$C$4="Fluid"),((V36)/(V$3*V$52)),IF(AND(Results!$C$4="Cells",Results!$C$5="Million"),((V36)/(V$3*V$50)),"-")))))</f>
        <v>0</v>
      </c>
    </row>
    <row r="88" spans="1:22" x14ac:dyDescent="0.25">
      <c r="A88" s="64" t="str">
        <f t="shared" si="0"/>
        <v>L_C18_3w3</v>
      </c>
      <c r="B88" s="64"/>
      <c r="C88" s="18" t="str">
        <f>IF(C37=0,"0",IF(AND(Results!$C$5="Protein",C$51&gt;0,OR(Results!$C$4="Tissue",Results!$C$4="Cells")),((C37)/(C$3*C$51)),IF(AND(Results!$C$5="Weight",C$50&gt;0,Results!$C$4="Tissue"),((C37)/(C$3*C$50)),IF(AND(Results!$C$5="Volume",C$52&gt;0,Results!$C$4="Fluid"),((C37)/(C$3*C$52)),IF(AND(Results!$C$4="Cells",Results!$C$5="Million"),((C37)/(C$3*C$50)),"-")))))</f>
        <v>0</v>
      </c>
      <c r="D88" s="18" t="str">
        <f>IF(D37=0,"0",IF(AND(Results!$C$5="Protein",D$51&gt;0,OR(Results!$C$4="Tissue",Results!$C$4="Cells")),((D37)/(D$3*D$51)),IF(AND(Results!$C$5="Weight",D$50&gt;0,Results!$C$4="Tissue"),((D37)/(D$3*D$50)),IF(AND(Results!$C$5="Volume",D$52&gt;0,Results!$C$4="Fluid"),((D37)/(D$3*D$52)),IF(AND(Results!$C$4="Cells",Results!$C$5="Million"),((D37)/(D$3*D$50)),"-")))))</f>
        <v>0</v>
      </c>
      <c r="E88" s="18" t="str">
        <f>IF(E37=0,"0",IF(AND(Results!$C$5="Protein",E$51&gt;0,OR(Results!$C$4="Tissue",Results!$C$4="Cells")),((E37)/(E$3*E$51)),IF(AND(Results!$C$5="Weight",E$50&gt;0,Results!$C$4="Tissue"),((E37)/(E$3*E$50)),IF(AND(Results!$C$5="Volume",E$52&gt;0,Results!$C$4="Fluid"),((E37)/(E$3*E$52)),IF(AND(Results!$C$4="Cells",Results!$C$5="Million"),((E37)/(E$3*E$50)),"-")))))</f>
        <v>0</v>
      </c>
      <c r="F88" s="18" t="str">
        <f>IF(F37=0,"0",IF(AND(Results!$C$5="Protein",F$51&gt;0,OR(Results!$C$4="Tissue",Results!$C$4="Cells")),((F37)/(F$3*F$51)),IF(AND(Results!$C$5="Weight",F$50&gt;0,Results!$C$4="Tissue"),((F37)/(F$3*F$50)),IF(AND(Results!$C$5="Volume",F$52&gt;0,Results!$C$4="Fluid"),((F37)/(F$3*F$52)),IF(AND(Results!$C$4="Cells",Results!$C$5="Million"),((F37)/(F$3*F$50)),"-")))))</f>
        <v>0</v>
      </c>
      <c r="G88" s="18" t="str">
        <f>IF(G37=0,"0",IF(AND(Results!$C$5="Protein",G$51&gt;0,OR(Results!$C$4="Tissue",Results!$C$4="Cells")),((G37)/(G$3*G$51)),IF(AND(Results!$C$5="Weight",G$50&gt;0,Results!$C$4="Tissue"),((G37)/(G$3*G$50)),IF(AND(Results!$C$5="Volume",G$52&gt;0,Results!$C$4="Fluid"),((G37)/(G$3*G$52)),IF(AND(Results!$C$4="Cells",Results!$C$5="Million"),((G37)/(G$3*G$50)),"-")))))</f>
        <v>0</v>
      </c>
      <c r="H88" s="18" t="str">
        <f>IF(H37=0,"0",IF(AND(Results!$C$5="Protein",H$51&gt;0,OR(Results!$C$4="Tissue",Results!$C$4="Cells")),((H37)/(H$3*H$51)),IF(AND(Results!$C$5="Weight",H$50&gt;0,Results!$C$4="Tissue"),((H37)/(H$3*H$50)),IF(AND(Results!$C$5="Volume",H$52&gt;0,Results!$C$4="Fluid"),((H37)/(H$3*H$52)),IF(AND(Results!$C$4="Cells",Results!$C$5="Million"),((H37)/(H$3*H$50)),"-")))))</f>
        <v>0</v>
      </c>
      <c r="I88" s="18" t="str">
        <f>IF(I37=0,"0",IF(AND(Results!$C$5="Protein",I$51&gt;0,OR(Results!$C$4="Tissue",Results!$C$4="Cells")),((I37)/(I$3*I$51)),IF(AND(Results!$C$5="Weight",I$50&gt;0,Results!$C$4="Tissue"),((I37)/(I$3*I$50)),IF(AND(Results!$C$5="Volume",I$52&gt;0,Results!$C$4="Fluid"),((I37)/(I$3*I$52)),IF(AND(Results!$C$4="Cells",Results!$C$5="Million"),((I37)/(I$3*I$50)),"-")))))</f>
        <v>0</v>
      </c>
      <c r="J88" s="18" t="str">
        <f>IF(J37=0,"0",IF(AND(Results!$C$5="Protein",J$51&gt;0,OR(Results!$C$4="Tissue",Results!$C$4="Cells")),((J37)/(J$3*J$51)),IF(AND(Results!$C$5="Weight",J$50&gt;0,Results!$C$4="Tissue"),((J37)/(J$3*J$50)),IF(AND(Results!$C$5="Volume",J$52&gt;0,Results!$C$4="Fluid"),((J37)/(J$3*J$52)),IF(AND(Results!$C$4="Cells",Results!$C$5="Million"),((J37)/(J$3*J$50)),"-")))))</f>
        <v>0</v>
      </c>
      <c r="K88" s="18" t="str">
        <f>IF(K37=0,"0",IF(AND(Results!$C$5="Protein",K$51&gt;0,OR(Results!$C$4="Tissue",Results!$C$4="Cells")),((K37)/(K$3*K$51)),IF(AND(Results!$C$5="Weight",K$50&gt;0,Results!$C$4="Tissue"),((K37)/(K$3*K$50)),IF(AND(Results!$C$5="Volume",K$52&gt;0,Results!$C$4="Fluid"),((K37)/(K$3*K$52)),IF(AND(Results!$C$4="Cells",Results!$C$5="Million"),((K37)/(K$3*K$50)),"-")))))</f>
        <v>0</v>
      </c>
      <c r="L88" s="18" t="str">
        <f>IF(L37=0,"0",IF(AND(Results!$C$5="Protein",L$51&gt;0,OR(Results!$C$4="Tissue",Results!$C$4="Cells")),((L37)/(L$3*L$51)),IF(AND(Results!$C$5="Weight",L$50&gt;0,Results!$C$4="Tissue"),((L37)/(L$3*L$50)),IF(AND(Results!$C$5="Volume",L$52&gt;0,Results!$C$4="Fluid"),((L37)/(L$3*L$52)),IF(AND(Results!$C$4="Cells",Results!$C$5="Million"),((L37)/(L$3*L$50)),"-")))))</f>
        <v>0</v>
      </c>
      <c r="M88" s="18" t="str">
        <f>IF(M37=0,"0",IF(AND(Results!$C$5="Protein",M$51&gt;0,OR(Results!$C$4="Tissue",Results!$C$4="Cells")),((M37)/(M$3*M$51)),IF(AND(Results!$C$5="Weight",M$50&gt;0,Results!$C$4="Tissue"),((M37)/(M$3*M$50)),IF(AND(Results!$C$5="Volume",M$52&gt;0,Results!$C$4="Fluid"),((M37)/(M$3*M$52)),IF(AND(Results!$C$4="Cells",Results!$C$5="Million"),((M37)/(M$3*M$50)),"-")))))</f>
        <v>0</v>
      </c>
      <c r="N88" s="18" t="str">
        <f>IF(N37=0,"0",IF(AND(Results!$C$5="Protein",N$51&gt;0,OR(Results!$C$4="Tissue",Results!$C$4="Cells")),((N37)/(N$3*N$51)),IF(AND(Results!$C$5="Weight",N$50&gt;0,Results!$C$4="Tissue"),((N37)/(N$3*N$50)),IF(AND(Results!$C$5="Volume",N$52&gt;0,Results!$C$4="Fluid"),((N37)/(N$3*N$52)),IF(AND(Results!$C$4="Cells",Results!$C$5="Million"),((N37)/(N$3*N$50)),"-")))))</f>
        <v>0</v>
      </c>
      <c r="O88" s="18" t="str">
        <f>IF(O37=0,"0",IF(AND(Results!$C$5="Protein",O$51&gt;0,OR(Results!$C$4="Tissue",Results!$C$4="Cells")),((O37)/(O$3*O$51)),IF(AND(Results!$C$5="Weight",O$50&gt;0,Results!$C$4="Tissue"),((O37)/(O$3*O$50)),IF(AND(Results!$C$5="Volume",O$52&gt;0,Results!$C$4="Fluid"),((O37)/(O$3*O$52)),IF(AND(Results!$C$4="Cells",Results!$C$5="Million"),((O37)/(O$3*O$50)),"-")))))</f>
        <v>0</v>
      </c>
      <c r="P88" s="18" t="str">
        <f>IF(P37=0,"0",IF(AND(Results!$C$5="Protein",P$51&gt;0,OR(Results!$C$4="Tissue",Results!$C$4="Cells")),((P37)/(P$3*P$51)),IF(AND(Results!$C$5="Weight",P$50&gt;0,Results!$C$4="Tissue"),((P37)/(P$3*P$50)),IF(AND(Results!$C$5="Volume",P$52&gt;0,Results!$C$4="Fluid"),((P37)/(P$3*P$52)),IF(AND(Results!$C$4="Cells",Results!$C$5="Million"),((P37)/(P$3*P$50)),"-")))))</f>
        <v>0</v>
      </c>
      <c r="Q88" s="18" t="str">
        <f>IF(Q37=0,"0",IF(AND(Results!$C$5="Protein",Q$51&gt;0,OR(Results!$C$4="Tissue",Results!$C$4="Cells")),((Q37)/(Q$3*Q$51)),IF(AND(Results!$C$5="Weight",Q$50&gt;0,Results!$C$4="Tissue"),((Q37)/(Q$3*Q$50)),IF(AND(Results!$C$5="Volume",Q$52&gt;0,Results!$C$4="Fluid"),((Q37)/(Q$3*Q$52)),IF(AND(Results!$C$4="Cells",Results!$C$5="Million"),((Q37)/(Q$3*Q$50)),"-")))))</f>
        <v>0</v>
      </c>
      <c r="R88" s="18" t="str">
        <f>IF(R37=0,"0",IF(AND(Results!$C$5="Protein",R$51&gt;0,OR(Results!$C$4="Tissue",Results!$C$4="Cells")),((R37)/(R$3*R$51)),IF(AND(Results!$C$5="Weight",R$50&gt;0,Results!$C$4="Tissue"),((R37)/(R$3*R$50)),IF(AND(Results!$C$5="Volume",R$52&gt;0,Results!$C$4="Fluid"),((R37)/(R$3*R$52)),IF(AND(Results!$C$4="Cells",Results!$C$5="Million"),((R37)/(R$3*R$50)),"-")))))</f>
        <v>0</v>
      </c>
      <c r="S88" s="18" t="str">
        <f>IF(S37=0,"0",IF(AND(Results!$C$5="Protein",S$51&gt;0,OR(Results!$C$4="Tissue",Results!$C$4="Cells")),((S37)/(S$3*S$51)),IF(AND(Results!$C$5="Weight",S$50&gt;0,Results!$C$4="Tissue"),((S37)/(S$3*S$50)),IF(AND(Results!$C$5="Volume",S$52&gt;0,Results!$C$4="Fluid"),((S37)/(S$3*S$52)),IF(AND(Results!$C$4="Cells",Results!$C$5="Million"),((S37)/(S$3*S$50)),"-")))))</f>
        <v>0</v>
      </c>
      <c r="T88" s="18" t="str">
        <f>IF(T37=0,"0",IF(AND(Results!$C$5="Protein",T$51&gt;0,OR(Results!$C$4="Tissue",Results!$C$4="Cells")),((T37)/(T$3*T$51)),IF(AND(Results!$C$5="Weight",T$50&gt;0,Results!$C$4="Tissue"),((T37)/(T$3*T$50)),IF(AND(Results!$C$5="Volume",T$52&gt;0,Results!$C$4="Fluid"),((T37)/(T$3*T$52)),IF(AND(Results!$C$4="Cells",Results!$C$5="Million"),((T37)/(T$3*T$50)),"-")))))</f>
        <v>0</v>
      </c>
      <c r="U88" s="18" t="str">
        <f>IF(U37=0,"0",IF(AND(Results!$C$5="Protein",U$51&gt;0,OR(Results!$C$4="Tissue",Results!$C$4="Cells")),((U37)/(U$3*U$51)),IF(AND(Results!$C$5="Weight",U$50&gt;0,Results!$C$4="Tissue"),((U37)/(U$3*U$50)),IF(AND(Results!$C$5="Volume",U$52&gt;0,Results!$C$4="Fluid"),((U37)/(U$3*U$52)),IF(AND(Results!$C$4="Cells",Results!$C$5="Million"),((U37)/(U$3*U$50)),"-")))))</f>
        <v>0</v>
      </c>
      <c r="V88" s="18" t="str">
        <f>IF(V37=0,"0",IF(AND(Results!$C$5="Protein",V$51&gt;0,OR(Results!$C$4="Tissue",Results!$C$4="Cells")),((V37)/(V$3*V$51)),IF(AND(Results!$C$5="Weight",V$50&gt;0,Results!$C$4="Tissue"),((V37)/(V$3*V$50)),IF(AND(Results!$C$5="Volume",V$52&gt;0,Results!$C$4="Fluid"),((V37)/(V$3*V$52)),IF(AND(Results!$C$4="Cells",Results!$C$5="Million"),((V37)/(V$3*V$50)),"-")))))</f>
        <v>0</v>
      </c>
    </row>
    <row r="89" spans="1:22" x14ac:dyDescent="0.25">
      <c r="A89" s="64" t="str">
        <f t="shared" si="0"/>
        <v>L_C18_4w3</v>
      </c>
      <c r="B89" s="64"/>
      <c r="C89" s="18" t="str">
        <f>IF(C38=0,"0",IF(AND(Results!$C$5="Protein",C$51&gt;0,OR(Results!$C$4="Tissue",Results!$C$4="Cells")),((C38)/(C$3*C$51)),IF(AND(Results!$C$5="Weight",C$50&gt;0,Results!$C$4="Tissue"),((C38)/(C$3*C$50)),IF(AND(Results!$C$5="Volume",C$52&gt;0,Results!$C$4="Fluid"),((C38)/(C$3*C$52)),IF(AND(Results!$C$4="Cells",Results!$C$5="Million"),((C38)/(C$3*C$50)),"-")))))</f>
        <v>0</v>
      </c>
      <c r="D89" s="18" t="str">
        <f>IF(D38=0,"0",IF(AND(Results!$C$5="Protein",D$51&gt;0,OR(Results!$C$4="Tissue",Results!$C$4="Cells")),((D38)/(D$3*D$51)),IF(AND(Results!$C$5="Weight",D$50&gt;0,Results!$C$4="Tissue"),((D38)/(D$3*D$50)),IF(AND(Results!$C$5="Volume",D$52&gt;0,Results!$C$4="Fluid"),((D38)/(D$3*D$52)),IF(AND(Results!$C$4="Cells",Results!$C$5="Million"),((D38)/(D$3*D$50)),"-")))))</f>
        <v>0</v>
      </c>
      <c r="E89" s="18" t="str">
        <f>IF(E38=0,"0",IF(AND(Results!$C$5="Protein",E$51&gt;0,OR(Results!$C$4="Tissue",Results!$C$4="Cells")),((E38)/(E$3*E$51)),IF(AND(Results!$C$5="Weight",E$50&gt;0,Results!$C$4="Tissue"),((E38)/(E$3*E$50)),IF(AND(Results!$C$5="Volume",E$52&gt;0,Results!$C$4="Fluid"),((E38)/(E$3*E$52)),IF(AND(Results!$C$4="Cells",Results!$C$5="Million"),((E38)/(E$3*E$50)),"-")))))</f>
        <v>0</v>
      </c>
      <c r="F89" s="18" t="str">
        <f>IF(F38=0,"0",IF(AND(Results!$C$5="Protein",F$51&gt;0,OR(Results!$C$4="Tissue",Results!$C$4="Cells")),((F38)/(F$3*F$51)),IF(AND(Results!$C$5="Weight",F$50&gt;0,Results!$C$4="Tissue"),((F38)/(F$3*F$50)),IF(AND(Results!$C$5="Volume",F$52&gt;0,Results!$C$4="Fluid"),((F38)/(F$3*F$52)),IF(AND(Results!$C$4="Cells",Results!$C$5="Million"),((F38)/(F$3*F$50)),"-")))))</f>
        <v>0</v>
      </c>
      <c r="G89" s="18" t="str">
        <f>IF(G38=0,"0",IF(AND(Results!$C$5="Protein",G$51&gt;0,OR(Results!$C$4="Tissue",Results!$C$4="Cells")),((G38)/(G$3*G$51)),IF(AND(Results!$C$5="Weight",G$50&gt;0,Results!$C$4="Tissue"),((G38)/(G$3*G$50)),IF(AND(Results!$C$5="Volume",G$52&gt;0,Results!$C$4="Fluid"),((G38)/(G$3*G$52)),IF(AND(Results!$C$4="Cells",Results!$C$5="Million"),((G38)/(G$3*G$50)),"-")))))</f>
        <v>0</v>
      </c>
      <c r="H89" s="18" t="str">
        <f>IF(H38=0,"0",IF(AND(Results!$C$5="Protein",H$51&gt;0,OR(Results!$C$4="Tissue",Results!$C$4="Cells")),((H38)/(H$3*H$51)),IF(AND(Results!$C$5="Weight",H$50&gt;0,Results!$C$4="Tissue"),((H38)/(H$3*H$50)),IF(AND(Results!$C$5="Volume",H$52&gt;0,Results!$C$4="Fluid"),((H38)/(H$3*H$52)),IF(AND(Results!$C$4="Cells",Results!$C$5="Million"),((H38)/(H$3*H$50)),"-")))))</f>
        <v>0</v>
      </c>
      <c r="I89" s="18" t="str">
        <f>IF(I38=0,"0",IF(AND(Results!$C$5="Protein",I$51&gt;0,OR(Results!$C$4="Tissue",Results!$C$4="Cells")),((I38)/(I$3*I$51)),IF(AND(Results!$C$5="Weight",I$50&gt;0,Results!$C$4="Tissue"),((I38)/(I$3*I$50)),IF(AND(Results!$C$5="Volume",I$52&gt;0,Results!$C$4="Fluid"),((I38)/(I$3*I$52)),IF(AND(Results!$C$4="Cells",Results!$C$5="Million"),((I38)/(I$3*I$50)),"-")))))</f>
        <v>0</v>
      </c>
      <c r="J89" s="18" t="str">
        <f>IF(J38=0,"0",IF(AND(Results!$C$5="Protein",J$51&gt;0,OR(Results!$C$4="Tissue",Results!$C$4="Cells")),((J38)/(J$3*J$51)),IF(AND(Results!$C$5="Weight",J$50&gt;0,Results!$C$4="Tissue"),((J38)/(J$3*J$50)),IF(AND(Results!$C$5="Volume",J$52&gt;0,Results!$C$4="Fluid"),((J38)/(J$3*J$52)),IF(AND(Results!$C$4="Cells",Results!$C$5="Million"),((J38)/(J$3*J$50)),"-")))))</f>
        <v>0</v>
      </c>
      <c r="K89" s="18" t="str">
        <f>IF(K38=0,"0",IF(AND(Results!$C$5="Protein",K$51&gt;0,OR(Results!$C$4="Tissue",Results!$C$4="Cells")),((K38)/(K$3*K$51)),IF(AND(Results!$C$5="Weight",K$50&gt;0,Results!$C$4="Tissue"),((K38)/(K$3*K$50)),IF(AND(Results!$C$5="Volume",K$52&gt;0,Results!$C$4="Fluid"),((K38)/(K$3*K$52)),IF(AND(Results!$C$4="Cells",Results!$C$5="Million"),((K38)/(K$3*K$50)),"-")))))</f>
        <v>0</v>
      </c>
      <c r="L89" s="18" t="str">
        <f>IF(L38=0,"0",IF(AND(Results!$C$5="Protein",L$51&gt;0,OR(Results!$C$4="Tissue",Results!$C$4="Cells")),((L38)/(L$3*L$51)),IF(AND(Results!$C$5="Weight",L$50&gt;0,Results!$C$4="Tissue"),((L38)/(L$3*L$50)),IF(AND(Results!$C$5="Volume",L$52&gt;0,Results!$C$4="Fluid"),((L38)/(L$3*L$52)),IF(AND(Results!$C$4="Cells",Results!$C$5="Million"),((L38)/(L$3*L$50)),"-")))))</f>
        <v>0</v>
      </c>
      <c r="M89" s="18" t="str">
        <f>IF(M38=0,"0",IF(AND(Results!$C$5="Protein",M$51&gt;0,OR(Results!$C$4="Tissue",Results!$C$4="Cells")),((M38)/(M$3*M$51)),IF(AND(Results!$C$5="Weight",M$50&gt;0,Results!$C$4="Tissue"),((M38)/(M$3*M$50)),IF(AND(Results!$C$5="Volume",M$52&gt;0,Results!$C$4="Fluid"),((M38)/(M$3*M$52)),IF(AND(Results!$C$4="Cells",Results!$C$5="Million"),((M38)/(M$3*M$50)),"-")))))</f>
        <v>0</v>
      </c>
      <c r="N89" s="18" t="str">
        <f>IF(N38=0,"0",IF(AND(Results!$C$5="Protein",N$51&gt;0,OR(Results!$C$4="Tissue",Results!$C$4="Cells")),((N38)/(N$3*N$51)),IF(AND(Results!$C$5="Weight",N$50&gt;0,Results!$C$4="Tissue"),((N38)/(N$3*N$50)),IF(AND(Results!$C$5="Volume",N$52&gt;0,Results!$C$4="Fluid"),((N38)/(N$3*N$52)),IF(AND(Results!$C$4="Cells",Results!$C$5="Million"),((N38)/(N$3*N$50)),"-")))))</f>
        <v>0</v>
      </c>
      <c r="O89" s="18" t="str">
        <f>IF(O38=0,"0",IF(AND(Results!$C$5="Protein",O$51&gt;0,OR(Results!$C$4="Tissue",Results!$C$4="Cells")),((O38)/(O$3*O$51)),IF(AND(Results!$C$5="Weight",O$50&gt;0,Results!$C$4="Tissue"),((O38)/(O$3*O$50)),IF(AND(Results!$C$5="Volume",O$52&gt;0,Results!$C$4="Fluid"),((O38)/(O$3*O$52)),IF(AND(Results!$C$4="Cells",Results!$C$5="Million"),((O38)/(O$3*O$50)),"-")))))</f>
        <v>0</v>
      </c>
      <c r="P89" s="18" t="str">
        <f>IF(P38=0,"0",IF(AND(Results!$C$5="Protein",P$51&gt;0,OR(Results!$C$4="Tissue",Results!$C$4="Cells")),((P38)/(P$3*P$51)),IF(AND(Results!$C$5="Weight",P$50&gt;0,Results!$C$4="Tissue"),((P38)/(P$3*P$50)),IF(AND(Results!$C$5="Volume",P$52&gt;0,Results!$C$4="Fluid"),((P38)/(P$3*P$52)),IF(AND(Results!$C$4="Cells",Results!$C$5="Million"),((P38)/(P$3*P$50)),"-")))))</f>
        <v>0</v>
      </c>
      <c r="Q89" s="18" t="str">
        <f>IF(Q38=0,"0",IF(AND(Results!$C$5="Protein",Q$51&gt;0,OR(Results!$C$4="Tissue",Results!$C$4="Cells")),((Q38)/(Q$3*Q$51)),IF(AND(Results!$C$5="Weight",Q$50&gt;0,Results!$C$4="Tissue"),((Q38)/(Q$3*Q$50)),IF(AND(Results!$C$5="Volume",Q$52&gt;0,Results!$C$4="Fluid"),((Q38)/(Q$3*Q$52)),IF(AND(Results!$C$4="Cells",Results!$C$5="Million"),((Q38)/(Q$3*Q$50)),"-")))))</f>
        <v>0</v>
      </c>
      <c r="R89" s="18" t="str">
        <f>IF(R38=0,"0",IF(AND(Results!$C$5="Protein",R$51&gt;0,OR(Results!$C$4="Tissue",Results!$C$4="Cells")),((R38)/(R$3*R$51)),IF(AND(Results!$C$5="Weight",R$50&gt;0,Results!$C$4="Tissue"),((R38)/(R$3*R$50)),IF(AND(Results!$C$5="Volume",R$52&gt;0,Results!$C$4="Fluid"),((R38)/(R$3*R$52)),IF(AND(Results!$C$4="Cells",Results!$C$5="Million"),((R38)/(R$3*R$50)),"-")))))</f>
        <v>0</v>
      </c>
      <c r="S89" s="18" t="str">
        <f>IF(S38=0,"0",IF(AND(Results!$C$5="Protein",S$51&gt;0,OR(Results!$C$4="Tissue",Results!$C$4="Cells")),((S38)/(S$3*S$51)),IF(AND(Results!$C$5="Weight",S$50&gt;0,Results!$C$4="Tissue"),((S38)/(S$3*S$50)),IF(AND(Results!$C$5="Volume",S$52&gt;0,Results!$C$4="Fluid"),((S38)/(S$3*S$52)),IF(AND(Results!$C$4="Cells",Results!$C$5="Million"),((S38)/(S$3*S$50)),"-")))))</f>
        <v>0</v>
      </c>
      <c r="T89" s="18" t="str">
        <f>IF(T38=0,"0",IF(AND(Results!$C$5="Protein",T$51&gt;0,OR(Results!$C$4="Tissue",Results!$C$4="Cells")),((T38)/(T$3*T$51)),IF(AND(Results!$C$5="Weight",T$50&gt;0,Results!$C$4="Tissue"),((T38)/(T$3*T$50)),IF(AND(Results!$C$5="Volume",T$52&gt;0,Results!$C$4="Fluid"),((T38)/(T$3*T$52)),IF(AND(Results!$C$4="Cells",Results!$C$5="Million"),((T38)/(T$3*T$50)),"-")))))</f>
        <v>0</v>
      </c>
      <c r="U89" s="18" t="str">
        <f>IF(U38=0,"0",IF(AND(Results!$C$5="Protein",U$51&gt;0,OR(Results!$C$4="Tissue",Results!$C$4="Cells")),((U38)/(U$3*U$51)),IF(AND(Results!$C$5="Weight",U$50&gt;0,Results!$C$4="Tissue"),((U38)/(U$3*U$50)),IF(AND(Results!$C$5="Volume",U$52&gt;0,Results!$C$4="Fluid"),((U38)/(U$3*U$52)),IF(AND(Results!$C$4="Cells",Results!$C$5="Million"),((U38)/(U$3*U$50)),"-")))))</f>
        <v>0</v>
      </c>
      <c r="V89" s="18" t="str">
        <f>IF(V38=0,"0",IF(AND(Results!$C$5="Protein",V$51&gt;0,OR(Results!$C$4="Tissue",Results!$C$4="Cells")),((V38)/(V$3*V$51)),IF(AND(Results!$C$5="Weight",V$50&gt;0,Results!$C$4="Tissue"),((V38)/(V$3*V$50)),IF(AND(Results!$C$5="Volume",V$52&gt;0,Results!$C$4="Fluid"),((V38)/(V$3*V$52)),IF(AND(Results!$C$4="Cells",Results!$C$5="Million"),((V38)/(V$3*V$50)),"-")))))</f>
        <v>0</v>
      </c>
    </row>
    <row r="90" spans="1:22" x14ac:dyDescent="0.25">
      <c r="A90" s="64" t="str">
        <f t="shared" si="0"/>
        <v>L_C20_2w6</v>
      </c>
      <c r="B90" s="64"/>
      <c r="C90" s="18">
        <f>IF(C39=0,"0",IF(AND(Results!$C$5="Protein",C$51&gt;0,OR(Results!$C$4="Tissue",Results!$C$4="Cells")),((C39)/(C$3*C$51)),IF(AND(Results!$C$5="Weight",C$50&gt;0,Results!$C$4="Tissue"),((C39)/(C$3*C$50)),IF(AND(Results!$C$5="Volume",C$52&gt;0,Results!$C$4="Fluid"),((C39)/(C$3*C$52)),IF(AND(Results!$C$4="Cells",Results!$C$5="Million"),((C39)/(C$3*C$50)),"-")))))</f>
        <v>1.8473220738375658E-2</v>
      </c>
      <c r="D90" s="18">
        <f>IF(D39=0,"0",IF(AND(Results!$C$5="Protein",D$51&gt;0,OR(Results!$C$4="Tissue",Results!$C$4="Cells")),((D39)/(D$3*D$51)),IF(AND(Results!$C$5="Weight",D$50&gt;0,Results!$C$4="Tissue"),((D39)/(D$3*D$50)),IF(AND(Results!$C$5="Volume",D$52&gt;0,Results!$C$4="Fluid"),((D39)/(D$3*D$52)),IF(AND(Results!$C$4="Cells",Results!$C$5="Million"),((D39)/(D$3*D$50)),"-")))))</f>
        <v>3.4422371860303023E-2</v>
      </c>
      <c r="E90" s="18">
        <f>IF(E39=0,"0",IF(AND(Results!$C$5="Protein",E$51&gt;0,OR(Results!$C$4="Tissue",Results!$C$4="Cells")),((E39)/(E$3*E$51)),IF(AND(Results!$C$5="Weight",E$50&gt;0,Results!$C$4="Tissue"),((E39)/(E$3*E$50)),IF(AND(Results!$C$5="Volume",E$52&gt;0,Results!$C$4="Fluid"),((E39)/(E$3*E$52)),IF(AND(Results!$C$4="Cells",Results!$C$5="Million"),((E39)/(E$3*E$50)),"-")))))</f>
        <v>2.2023439919507563E-2</v>
      </c>
      <c r="F90" s="18">
        <f>IF(F39=0,"0",IF(AND(Results!$C$5="Protein",F$51&gt;0,OR(Results!$C$4="Tissue",Results!$C$4="Cells")),((F39)/(F$3*F$51)),IF(AND(Results!$C$5="Weight",F$50&gt;0,Results!$C$4="Tissue"),((F39)/(F$3*F$50)),IF(AND(Results!$C$5="Volume",F$52&gt;0,Results!$C$4="Fluid"),((F39)/(F$3*F$52)),IF(AND(Results!$C$4="Cells",Results!$C$5="Million"),((F39)/(F$3*F$50)),"-")))))</f>
        <v>1.5856965054204239E-2</v>
      </c>
      <c r="G90" s="18">
        <f>IF(G39=0,"0",IF(AND(Results!$C$5="Protein",G$51&gt;0,OR(Results!$C$4="Tissue",Results!$C$4="Cells")),((G39)/(G$3*G$51)),IF(AND(Results!$C$5="Weight",G$50&gt;0,Results!$C$4="Tissue"),((G39)/(G$3*G$50)),IF(AND(Results!$C$5="Volume",G$52&gt;0,Results!$C$4="Fluid"),((G39)/(G$3*G$52)),IF(AND(Results!$C$4="Cells",Results!$C$5="Million"),((G39)/(G$3*G$50)),"-")))))</f>
        <v>2.84094836791473E-2</v>
      </c>
      <c r="H90" s="18">
        <f>IF(H39=0,"0",IF(AND(Results!$C$5="Protein",H$51&gt;0,OR(Results!$C$4="Tissue",Results!$C$4="Cells")),((H39)/(H$3*H$51)),IF(AND(Results!$C$5="Weight",H$50&gt;0,Results!$C$4="Tissue"),((H39)/(H$3*H$50)),IF(AND(Results!$C$5="Volume",H$52&gt;0,Results!$C$4="Fluid"),((H39)/(H$3*H$52)),IF(AND(Results!$C$4="Cells",Results!$C$5="Million"),((H39)/(H$3*H$50)),"-")))))</f>
        <v>1.7635769486737052E-2</v>
      </c>
      <c r="I90" s="18">
        <f>IF(I39=0,"0",IF(AND(Results!$C$5="Protein",I$51&gt;0,OR(Results!$C$4="Tissue",Results!$C$4="Cells")),((I39)/(I$3*I$51)),IF(AND(Results!$C$5="Weight",I$50&gt;0,Results!$C$4="Tissue"),((I39)/(I$3*I$50)),IF(AND(Results!$C$5="Volume",I$52&gt;0,Results!$C$4="Fluid"),((I39)/(I$3*I$52)),IF(AND(Results!$C$4="Cells",Results!$C$5="Million"),((I39)/(I$3*I$50)),"-")))))</f>
        <v>1.6234653539214192E-2</v>
      </c>
      <c r="J90" s="18">
        <f>IF(J39=0,"0",IF(AND(Results!$C$5="Protein",J$51&gt;0,OR(Results!$C$4="Tissue",Results!$C$4="Cells")),((J39)/(J$3*J$51)),IF(AND(Results!$C$5="Weight",J$50&gt;0,Results!$C$4="Tissue"),((J39)/(J$3*J$50)),IF(AND(Results!$C$5="Volume",J$52&gt;0,Results!$C$4="Fluid"),((J39)/(J$3*J$52)),IF(AND(Results!$C$4="Cells",Results!$C$5="Million"),((J39)/(J$3*J$50)),"-")))))</f>
        <v>1.3376505145531141E-2</v>
      </c>
      <c r="K90" s="18">
        <f>IF(K39=0,"0",IF(AND(Results!$C$5="Protein",K$51&gt;0,OR(Results!$C$4="Tissue",Results!$C$4="Cells")),((K39)/(K$3*K$51)),IF(AND(Results!$C$5="Weight",K$50&gt;0,Results!$C$4="Tissue"),((K39)/(K$3*K$50)),IF(AND(Results!$C$5="Volume",K$52&gt;0,Results!$C$4="Fluid"),((K39)/(K$3*K$52)),IF(AND(Results!$C$4="Cells",Results!$C$5="Million"),((K39)/(K$3*K$50)),"-")))))</f>
        <v>9.8003706875822126E-3</v>
      </c>
      <c r="L90" s="18">
        <f>IF(L39=0,"0",IF(AND(Results!$C$5="Protein",L$51&gt;0,OR(Results!$C$4="Tissue",Results!$C$4="Cells")),((L39)/(L$3*L$51)),IF(AND(Results!$C$5="Weight",L$50&gt;0,Results!$C$4="Tissue"),((L39)/(L$3*L$50)),IF(AND(Results!$C$5="Volume",L$52&gt;0,Results!$C$4="Fluid"),((L39)/(L$3*L$52)),IF(AND(Results!$C$4="Cells",Results!$C$5="Million"),((L39)/(L$3*L$50)),"-")))))</f>
        <v>1.5022201221381348E-2</v>
      </c>
      <c r="M90" s="18">
        <f>IF(M39=0,"0",IF(AND(Results!$C$5="Protein",M$51&gt;0,OR(Results!$C$4="Tissue",Results!$C$4="Cells")),((M39)/(M$3*M$51)),IF(AND(Results!$C$5="Weight",M$50&gt;0,Results!$C$4="Tissue"),((M39)/(M$3*M$50)),IF(AND(Results!$C$5="Volume",M$52&gt;0,Results!$C$4="Fluid"),((M39)/(M$3*M$52)),IF(AND(Results!$C$4="Cells",Results!$C$5="Million"),((M39)/(M$3*M$50)),"-")))))</f>
        <v>1.5318592654650489E-2</v>
      </c>
      <c r="N90" s="18">
        <f>IF(N39=0,"0",IF(AND(Results!$C$5="Protein",N$51&gt;0,OR(Results!$C$4="Tissue",Results!$C$4="Cells")),((N39)/(N$3*N$51)),IF(AND(Results!$C$5="Weight",N$50&gt;0,Results!$C$4="Tissue"),((N39)/(N$3*N$50)),IF(AND(Results!$C$5="Volume",N$52&gt;0,Results!$C$4="Fluid"),((N39)/(N$3*N$52)),IF(AND(Results!$C$4="Cells",Results!$C$5="Million"),((N39)/(N$3*N$50)),"-")))))</f>
        <v>1.4831151003823378E-2</v>
      </c>
      <c r="O90" s="18">
        <f>IF(O39=0,"0",IF(AND(Results!$C$5="Protein",O$51&gt;0,OR(Results!$C$4="Tissue",Results!$C$4="Cells")),((O39)/(O$3*O$51)),IF(AND(Results!$C$5="Weight",O$50&gt;0,Results!$C$4="Tissue"),((O39)/(O$3*O$50)),IF(AND(Results!$C$5="Volume",O$52&gt;0,Results!$C$4="Fluid"),((O39)/(O$3*O$52)),IF(AND(Results!$C$4="Cells",Results!$C$5="Million"),((O39)/(O$3*O$50)),"-")))))</f>
        <v>1.7577466139371504E-2</v>
      </c>
      <c r="P90" s="18">
        <f>IF(P39=0,"0",IF(AND(Results!$C$5="Protein",P$51&gt;0,OR(Results!$C$4="Tissue",Results!$C$4="Cells")),((P39)/(P$3*P$51)),IF(AND(Results!$C$5="Weight",P$50&gt;0,Results!$C$4="Tissue"),((P39)/(P$3*P$50)),IF(AND(Results!$C$5="Volume",P$52&gt;0,Results!$C$4="Fluid"),((P39)/(P$3*P$52)),IF(AND(Results!$C$4="Cells",Results!$C$5="Million"),((P39)/(P$3*P$50)),"-")))))</f>
        <v>3.4743934330341959E-2</v>
      </c>
      <c r="Q90" s="18">
        <f>IF(Q39=0,"0",IF(AND(Results!$C$5="Protein",Q$51&gt;0,OR(Results!$C$4="Tissue",Results!$C$4="Cells")),((Q39)/(Q$3*Q$51)),IF(AND(Results!$C$5="Weight",Q$50&gt;0,Results!$C$4="Tissue"),((Q39)/(Q$3*Q$50)),IF(AND(Results!$C$5="Volume",Q$52&gt;0,Results!$C$4="Fluid"),((Q39)/(Q$3*Q$52)),IF(AND(Results!$C$4="Cells",Results!$C$5="Million"),((Q39)/(Q$3*Q$50)),"-")))))</f>
        <v>2.1370135079735866E-2</v>
      </c>
      <c r="R90" s="18">
        <f>IF(R39=0,"0",IF(AND(Results!$C$5="Protein",R$51&gt;0,OR(Results!$C$4="Tissue",Results!$C$4="Cells")),((R39)/(R$3*R$51)),IF(AND(Results!$C$5="Weight",R$50&gt;0,Results!$C$4="Tissue"),((R39)/(R$3*R$50)),IF(AND(Results!$C$5="Volume",R$52&gt;0,Results!$C$4="Fluid"),((R39)/(R$3*R$52)),IF(AND(Results!$C$4="Cells",Results!$C$5="Million"),((R39)/(R$3*R$50)),"-")))))</f>
        <v>1.4872278645943603E-2</v>
      </c>
      <c r="S90" s="18">
        <f>IF(S39=0,"0",IF(AND(Results!$C$5="Protein",S$51&gt;0,OR(Results!$C$4="Tissue",Results!$C$4="Cells")),((S39)/(S$3*S$51)),IF(AND(Results!$C$5="Weight",S$50&gt;0,Results!$C$4="Tissue"),((S39)/(S$3*S$50)),IF(AND(Results!$C$5="Volume",S$52&gt;0,Results!$C$4="Fluid"),((S39)/(S$3*S$52)),IF(AND(Results!$C$4="Cells",Results!$C$5="Million"),((S39)/(S$3*S$50)),"-")))))</f>
        <v>2.2151533184384613E-2</v>
      </c>
      <c r="T90" s="18">
        <f>IF(T39=0,"0",IF(AND(Results!$C$5="Protein",T$51&gt;0,OR(Results!$C$4="Tissue",Results!$C$4="Cells")),((T39)/(T$3*T$51)),IF(AND(Results!$C$5="Weight",T$50&gt;0,Results!$C$4="Tissue"),((T39)/(T$3*T$50)),IF(AND(Results!$C$5="Volume",T$52&gt;0,Results!$C$4="Fluid"),((T39)/(T$3*T$52)),IF(AND(Results!$C$4="Cells",Results!$C$5="Million"),((T39)/(T$3*T$50)),"-")))))</f>
        <v>2.3731044566058096E-2</v>
      </c>
      <c r="U90" s="18">
        <f>IF(U39=0,"0",IF(AND(Results!$C$5="Protein",U$51&gt;0,OR(Results!$C$4="Tissue",Results!$C$4="Cells")),((U39)/(U$3*U$51)),IF(AND(Results!$C$5="Weight",U$50&gt;0,Results!$C$4="Tissue"),((U39)/(U$3*U$50)),IF(AND(Results!$C$5="Volume",U$52&gt;0,Results!$C$4="Fluid"),((U39)/(U$3*U$52)),IF(AND(Results!$C$4="Cells",Results!$C$5="Million"),((U39)/(U$3*U$50)),"-")))))</f>
        <v>6.4136824137229209E-2</v>
      </c>
      <c r="V90" s="18">
        <f>IF(V39=0,"0",IF(AND(Results!$C$5="Protein",V$51&gt;0,OR(Results!$C$4="Tissue",Results!$C$4="Cells")),((V39)/(V$3*V$51)),IF(AND(Results!$C$5="Weight",V$50&gt;0,Results!$C$4="Tissue"),((V39)/(V$3*V$50)),IF(AND(Results!$C$5="Volume",V$52&gt;0,Results!$C$4="Fluid"),((V39)/(V$3*V$52)),IF(AND(Results!$C$4="Cells",Results!$C$5="Million"),((V39)/(V$3*V$50)),"-")))))</f>
        <v>2.0404772946730817E-2</v>
      </c>
    </row>
    <row r="91" spans="1:22" x14ac:dyDescent="0.25">
      <c r="A91" s="64" t="str">
        <f t="shared" si="0"/>
        <v>L_C20_3w3</v>
      </c>
      <c r="B91" s="64"/>
      <c r="C91" s="18" t="str">
        <f>IF(C40=0,"0",IF(AND(Results!$C$5="Protein",C$51&gt;0,OR(Results!$C$4="Tissue",Results!$C$4="Cells")),((C40)/(C$3*C$51)),IF(AND(Results!$C$5="Weight",C$50&gt;0,Results!$C$4="Tissue"),((C40)/(C$3*C$50)),IF(AND(Results!$C$5="Volume",C$52&gt;0,Results!$C$4="Fluid"),((C40)/(C$3*C$52)),IF(AND(Results!$C$4="Cells",Results!$C$5="Million"),((C40)/(C$3*C$50)),"-")))))</f>
        <v>0</v>
      </c>
      <c r="D91" s="18" t="str">
        <f>IF(D40=0,"0",IF(AND(Results!$C$5="Protein",D$51&gt;0,OR(Results!$C$4="Tissue",Results!$C$4="Cells")),((D40)/(D$3*D$51)),IF(AND(Results!$C$5="Weight",D$50&gt;0,Results!$C$4="Tissue"),((D40)/(D$3*D$50)),IF(AND(Results!$C$5="Volume",D$52&gt;0,Results!$C$4="Fluid"),((D40)/(D$3*D$52)),IF(AND(Results!$C$4="Cells",Results!$C$5="Million"),((D40)/(D$3*D$50)),"-")))))</f>
        <v>0</v>
      </c>
      <c r="E91" s="18" t="str">
        <f>IF(E40=0,"0",IF(AND(Results!$C$5="Protein",E$51&gt;0,OR(Results!$C$4="Tissue",Results!$C$4="Cells")),((E40)/(E$3*E$51)),IF(AND(Results!$C$5="Weight",E$50&gt;0,Results!$C$4="Tissue"),((E40)/(E$3*E$50)),IF(AND(Results!$C$5="Volume",E$52&gt;0,Results!$C$4="Fluid"),((E40)/(E$3*E$52)),IF(AND(Results!$C$4="Cells",Results!$C$5="Million"),((E40)/(E$3*E$50)),"-")))))</f>
        <v>0</v>
      </c>
      <c r="F91" s="18" t="str">
        <f>IF(F40=0,"0",IF(AND(Results!$C$5="Protein",F$51&gt;0,OR(Results!$C$4="Tissue",Results!$C$4="Cells")),((F40)/(F$3*F$51)),IF(AND(Results!$C$5="Weight",F$50&gt;0,Results!$C$4="Tissue"),((F40)/(F$3*F$50)),IF(AND(Results!$C$5="Volume",F$52&gt;0,Results!$C$4="Fluid"),((F40)/(F$3*F$52)),IF(AND(Results!$C$4="Cells",Results!$C$5="Million"),((F40)/(F$3*F$50)),"-")))))</f>
        <v>0</v>
      </c>
      <c r="G91" s="18" t="str">
        <f>IF(G40=0,"0",IF(AND(Results!$C$5="Protein",G$51&gt;0,OR(Results!$C$4="Tissue",Results!$C$4="Cells")),((G40)/(G$3*G$51)),IF(AND(Results!$C$5="Weight",G$50&gt;0,Results!$C$4="Tissue"),((G40)/(G$3*G$50)),IF(AND(Results!$C$5="Volume",G$52&gt;0,Results!$C$4="Fluid"),((G40)/(G$3*G$52)),IF(AND(Results!$C$4="Cells",Results!$C$5="Million"),((G40)/(G$3*G$50)),"-")))))</f>
        <v>0</v>
      </c>
      <c r="H91" s="18" t="str">
        <f>IF(H40=0,"0",IF(AND(Results!$C$5="Protein",H$51&gt;0,OR(Results!$C$4="Tissue",Results!$C$4="Cells")),((H40)/(H$3*H$51)),IF(AND(Results!$C$5="Weight",H$50&gt;0,Results!$C$4="Tissue"),((H40)/(H$3*H$50)),IF(AND(Results!$C$5="Volume",H$52&gt;0,Results!$C$4="Fluid"),((H40)/(H$3*H$52)),IF(AND(Results!$C$4="Cells",Results!$C$5="Million"),((H40)/(H$3*H$50)),"-")))))</f>
        <v>0</v>
      </c>
      <c r="I91" s="18" t="str">
        <f>IF(I40=0,"0",IF(AND(Results!$C$5="Protein",I$51&gt;0,OR(Results!$C$4="Tissue",Results!$C$4="Cells")),((I40)/(I$3*I$51)),IF(AND(Results!$C$5="Weight",I$50&gt;0,Results!$C$4="Tissue"),((I40)/(I$3*I$50)),IF(AND(Results!$C$5="Volume",I$52&gt;0,Results!$C$4="Fluid"),((I40)/(I$3*I$52)),IF(AND(Results!$C$4="Cells",Results!$C$5="Million"),((I40)/(I$3*I$50)),"-")))))</f>
        <v>0</v>
      </c>
      <c r="J91" s="18" t="str">
        <f>IF(J40=0,"0",IF(AND(Results!$C$5="Protein",J$51&gt;0,OR(Results!$C$4="Tissue",Results!$C$4="Cells")),((J40)/(J$3*J$51)),IF(AND(Results!$C$5="Weight",J$50&gt;0,Results!$C$4="Tissue"),((J40)/(J$3*J$50)),IF(AND(Results!$C$5="Volume",J$52&gt;0,Results!$C$4="Fluid"),((J40)/(J$3*J$52)),IF(AND(Results!$C$4="Cells",Results!$C$5="Million"),((J40)/(J$3*J$50)),"-")))))</f>
        <v>0</v>
      </c>
      <c r="K91" s="18" t="str">
        <f>IF(K40=0,"0",IF(AND(Results!$C$5="Protein",K$51&gt;0,OR(Results!$C$4="Tissue",Results!$C$4="Cells")),((K40)/(K$3*K$51)),IF(AND(Results!$C$5="Weight",K$50&gt;0,Results!$C$4="Tissue"),((K40)/(K$3*K$50)),IF(AND(Results!$C$5="Volume",K$52&gt;0,Results!$C$4="Fluid"),((K40)/(K$3*K$52)),IF(AND(Results!$C$4="Cells",Results!$C$5="Million"),((K40)/(K$3*K$50)),"-")))))</f>
        <v>0</v>
      </c>
      <c r="L91" s="18" t="str">
        <f>IF(L40=0,"0",IF(AND(Results!$C$5="Protein",L$51&gt;0,OR(Results!$C$4="Tissue",Results!$C$4="Cells")),((L40)/(L$3*L$51)),IF(AND(Results!$C$5="Weight",L$50&gt;0,Results!$C$4="Tissue"),((L40)/(L$3*L$50)),IF(AND(Results!$C$5="Volume",L$52&gt;0,Results!$C$4="Fluid"),((L40)/(L$3*L$52)),IF(AND(Results!$C$4="Cells",Results!$C$5="Million"),((L40)/(L$3*L$50)),"-")))))</f>
        <v>0</v>
      </c>
      <c r="M91" s="18" t="str">
        <f>IF(M40=0,"0",IF(AND(Results!$C$5="Protein",M$51&gt;0,OR(Results!$C$4="Tissue",Results!$C$4="Cells")),((M40)/(M$3*M$51)),IF(AND(Results!$C$5="Weight",M$50&gt;0,Results!$C$4="Tissue"),((M40)/(M$3*M$50)),IF(AND(Results!$C$5="Volume",M$52&gt;0,Results!$C$4="Fluid"),((M40)/(M$3*M$52)),IF(AND(Results!$C$4="Cells",Results!$C$5="Million"),((M40)/(M$3*M$50)),"-")))))</f>
        <v>0</v>
      </c>
      <c r="N91" s="18" t="str">
        <f>IF(N40=0,"0",IF(AND(Results!$C$5="Protein",N$51&gt;0,OR(Results!$C$4="Tissue",Results!$C$4="Cells")),((N40)/(N$3*N$51)),IF(AND(Results!$C$5="Weight",N$50&gt;0,Results!$C$4="Tissue"),((N40)/(N$3*N$50)),IF(AND(Results!$C$5="Volume",N$52&gt;0,Results!$C$4="Fluid"),((N40)/(N$3*N$52)),IF(AND(Results!$C$4="Cells",Results!$C$5="Million"),((N40)/(N$3*N$50)),"-")))))</f>
        <v>0</v>
      </c>
      <c r="O91" s="18" t="str">
        <f>IF(O40=0,"0",IF(AND(Results!$C$5="Protein",O$51&gt;0,OR(Results!$C$4="Tissue",Results!$C$4="Cells")),((O40)/(O$3*O$51)),IF(AND(Results!$C$5="Weight",O$50&gt;0,Results!$C$4="Tissue"),((O40)/(O$3*O$50)),IF(AND(Results!$C$5="Volume",O$52&gt;0,Results!$C$4="Fluid"),((O40)/(O$3*O$52)),IF(AND(Results!$C$4="Cells",Results!$C$5="Million"),((O40)/(O$3*O$50)),"-")))))</f>
        <v>0</v>
      </c>
      <c r="P91" s="18" t="str">
        <f>IF(P40=0,"0",IF(AND(Results!$C$5="Protein",P$51&gt;0,OR(Results!$C$4="Tissue",Results!$C$4="Cells")),((P40)/(P$3*P$51)),IF(AND(Results!$C$5="Weight",P$50&gt;0,Results!$C$4="Tissue"),((P40)/(P$3*P$50)),IF(AND(Results!$C$5="Volume",P$52&gt;0,Results!$C$4="Fluid"),((P40)/(P$3*P$52)),IF(AND(Results!$C$4="Cells",Results!$C$5="Million"),((P40)/(P$3*P$50)),"-")))))</f>
        <v>0</v>
      </c>
      <c r="Q91" s="18" t="str">
        <f>IF(Q40=0,"0",IF(AND(Results!$C$5="Protein",Q$51&gt;0,OR(Results!$C$4="Tissue",Results!$C$4="Cells")),((Q40)/(Q$3*Q$51)),IF(AND(Results!$C$5="Weight",Q$50&gt;0,Results!$C$4="Tissue"),((Q40)/(Q$3*Q$50)),IF(AND(Results!$C$5="Volume",Q$52&gt;0,Results!$C$4="Fluid"),((Q40)/(Q$3*Q$52)),IF(AND(Results!$C$4="Cells",Results!$C$5="Million"),((Q40)/(Q$3*Q$50)),"-")))))</f>
        <v>0</v>
      </c>
      <c r="R91" s="18" t="str">
        <f>IF(R40=0,"0",IF(AND(Results!$C$5="Protein",R$51&gt;0,OR(Results!$C$4="Tissue",Results!$C$4="Cells")),((R40)/(R$3*R$51)),IF(AND(Results!$C$5="Weight",R$50&gt;0,Results!$C$4="Tissue"),((R40)/(R$3*R$50)),IF(AND(Results!$C$5="Volume",R$52&gt;0,Results!$C$4="Fluid"),((R40)/(R$3*R$52)),IF(AND(Results!$C$4="Cells",Results!$C$5="Million"),((R40)/(R$3*R$50)),"-")))))</f>
        <v>0</v>
      </c>
      <c r="S91" s="18" t="str">
        <f>IF(S40=0,"0",IF(AND(Results!$C$5="Protein",S$51&gt;0,OR(Results!$C$4="Tissue",Results!$C$4="Cells")),((S40)/(S$3*S$51)),IF(AND(Results!$C$5="Weight",S$50&gt;0,Results!$C$4="Tissue"),((S40)/(S$3*S$50)),IF(AND(Results!$C$5="Volume",S$52&gt;0,Results!$C$4="Fluid"),((S40)/(S$3*S$52)),IF(AND(Results!$C$4="Cells",Results!$C$5="Million"),((S40)/(S$3*S$50)),"-")))))</f>
        <v>0</v>
      </c>
      <c r="T91" s="18" t="str">
        <f>IF(T40=0,"0",IF(AND(Results!$C$5="Protein",T$51&gt;0,OR(Results!$C$4="Tissue",Results!$C$4="Cells")),((T40)/(T$3*T$51)),IF(AND(Results!$C$5="Weight",T$50&gt;0,Results!$C$4="Tissue"),((T40)/(T$3*T$50)),IF(AND(Results!$C$5="Volume",T$52&gt;0,Results!$C$4="Fluid"),((T40)/(T$3*T$52)),IF(AND(Results!$C$4="Cells",Results!$C$5="Million"),((T40)/(T$3*T$50)),"-")))))</f>
        <v>0</v>
      </c>
      <c r="U91" s="18" t="str">
        <f>IF(U40=0,"0",IF(AND(Results!$C$5="Protein",U$51&gt;0,OR(Results!$C$4="Tissue",Results!$C$4="Cells")),((U40)/(U$3*U$51)),IF(AND(Results!$C$5="Weight",U$50&gt;0,Results!$C$4="Tissue"),((U40)/(U$3*U$50)),IF(AND(Results!$C$5="Volume",U$52&gt;0,Results!$C$4="Fluid"),((U40)/(U$3*U$52)),IF(AND(Results!$C$4="Cells",Results!$C$5="Million"),((U40)/(U$3*U$50)),"-")))))</f>
        <v>0</v>
      </c>
      <c r="V91" s="18" t="str">
        <f>IF(V40=0,"0",IF(AND(Results!$C$5="Protein",V$51&gt;0,OR(Results!$C$4="Tissue",Results!$C$4="Cells")),((V40)/(V$3*V$51)),IF(AND(Results!$C$5="Weight",V$50&gt;0,Results!$C$4="Tissue"),((V40)/(V$3*V$50)),IF(AND(Results!$C$5="Volume",V$52&gt;0,Results!$C$4="Fluid"),((V40)/(V$3*V$52)),IF(AND(Results!$C$4="Cells",Results!$C$5="Million"),((V40)/(V$3*V$50)),"-")))))</f>
        <v>0</v>
      </c>
    </row>
    <row r="92" spans="1:22" x14ac:dyDescent="0.25">
      <c r="A92" s="64" t="str">
        <f t="shared" si="0"/>
        <v>L_C20_3w6</v>
      </c>
      <c r="B92" s="64"/>
      <c r="C92" s="18">
        <f>IF(C41=0,"0",IF(AND(Results!$C$5="Protein",C$51&gt;0,OR(Results!$C$4="Tissue",Results!$C$4="Cells")),((C41)/(C$3*C$51)),IF(AND(Results!$C$5="Weight",C$50&gt;0,Results!$C$4="Tissue"),((C41)/(C$3*C$50)),IF(AND(Results!$C$5="Volume",C$52&gt;0,Results!$C$4="Fluid"),((C41)/(C$3*C$52)),IF(AND(Results!$C$4="Cells",Results!$C$5="Million"),((C41)/(C$3*C$50)),"-")))))</f>
        <v>8.3383651475715165E-2</v>
      </c>
      <c r="D92" s="18">
        <f>IF(D41=0,"0",IF(AND(Results!$C$5="Protein",D$51&gt;0,OR(Results!$C$4="Tissue",Results!$C$4="Cells")),((D41)/(D$3*D$51)),IF(AND(Results!$C$5="Weight",D$50&gt;0,Results!$C$4="Tissue"),((D41)/(D$3*D$50)),IF(AND(Results!$C$5="Volume",D$52&gt;0,Results!$C$4="Fluid"),((D41)/(D$3*D$52)),IF(AND(Results!$C$4="Cells",Results!$C$5="Million"),((D41)/(D$3*D$50)),"-")))))</f>
        <v>0.13322837978362317</v>
      </c>
      <c r="E92" s="18">
        <f>IF(E41=0,"0",IF(AND(Results!$C$5="Protein",E$51&gt;0,OR(Results!$C$4="Tissue",Results!$C$4="Cells")),((E41)/(E$3*E$51)),IF(AND(Results!$C$5="Weight",E$50&gt;0,Results!$C$4="Tissue"),((E41)/(E$3*E$50)),IF(AND(Results!$C$5="Volume",E$52&gt;0,Results!$C$4="Fluid"),((E41)/(E$3*E$52)),IF(AND(Results!$C$4="Cells",Results!$C$5="Million"),((E41)/(E$3*E$50)),"-")))))</f>
        <v>0.10413160892252088</v>
      </c>
      <c r="F92" s="18">
        <f>IF(F41=0,"0",IF(AND(Results!$C$5="Protein",F$51&gt;0,OR(Results!$C$4="Tissue",Results!$C$4="Cells")),((F41)/(F$3*F$51)),IF(AND(Results!$C$5="Weight",F$50&gt;0,Results!$C$4="Tissue"),((F41)/(F$3*F$50)),IF(AND(Results!$C$5="Volume",F$52&gt;0,Results!$C$4="Fluid"),((F41)/(F$3*F$52)),IF(AND(Results!$C$4="Cells",Results!$C$5="Million"),((F41)/(F$3*F$50)),"-")))))</f>
        <v>6.8346928724146203E-2</v>
      </c>
      <c r="G92" s="18">
        <f>IF(G41=0,"0",IF(AND(Results!$C$5="Protein",G$51&gt;0,OR(Results!$C$4="Tissue",Results!$C$4="Cells")),((G41)/(G$3*G$51)),IF(AND(Results!$C$5="Weight",G$50&gt;0,Results!$C$4="Tissue"),((G41)/(G$3*G$50)),IF(AND(Results!$C$5="Volume",G$52&gt;0,Results!$C$4="Fluid"),((G41)/(G$3*G$52)),IF(AND(Results!$C$4="Cells",Results!$C$5="Million"),((G41)/(G$3*G$50)),"-")))))</f>
        <v>9.4294518167601774E-2</v>
      </c>
      <c r="H92" s="18">
        <f>IF(H41=0,"0",IF(AND(Results!$C$5="Protein",H$51&gt;0,OR(Results!$C$4="Tissue",Results!$C$4="Cells")),((H41)/(H$3*H$51)),IF(AND(Results!$C$5="Weight",H$50&gt;0,Results!$C$4="Tissue"),((H41)/(H$3*H$50)),IF(AND(Results!$C$5="Volume",H$52&gt;0,Results!$C$4="Fluid"),((H41)/(H$3*H$52)),IF(AND(Results!$C$4="Cells",Results!$C$5="Million"),((H41)/(H$3*H$50)),"-")))))</f>
        <v>6.0036809433441855E-2</v>
      </c>
      <c r="I92" s="18">
        <f>IF(I41=0,"0",IF(AND(Results!$C$5="Protein",I$51&gt;0,OR(Results!$C$4="Tissue",Results!$C$4="Cells")),((I41)/(I$3*I$51)),IF(AND(Results!$C$5="Weight",I$50&gt;0,Results!$C$4="Tissue"),((I41)/(I$3*I$50)),IF(AND(Results!$C$5="Volume",I$52&gt;0,Results!$C$4="Fluid"),((I41)/(I$3*I$52)),IF(AND(Results!$C$4="Cells",Results!$C$5="Million"),((I41)/(I$3*I$50)),"-")))))</f>
        <v>4.9641332870794155E-2</v>
      </c>
      <c r="J92" s="18">
        <f>IF(J41=0,"0",IF(AND(Results!$C$5="Protein",J$51&gt;0,OR(Results!$C$4="Tissue",Results!$C$4="Cells")),((J41)/(J$3*J$51)),IF(AND(Results!$C$5="Weight",J$50&gt;0,Results!$C$4="Tissue"),((J41)/(J$3*J$50)),IF(AND(Results!$C$5="Volume",J$52&gt;0,Results!$C$4="Fluid"),((J41)/(J$3*J$52)),IF(AND(Results!$C$4="Cells",Results!$C$5="Million"),((J41)/(J$3*J$50)),"-")))))</f>
        <v>5.704596078479103E-2</v>
      </c>
      <c r="K92" s="18">
        <f>IF(K41=0,"0",IF(AND(Results!$C$5="Protein",K$51&gt;0,OR(Results!$C$4="Tissue",Results!$C$4="Cells")),((K41)/(K$3*K$51)),IF(AND(Results!$C$5="Weight",K$50&gt;0,Results!$C$4="Tissue"),((K41)/(K$3*K$50)),IF(AND(Results!$C$5="Volume",K$52&gt;0,Results!$C$4="Fluid"),((K41)/(K$3*K$52)),IF(AND(Results!$C$4="Cells",Results!$C$5="Million"),((K41)/(K$3*K$50)),"-")))))</f>
        <v>6.000727528495909E-2</v>
      </c>
      <c r="L92" s="18">
        <f>IF(L41=0,"0",IF(AND(Results!$C$5="Protein",L$51&gt;0,OR(Results!$C$4="Tissue",Results!$C$4="Cells")),((L41)/(L$3*L$51)),IF(AND(Results!$C$5="Weight",L$50&gt;0,Results!$C$4="Tissue"),((L41)/(L$3*L$50)),IF(AND(Results!$C$5="Volume",L$52&gt;0,Results!$C$4="Fluid"),((L41)/(L$3*L$52)),IF(AND(Results!$C$4="Cells",Results!$C$5="Million"),((L41)/(L$3*L$50)),"-")))))</f>
        <v>7.3485178102725063E-2</v>
      </c>
      <c r="M92" s="18">
        <f>IF(M41=0,"0",IF(AND(Results!$C$5="Protein",M$51&gt;0,OR(Results!$C$4="Tissue",Results!$C$4="Cells")),((M41)/(M$3*M$51)),IF(AND(Results!$C$5="Weight",M$50&gt;0,Results!$C$4="Tissue"),((M41)/(M$3*M$50)),IF(AND(Results!$C$5="Volume",M$52&gt;0,Results!$C$4="Fluid"),((M41)/(M$3*M$52)),IF(AND(Results!$C$4="Cells",Results!$C$5="Million"),((M41)/(M$3*M$50)),"-")))))</f>
        <v>6.5045876313970588E-2</v>
      </c>
      <c r="N92" s="18">
        <f>IF(N41=0,"0",IF(AND(Results!$C$5="Protein",N$51&gt;0,OR(Results!$C$4="Tissue",Results!$C$4="Cells")),((N41)/(N$3*N$51)),IF(AND(Results!$C$5="Weight",N$50&gt;0,Results!$C$4="Tissue"),((N41)/(N$3*N$50)),IF(AND(Results!$C$5="Volume",N$52&gt;0,Results!$C$4="Fluid"),((N41)/(N$3*N$52)),IF(AND(Results!$C$4="Cells",Results!$C$5="Million"),((N41)/(N$3*N$50)),"-")))))</f>
        <v>6.1425357329776019E-2</v>
      </c>
      <c r="O92" s="18">
        <f>IF(O41=0,"0",IF(AND(Results!$C$5="Protein",O$51&gt;0,OR(Results!$C$4="Tissue",Results!$C$4="Cells")),((O41)/(O$3*O$51)),IF(AND(Results!$C$5="Weight",O$50&gt;0,Results!$C$4="Tissue"),((O41)/(O$3*O$50)),IF(AND(Results!$C$5="Volume",O$52&gt;0,Results!$C$4="Fluid"),((O41)/(O$3*O$52)),IF(AND(Results!$C$4="Cells",Results!$C$5="Million"),((O41)/(O$3*O$50)),"-")))))</f>
        <v>9.8377532886429725E-2</v>
      </c>
      <c r="P92" s="18">
        <f>IF(P41=0,"0",IF(AND(Results!$C$5="Protein",P$51&gt;0,OR(Results!$C$4="Tissue",Results!$C$4="Cells")),((P41)/(P$3*P$51)),IF(AND(Results!$C$5="Weight",P$50&gt;0,Results!$C$4="Tissue"),((P41)/(P$3*P$50)),IF(AND(Results!$C$5="Volume",P$52&gt;0,Results!$C$4="Fluid"),((P41)/(P$3*P$52)),IF(AND(Results!$C$4="Cells",Results!$C$5="Million"),((P41)/(P$3*P$50)),"-")))))</f>
        <v>0.16083383024404319</v>
      </c>
      <c r="Q92" s="18">
        <f>IF(Q41=0,"0",IF(AND(Results!$C$5="Protein",Q$51&gt;0,OR(Results!$C$4="Tissue",Results!$C$4="Cells")),((Q41)/(Q$3*Q$51)),IF(AND(Results!$C$5="Weight",Q$50&gt;0,Results!$C$4="Tissue"),((Q41)/(Q$3*Q$50)),IF(AND(Results!$C$5="Volume",Q$52&gt;0,Results!$C$4="Fluid"),((Q41)/(Q$3*Q$52)),IF(AND(Results!$C$4="Cells",Results!$C$5="Million"),((Q41)/(Q$3*Q$50)),"-")))))</f>
        <v>0.14836198518624047</v>
      </c>
      <c r="R92" s="18">
        <f>IF(R41=0,"0",IF(AND(Results!$C$5="Protein",R$51&gt;0,OR(Results!$C$4="Tissue",Results!$C$4="Cells")),((R41)/(R$3*R$51)),IF(AND(Results!$C$5="Weight",R$50&gt;0,Results!$C$4="Tissue"),((R41)/(R$3*R$50)),IF(AND(Results!$C$5="Volume",R$52&gt;0,Results!$C$4="Fluid"),((R41)/(R$3*R$52)),IF(AND(Results!$C$4="Cells",Results!$C$5="Million"),((R41)/(R$3*R$50)),"-")))))</f>
        <v>6.3738365430572541E-2</v>
      </c>
      <c r="S92" s="18">
        <f>IF(S41=0,"0",IF(AND(Results!$C$5="Protein",S$51&gt;0,OR(Results!$C$4="Tissue",Results!$C$4="Cells")),((S41)/(S$3*S$51)),IF(AND(Results!$C$5="Weight",S$50&gt;0,Results!$C$4="Tissue"),((S41)/(S$3*S$50)),IF(AND(Results!$C$5="Volume",S$52&gt;0,Results!$C$4="Fluid"),((S41)/(S$3*S$52)),IF(AND(Results!$C$4="Cells",Results!$C$5="Million"),((S41)/(S$3*S$50)),"-")))))</f>
        <v>7.5374094457063279E-2</v>
      </c>
      <c r="T92" s="18">
        <f>IF(T41=0,"0",IF(AND(Results!$C$5="Protein",T$51&gt;0,OR(Results!$C$4="Tissue",Results!$C$4="Cells")),((T41)/(T$3*T$51)),IF(AND(Results!$C$5="Weight",T$50&gt;0,Results!$C$4="Tissue"),((T41)/(T$3*T$50)),IF(AND(Results!$C$5="Volume",T$52&gt;0,Results!$C$4="Fluid"),((T41)/(T$3*T$52)),IF(AND(Results!$C$4="Cells",Results!$C$5="Million"),((T41)/(T$3*T$50)),"-")))))</f>
        <v>0.10002628952195654</v>
      </c>
      <c r="U92" s="18">
        <f>IF(U41=0,"0",IF(AND(Results!$C$5="Protein",U$51&gt;0,OR(Results!$C$4="Tissue",Results!$C$4="Cells")),((U41)/(U$3*U$51)),IF(AND(Results!$C$5="Weight",U$50&gt;0,Results!$C$4="Tissue"),((U41)/(U$3*U$50)),IF(AND(Results!$C$5="Volume",U$52&gt;0,Results!$C$4="Fluid"),((U41)/(U$3*U$52)),IF(AND(Results!$C$4="Cells",Results!$C$5="Million"),((U41)/(U$3*U$50)),"-")))))</f>
        <v>0.20270886640792274</v>
      </c>
      <c r="V92" s="18">
        <f>IF(V41=0,"0",IF(AND(Results!$C$5="Protein",V$51&gt;0,OR(Results!$C$4="Tissue",Results!$C$4="Cells")),((V41)/(V$3*V$51)),IF(AND(Results!$C$5="Weight",V$50&gt;0,Results!$C$4="Tissue"),((V41)/(V$3*V$50)),IF(AND(Results!$C$5="Volume",V$52&gt;0,Results!$C$4="Fluid"),((V41)/(V$3*V$52)),IF(AND(Results!$C$4="Cells",Results!$C$5="Million"),((V41)/(V$3*V$50)),"-")))))</f>
        <v>8.2776502058248339E-2</v>
      </c>
    </row>
    <row r="93" spans="1:22" x14ac:dyDescent="0.25">
      <c r="A93" s="64" t="str">
        <f t="shared" si="0"/>
        <v>L_C20_4w6</v>
      </c>
      <c r="B93" s="64"/>
      <c r="C93" s="18">
        <f>IF(C42=0,"0",IF(AND(Results!$C$5="Protein",C$51&gt;0,OR(Results!$C$4="Tissue",Results!$C$4="Cells")),((C42)/(C$3*C$51)),IF(AND(Results!$C$5="Weight",C$50&gt;0,Results!$C$4="Tissue"),((C42)/(C$3*C$50)),IF(AND(Results!$C$5="Volume",C$52&gt;0,Results!$C$4="Fluid"),((C42)/(C$3*C$52)),IF(AND(Results!$C$4="Cells",Results!$C$5="Million"),((C42)/(C$3*C$50)),"-")))))</f>
        <v>0.36184994579718066</v>
      </c>
      <c r="D93" s="18">
        <f>IF(D42=0,"0",IF(AND(Results!$C$5="Protein",D$51&gt;0,OR(Results!$C$4="Tissue",Results!$C$4="Cells")),((D42)/(D$3*D$51)),IF(AND(Results!$C$5="Weight",D$50&gt;0,Results!$C$4="Tissue"),((D42)/(D$3*D$50)),IF(AND(Results!$C$5="Volume",D$52&gt;0,Results!$C$4="Fluid"),((D42)/(D$3*D$52)),IF(AND(Results!$C$4="Cells",Results!$C$5="Million"),((D42)/(D$3*D$50)),"-")))))</f>
        <v>0.42273602464999294</v>
      </c>
      <c r="E93" s="18">
        <f>IF(E42=0,"0",IF(AND(Results!$C$5="Protein",E$51&gt;0,OR(Results!$C$4="Tissue",Results!$C$4="Cells")),((E42)/(E$3*E$51)),IF(AND(Results!$C$5="Weight",E$50&gt;0,Results!$C$4="Tissue"),((E42)/(E$3*E$50)),IF(AND(Results!$C$5="Volume",E$52&gt;0,Results!$C$4="Fluid"),((E42)/(E$3*E$52)),IF(AND(Results!$C$4="Cells",Results!$C$5="Million"),((E42)/(E$3*E$50)),"-")))))</f>
        <v>0.35752293040550759</v>
      </c>
      <c r="F93" s="18">
        <f>IF(F42=0,"0",IF(AND(Results!$C$5="Protein",F$51&gt;0,OR(Results!$C$4="Tissue",Results!$C$4="Cells")),((F42)/(F$3*F$51)),IF(AND(Results!$C$5="Weight",F$50&gt;0,Results!$C$4="Tissue"),((F42)/(F$3*F$50)),IF(AND(Results!$C$5="Volume",F$52&gt;0,Results!$C$4="Fluid"),((F42)/(F$3*F$52)),IF(AND(Results!$C$4="Cells",Results!$C$5="Million"),((F42)/(F$3*F$50)),"-")))))</f>
        <v>0.37738321064101998</v>
      </c>
      <c r="G93" s="18">
        <f>IF(G42=0,"0",IF(AND(Results!$C$5="Protein",G$51&gt;0,OR(Results!$C$4="Tissue",Results!$C$4="Cells")),((G42)/(G$3*G$51)),IF(AND(Results!$C$5="Weight",G$50&gt;0,Results!$C$4="Tissue"),((G42)/(G$3*G$50)),IF(AND(Results!$C$5="Volume",G$52&gt;0,Results!$C$4="Fluid"),((G42)/(G$3*G$52)),IF(AND(Results!$C$4="Cells",Results!$C$5="Million"),((G42)/(G$3*G$50)),"-")))))</f>
        <v>0.33867046948080565</v>
      </c>
      <c r="H93" s="18">
        <f>IF(H42=0,"0",IF(AND(Results!$C$5="Protein",H$51&gt;0,OR(Results!$C$4="Tissue",Results!$C$4="Cells")),((H42)/(H$3*H$51)),IF(AND(Results!$C$5="Weight",H$50&gt;0,Results!$C$4="Tissue"),((H42)/(H$3*H$50)),IF(AND(Results!$C$5="Volume",H$52&gt;0,Results!$C$4="Fluid"),((H42)/(H$3*H$52)),IF(AND(Results!$C$4="Cells",Results!$C$5="Million"),((H42)/(H$3*H$50)),"-")))))</f>
        <v>0.31367284577694377</v>
      </c>
      <c r="I93" s="18">
        <f>IF(I42=0,"0",IF(AND(Results!$C$5="Protein",I$51&gt;0,OR(Results!$C$4="Tissue",Results!$C$4="Cells")),((I42)/(I$3*I$51)),IF(AND(Results!$C$5="Weight",I$50&gt;0,Results!$C$4="Tissue"),((I42)/(I$3*I$50)),IF(AND(Results!$C$5="Volume",I$52&gt;0,Results!$C$4="Fluid"),((I42)/(I$3*I$52)),IF(AND(Results!$C$4="Cells",Results!$C$5="Million"),((I42)/(I$3*I$50)),"-")))))</f>
        <v>0.20184229198151626</v>
      </c>
      <c r="J93" s="18">
        <f>IF(J42=0,"0",IF(AND(Results!$C$5="Protein",J$51&gt;0,OR(Results!$C$4="Tissue",Results!$C$4="Cells")),((J42)/(J$3*J$51)),IF(AND(Results!$C$5="Weight",J$50&gt;0,Results!$C$4="Tissue"),((J42)/(J$3*J$50)),IF(AND(Results!$C$5="Volume",J$52&gt;0,Results!$C$4="Fluid"),((J42)/(J$3*J$52)),IF(AND(Results!$C$4="Cells",Results!$C$5="Million"),((J42)/(J$3*J$50)),"-")))))</f>
        <v>0.17064585302201402</v>
      </c>
      <c r="K93" s="18">
        <f>IF(K42=0,"0",IF(AND(Results!$C$5="Protein",K$51&gt;0,OR(Results!$C$4="Tissue",Results!$C$4="Cells")),((K42)/(K$3*K$51)),IF(AND(Results!$C$5="Weight",K$50&gt;0,Results!$C$4="Tissue"),((K42)/(K$3*K$50)),IF(AND(Results!$C$5="Volume",K$52&gt;0,Results!$C$4="Fluid"),((K42)/(K$3*K$52)),IF(AND(Results!$C$4="Cells",Results!$C$5="Million"),((K42)/(K$3*K$50)),"-")))))</f>
        <v>0.19758362842245686</v>
      </c>
      <c r="L93" s="18">
        <f>IF(L42=0,"0",IF(AND(Results!$C$5="Protein",L$51&gt;0,OR(Results!$C$4="Tissue",Results!$C$4="Cells")),((L42)/(L$3*L$51)),IF(AND(Results!$C$5="Weight",L$50&gt;0,Results!$C$4="Tissue"),((L42)/(L$3*L$50)),IF(AND(Results!$C$5="Volume",L$52&gt;0,Results!$C$4="Fluid"),((L42)/(L$3*L$52)),IF(AND(Results!$C$4="Cells",Results!$C$5="Million"),((L42)/(L$3*L$50)),"-")))))</f>
        <v>0.32146542319798665</v>
      </c>
      <c r="M93" s="18">
        <f>IF(M42=0,"0",IF(AND(Results!$C$5="Protein",M$51&gt;0,OR(Results!$C$4="Tissue",Results!$C$4="Cells")),((M42)/(M$3*M$51)),IF(AND(Results!$C$5="Weight",M$50&gt;0,Results!$C$4="Tissue"),((M42)/(M$3*M$50)),IF(AND(Results!$C$5="Volume",M$52&gt;0,Results!$C$4="Fluid"),((M42)/(M$3*M$52)),IF(AND(Results!$C$4="Cells",Results!$C$5="Million"),((M42)/(M$3*M$50)),"-")))))</f>
        <v>0.37966276969527518</v>
      </c>
      <c r="N93" s="18">
        <f>IF(N42=0,"0",IF(AND(Results!$C$5="Protein",N$51&gt;0,OR(Results!$C$4="Tissue",Results!$C$4="Cells")),((N42)/(N$3*N$51)),IF(AND(Results!$C$5="Weight",N$50&gt;0,Results!$C$4="Tissue"),((N42)/(N$3*N$50)),IF(AND(Results!$C$5="Volume",N$52&gt;0,Results!$C$4="Fluid"),((N42)/(N$3*N$52)),IF(AND(Results!$C$4="Cells",Results!$C$5="Million"),((N42)/(N$3*N$50)),"-")))))</f>
        <v>0.23531686594607673</v>
      </c>
      <c r="O93" s="18">
        <f>IF(O42=0,"0",IF(AND(Results!$C$5="Protein",O$51&gt;0,OR(Results!$C$4="Tissue",Results!$C$4="Cells")),((O42)/(O$3*O$51)),IF(AND(Results!$C$5="Weight",O$50&gt;0,Results!$C$4="Tissue"),((O42)/(O$3*O$50)),IF(AND(Results!$C$5="Volume",O$52&gt;0,Results!$C$4="Fluid"),((O42)/(O$3*O$52)),IF(AND(Results!$C$4="Cells",Results!$C$5="Million"),((O42)/(O$3*O$50)),"-")))))</f>
        <v>0.3143482853852646</v>
      </c>
      <c r="P93" s="18">
        <f>IF(P42=0,"0",IF(AND(Results!$C$5="Protein",P$51&gt;0,OR(Results!$C$4="Tissue",Results!$C$4="Cells")),((P42)/(P$3*P$51)),IF(AND(Results!$C$5="Weight",P$50&gt;0,Results!$C$4="Tissue"),((P42)/(P$3*P$50)),IF(AND(Results!$C$5="Volume",P$52&gt;0,Results!$C$4="Fluid"),((P42)/(P$3*P$52)),IF(AND(Results!$C$4="Cells",Results!$C$5="Million"),((P42)/(P$3*P$50)),"-")))))</f>
        <v>0.51674082694899448</v>
      </c>
      <c r="Q93" s="18">
        <f>IF(Q42=0,"0",IF(AND(Results!$C$5="Protein",Q$51&gt;0,OR(Results!$C$4="Tissue",Results!$C$4="Cells")),((Q42)/(Q$3*Q$51)),IF(AND(Results!$C$5="Weight",Q$50&gt;0,Results!$C$4="Tissue"),((Q42)/(Q$3*Q$50)),IF(AND(Results!$C$5="Volume",Q$52&gt;0,Results!$C$4="Fluid"),((Q42)/(Q$3*Q$52)),IF(AND(Results!$C$4="Cells",Results!$C$5="Million"),((Q42)/(Q$3*Q$50)),"-")))))</f>
        <v>0.31945388196215574</v>
      </c>
      <c r="R93" s="18">
        <f>IF(R42=0,"0",IF(AND(Results!$C$5="Protein",R$51&gt;0,OR(Results!$C$4="Tissue",Results!$C$4="Cells")),((R42)/(R$3*R$51)),IF(AND(Results!$C$5="Weight",R$50&gt;0,Results!$C$4="Tissue"),((R42)/(R$3*R$50)),IF(AND(Results!$C$5="Volume",R$52&gt;0,Results!$C$4="Fluid"),((R42)/(R$3*R$52)),IF(AND(Results!$C$4="Cells",Results!$C$5="Million"),((R42)/(R$3*R$50)),"-")))))</f>
        <v>0.29137368756628357</v>
      </c>
      <c r="S93" s="18">
        <f>IF(S42=0,"0",IF(AND(Results!$C$5="Protein",S$51&gt;0,OR(Results!$C$4="Tissue",Results!$C$4="Cells")),((S42)/(S$3*S$51)),IF(AND(Results!$C$5="Weight",S$50&gt;0,Results!$C$4="Tissue"),((S42)/(S$3*S$50)),IF(AND(Results!$C$5="Volume",S$52&gt;0,Results!$C$4="Fluid"),((S42)/(S$3*S$52)),IF(AND(Results!$C$4="Cells",Results!$C$5="Million"),((S42)/(S$3*S$50)),"-")))))</f>
        <v>0.36839650188274425</v>
      </c>
      <c r="T93" s="18">
        <f>IF(T42=0,"0",IF(AND(Results!$C$5="Protein",T$51&gt;0,OR(Results!$C$4="Tissue",Results!$C$4="Cells")),((T42)/(T$3*T$51)),IF(AND(Results!$C$5="Weight",T$50&gt;0,Results!$C$4="Tissue"),((T42)/(T$3*T$50)),IF(AND(Results!$C$5="Volume",T$52&gt;0,Results!$C$4="Fluid"),((T42)/(T$3*T$52)),IF(AND(Results!$C$4="Cells",Results!$C$5="Million"),((T42)/(T$3*T$50)),"-")))))</f>
        <v>0.61725934442910591</v>
      </c>
      <c r="U93" s="18">
        <f>IF(U42=0,"0",IF(AND(Results!$C$5="Protein",U$51&gt;0,OR(Results!$C$4="Tissue",Results!$C$4="Cells")),((U42)/(U$3*U$51)),IF(AND(Results!$C$5="Weight",U$50&gt;0,Results!$C$4="Tissue"),((U42)/(U$3*U$50)),IF(AND(Results!$C$5="Volume",U$52&gt;0,Results!$C$4="Fluid"),((U42)/(U$3*U$52)),IF(AND(Results!$C$4="Cells",Results!$C$5="Million"),((U42)/(U$3*U$50)),"-")))))</f>
        <v>0.72809550332617545</v>
      </c>
      <c r="V93" s="18">
        <f>IF(V42=0,"0",IF(AND(Results!$C$5="Protein",V$51&gt;0,OR(Results!$C$4="Tissue",Results!$C$4="Cells")),((V42)/(V$3*V$51)),IF(AND(Results!$C$5="Weight",V$50&gt;0,Results!$C$4="Tissue"),((V42)/(V$3*V$50)),IF(AND(Results!$C$5="Volume",V$52&gt;0,Results!$C$4="Fluid"),((V42)/(V$3*V$52)),IF(AND(Results!$C$4="Cells",Results!$C$5="Million"),((V42)/(V$3*V$50)),"-")))))</f>
        <v>0.25460490251030671</v>
      </c>
    </row>
    <row r="94" spans="1:22" x14ac:dyDescent="0.25">
      <c r="A94" s="64" t="str">
        <f t="shared" si="0"/>
        <v>L_C20_5w3</v>
      </c>
      <c r="B94" s="64"/>
      <c r="C94" s="18">
        <f>IF(C43=0,"0",IF(AND(Results!$C$5="Protein",C$51&gt;0,OR(Results!$C$4="Tissue",Results!$C$4="Cells")),((C43)/(C$3*C$51)),IF(AND(Results!$C$5="Weight",C$50&gt;0,Results!$C$4="Tissue"),((C43)/(C$3*C$50)),IF(AND(Results!$C$5="Volume",C$52&gt;0,Results!$C$4="Fluid"),((C43)/(C$3*C$52)),IF(AND(Results!$C$4="Cells",Results!$C$5="Million"),((C43)/(C$3*C$50)),"-")))))</f>
        <v>1.4030223477204225E-2</v>
      </c>
      <c r="D94" s="18">
        <f>IF(D43=0,"0",IF(AND(Results!$C$5="Protein",D$51&gt;0,OR(Results!$C$4="Tissue",Results!$C$4="Cells")),((D43)/(D$3*D$51)),IF(AND(Results!$C$5="Weight",D$50&gt;0,Results!$C$4="Tissue"),((D43)/(D$3*D$50)),IF(AND(Results!$C$5="Volume",D$52&gt;0,Results!$C$4="Fluid"),((D43)/(D$3*D$52)),IF(AND(Results!$C$4="Cells",Results!$C$5="Million"),((D43)/(D$3*D$50)),"-")))))</f>
        <v>5.8976510208374432E-3</v>
      </c>
      <c r="E94" s="18">
        <f>IF(E43=0,"0",IF(AND(Results!$C$5="Protein",E$51&gt;0,OR(Results!$C$4="Tissue",Results!$C$4="Cells")),((E43)/(E$3*E$51)),IF(AND(Results!$C$5="Weight",E$50&gt;0,Results!$C$4="Tissue"),((E43)/(E$3*E$50)),IF(AND(Results!$C$5="Volume",E$52&gt;0,Results!$C$4="Fluid"),((E43)/(E$3*E$52)),IF(AND(Results!$C$4="Cells",Results!$C$5="Million"),((E43)/(E$3*E$50)),"-")))))</f>
        <v>1.297895243989638E-2</v>
      </c>
      <c r="F94" s="18">
        <f>IF(F43=0,"0",IF(AND(Results!$C$5="Protein",F$51&gt;0,OR(Results!$C$4="Tissue",Results!$C$4="Cells")),((F43)/(F$3*F$51)),IF(AND(Results!$C$5="Weight",F$50&gt;0,Results!$C$4="Tissue"),((F43)/(F$3*F$50)),IF(AND(Results!$C$5="Volume",F$52&gt;0,Results!$C$4="Fluid"),((F43)/(F$3*F$52)),IF(AND(Results!$C$4="Cells",Results!$C$5="Million"),((F43)/(F$3*F$50)),"-")))))</f>
        <v>1.3695058503472773E-2</v>
      </c>
      <c r="G94" s="18">
        <f>IF(G43=0,"0",IF(AND(Results!$C$5="Protein",G$51&gt;0,OR(Results!$C$4="Tissue",Results!$C$4="Cells")),((G43)/(G$3*G$51)),IF(AND(Results!$C$5="Weight",G$50&gt;0,Results!$C$4="Tissue"),((G43)/(G$3*G$50)),IF(AND(Results!$C$5="Volume",G$52&gt;0,Results!$C$4="Fluid"),((G43)/(G$3*G$52)),IF(AND(Results!$C$4="Cells",Results!$C$5="Million"),((G43)/(G$3*G$50)),"-")))))</f>
        <v>1.1188440664442426E-2</v>
      </c>
      <c r="H94" s="18">
        <f>IF(H43=0,"0",IF(AND(Results!$C$5="Protein",H$51&gt;0,OR(Results!$C$4="Tissue",Results!$C$4="Cells")),((H43)/(H$3*H$51)),IF(AND(Results!$C$5="Weight",H$50&gt;0,Results!$C$4="Tissue"),((H43)/(H$3*H$50)),IF(AND(Results!$C$5="Volume",H$52&gt;0,Results!$C$4="Fluid"),((H43)/(H$3*H$52)),IF(AND(Results!$C$4="Cells",Results!$C$5="Million"),((H43)/(H$3*H$50)),"-")))))</f>
        <v>1.2703191016001987E-2</v>
      </c>
      <c r="I94" s="18">
        <f>IF(I43=0,"0",IF(AND(Results!$C$5="Protein",I$51&gt;0,OR(Results!$C$4="Tissue",Results!$C$4="Cells")),((I43)/(I$3*I$51)),IF(AND(Results!$C$5="Weight",I$50&gt;0,Results!$C$4="Tissue"),((I43)/(I$3*I$50)),IF(AND(Results!$C$5="Volume",I$52&gt;0,Results!$C$4="Fluid"),((I43)/(I$3*I$52)),IF(AND(Results!$C$4="Cells",Results!$C$5="Million"),((I43)/(I$3*I$50)),"-")))))</f>
        <v>5.3230789022675334E-3</v>
      </c>
      <c r="J94" s="18" t="str">
        <f>IF(J43=0,"0",IF(AND(Results!$C$5="Protein",J$51&gt;0,OR(Results!$C$4="Tissue",Results!$C$4="Cells")),((J43)/(J$3*J$51)),IF(AND(Results!$C$5="Weight",J$50&gt;0,Results!$C$4="Tissue"),((J43)/(J$3*J$50)),IF(AND(Results!$C$5="Volume",J$52&gt;0,Results!$C$4="Fluid"),((J43)/(J$3*J$52)),IF(AND(Results!$C$4="Cells",Results!$C$5="Million"),((J43)/(J$3*J$50)),"-")))))</f>
        <v>0</v>
      </c>
      <c r="K94" s="18" t="str">
        <f>IF(K43=0,"0",IF(AND(Results!$C$5="Protein",K$51&gt;0,OR(Results!$C$4="Tissue",Results!$C$4="Cells")),((K43)/(K$3*K$51)),IF(AND(Results!$C$5="Weight",K$50&gt;0,Results!$C$4="Tissue"),((K43)/(K$3*K$50)),IF(AND(Results!$C$5="Volume",K$52&gt;0,Results!$C$4="Fluid"),((K43)/(K$3*K$52)),IF(AND(Results!$C$4="Cells",Results!$C$5="Million"),((K43)/(K$3*K$50)),"-")))))</f>
        <v>0</v>
      </c>
      <c r="L94" s="18" t="str">
        <f>IF(L43=0,"0",IF(AND(Results!$C$5="Protein",L$51&gt;0,OR(Results!$C$4="Tissue",Results!$C$4="Cells")),((L43)/(L$3*L$51)),IF(AND(Results!$C$5="Weight",L$50&gt;0,Results!$C$4="Tissue"),((L43)/(L$3*L$50)),IF(AND(Results!$C$5="Volume",L$52&gt;0,Results!$C$4="Fluid"),((L43)/(L$3*L$52)),IF(AND(Results!$C$4="Cells",Results!$C$5="Million"),((L43)/(L$3*L$50)),"-")))))</f>
        <v>0</v>
      </c>
      <c r="M94" s="18" t="str">
        <f>IF(M43=0,"0",IF(AND(Results!$C$5="Protein",M$51&gt;0,OR(Results!$C$4="Tissue",Results!$C$4="Cells")),((M43)/(M$3*M$51)),IF(AND(Results!$C$5="Weight",M$50&gt;0,Results!$C$4="Tissue"),((M43)/(M$3*M$50)),IF(AND(Results!$C$5="Volume",M$52&gt;0,Results!$C$4="Fluid"),((M43)/(M$3*M$52)),IF(AND(Results!$C$4="Cells",Results!$C$5="Million"),((M43)/(M$3*M$50)),"-")))))</f>
        <v>0</v>
      </c>
      <c r="N94" s="18" t="str">
        <f>IF(N43=0,"0",IF(AND(Results!$C$5="Protein",N$51&gt;0,OR(Results!$C$4="Tissue",Results!$C$4="Cells")),((N43)/(N$3*N$51)),IF(AND(Results!$C$5="Weight",N$50&gt;0,Results!$C$4="Tissue"),((N43)/(N$3*N$50)),IF(AND(Results!$C$5="Volume",N$52&gt;0,Results!$C$4="Fluid"),((N43)/(N$3*N$52)),IF(AND(Results!$C$4="Cells",Results!$C$5="Million"),((N43)/(N$3*N$50)),"-")))))</f>
        <v>0</v>
      </c>
      <c r="O94" s="18">
        <f>IF(O43=0,"0",IF(AND(Results!$C$5="Protein",O$51&gt;0,OR(Results!$C$4="Tissue",Results!$C$4="Cells")),((O43)/(O$3*O$51)),IF(AND(Results!$C$5="Weight",O$50&gt;0,Results!$C$4="Tissue"),((O43)/(O$3*O$50)),IF(AND(Results!$C$5="Volume",O$52&gt;0,Results!$C$4="Fluid"),((O43)/(O$3*O$52)),IF(AND(Results!$C$4="Cells",Results!$C$5="Million"),((O43)/(O$3*O$50)),"-")))))</f>
        <v>9.5683880577289576E-3</v>
      </c>
      <c r="P94" s="18">
        <f>IF(P43=0,"0",IF(AND(Results!$C$5="Protein",P$51&gt;0,OR(Results!$C$4="Tissue",Results!$C$4="Cells")),((P43)/(P$3*P$51)),IF(AND(Results!$C$5="Weight",P$50&gt;0,Results!$C$4="Tissue"),((P43)/(P$3*P$50)),IF(AND(Results!$C$5="Volume",P$52&gt;0,Results!$C$4="Fluid"),((P43)/(P$3*P$52)),IF(AND(Results!$C$4="Cells",Results!$C$5="Million"),((P43)/(P$3*P$50)),"-")))))</f>
        <v>1.720474635636119E-2</v>
      </c>
      <c r="Q94" s="18">
        <f>IF(Q43=0,"0",IF(AND(Results!$C$5="Protein",Q$51&gt;0,OR(Results!$C$4="Tissue",Results!$C$4="Cells")),((Q43)/(Q$3*Q$51)),IF(AND(Results!$C$5="Weight",Q$50&gt;0,Results!$C$4="Tissue"),((Q43)/(Q$3*Q$50)),IF(AND(Results!$C$5="Volume",Q$52&gt;0,Results!$C$4="Fluid"),((Q43)/(Q$3*Q$52)),IF(AND(Results!$C$4="Cells",Results!$C$5="Million"),((Q43)/(Q$3*Q$50)),"-")))))</f>
        <v>2.1370291344638172E-2</v>
      </c>
      <c r="R94" s="18">
        <f>IF(R43=0,"0",IF(AND(Results!$C$5="Protein",R$51&gt;0,OR(Results!$C$4="Tissue",Results!$C$4="Cells")),((R43)/(R$3*R$51)),IF(AND(Results!$C$5="Weight",R$50&gt;0,Results!$C$4="Tissue"),((R43)/(R$3*R$50)),IF(AND(Results!$C$5="Volume",R$52&gt;0,Results!$C$4="Fluid"),((R43)/(R$3*R$52)),IF(AND(Results!$C$4="Cells",Results!$C$5="Million"),((R43)/(R$3*R$50)),"-")))))</f>
        <v>1.4309885326811385E-2</v>
      </c>
      <c r="S94" s="18">
        <f>IF(S43=0,"0",IF(AND(Results!$C$5="Protein",S$51&gt;0,OR(Results!$C$4="Tissue",Results!$C$4="Cells")),((S43)/(S$3*S$51)),IF(AND(Results!$C$5="Weight",S$50&gt;0,Results!$C$4="Tissue"),((S43)/(S$3*S$50)),IF(AND(Results!$C$5="Volume",S$52&gt;0,Results!$C$4="Fluid"),((S43)/(S$3*S$52)),IF(AND(Results!$C$4="Cells",Results!$C$5="Million"),((S43)/(S$3*S$50)),"-")))))</f>
        <v>1.6100658345169334E-2</v>
      </c>
      <c r="T94" s="18">
        <f>IF(T43=0,"0",IF(AND(Results!$C$5="Protein",T$51&gt;0,OR(Results!$C$4="Tissue",Results!$C$4="Cells")),((T43)/(T$3*T$51)),IF(AND(Results!$C$5="Weight",T$50&gt;0,Results!$C$4="Tissue"),((T43)/(T$3*T$50)),IF(AND(Results!$C$5="Volume",T$52&gt;0,Results!$C$4="Fluid"),((T43)/(T$3*T$52)),IF(AND(Results!$C$4="Cells",Results!$C$5="Million"),((T43)/(T$3*T$50)),"-")))))</f>
        <v>1.5657761495941707E-2</v>
      </c>
      <c r="U94" s="18">
        <f>IF(U43=0,"0",IF(AND(Results!$C$5="Protein",U$51&gt;0,OR(Results!$C$4="Tissue",Results!$C$4="Cells")),((U43)/(U$3*U$51)),IF(AND(Results!$C$5="Weight",U$50&gt;0,Results!$C$4="Tissue"),((U43)/(U$3*U$50)),IF(AND(Results!$C$5="Volume",U$52&gt;0,Results!$C$4="Fluid"),((U43)/(U$3*U$52)),IF(AND(Results!$C$4="Cells",Results!$C$5="Million"),((U43)/(U$3*U$50)),"-")))))</f>
        <v>2.3082705433794353E-2</v>
      </c>
      <c r="V94" s="18">
        <f>IF(V43=0,"0",IF(AND(Results!$C$5="Protein",V$51&gt;0,OR(Results!$C$4="Tissue",Results!$C$4="Cells")),((V43)/(V$3*V$51)),IF(AND(Results!$C$5="Weight",V$50&gt;0,Results!$C$4="Tissue"),((V43)/(V$3*V$50)),IF(AND(Results!$C$5="Volume",V$52&gt;0,Results!$C$4="Fluid"),((V43)/(V$3*V$52)),IF(AND(Results!$C$4="Cells",Results!$C$5="Million"),((V43)/(V$3*V$50)),"-")))))</f>
        <v>6.5291172785262872E-3</v>
      </c>
    </row>
    <row r="95" spans="1:22" x14ac:dyDescent="0.25">
      <c r="A95" s="64" t="str">
        <f t="shared" si="0"/>
        <v>L_C22_2w6</v>
      </c>
      <c r="B95" s="64"/>
      <c r="C95" s="18" t="str">
        <f>IF(C44=0,"0",IF(AND(Results!$C$5="Protein",C$51&gt;0,OR(Results!$C$4="Tissue",Results!$C$4="Cells")),((C44)/(C$3*C$51)),IF(AND(Results!$C$5="Weight",C$50&gt;0,Results!$C$4="Tissue"),((C44)/(C$3*C$50)),IF(AND(Results!$C$5="Volume",C$52&gt;0,Results!$C$4="Fluid"),((C44)/(C$3*C$52)),IF(AND(Results!$C$4="Cells",Results!$C$5="Million"),((C44)/(C$3*C$50)),"-")))))</f>
        <v>0</v>
      </c>
      <c r="D95" s="18" t="str">
        <f>IF(D44=0,"0",IF(AND(Results!$C$5="Protein",D$51&gt;0,OR(Results!$C$4="Tissue",Results!$C$4="Cells")),((D44)/(D$3*D$51)),IF(AND(Results!$C$5="Weight",D$50&gt;0,Results!$C$4="Tissue"),((D44)/(D$3*D$50)),IF(AND(Results!$C$5="Volume",D$52&gt;0,Results!$C$4="Fluid"),((D44)/(D$3*D$52)),IF(AND(Results!$C$4="Cells",Results!$C$5="Million"),((D44)/(D$3*D$50)),"-")))))</f>
        <v>0</v>
      </c>
      <c r="E95" s="18" t="str">
        <f>IF(E44=0,"0",IF(AND(Results!$C$5="Protein",E$51&gt;0,OR(Results!$C$4="Tissue",Results!$C$4="Cells")),((E44)/(E$3*E$51)),IF(AND(Results!$C$5="Weight",E$50&gt;0,Results!$C$4="Tissue"),((E44)/(E$3*E$50)),IF(AND(Results!$C$5="Volume",E$52&gt;0,Results!$C$4="Fluid"),((E44)/(E$3*E$52)),IF(AND(Results!$C$4="Cells",Results!$C$5="Million"),((E44)/(E$3*E$50)),"-")))))</f>
        <v>0</v>
      </c>
      <c r="F95" s="18" t="str">
        <f>IF(F44=0,"0",IF(AND(Results!$C$5="Protein",F$51&gt;0,OR(Results!$C$4="Tissue",Results!$C$4="Cells")),((F44)/(F$3*F$51)),IF(AND(Results!$C$5="Weight",F$50&gt;0,Results!$C$4="Tissue"),((F44)/(F$3*F$50)),IF(AND(Results!$C$5="Volume",F$52&gt;0,Results!$C$4="Fluid"),((F44)/(F$3*F$52)),IF(AND(Results!$C$4="Cells",Results!$C$5="Million"),((F44)/(F$3*F$50)),"-")))))</f>
        <v>0</v>
      </c>
      <c r="G95" s="18" t="str">
        <f>IF(G44=0,"0",IF(AND(Results!$C$5="Protein",G$51&gt;0,OR(Results!$C$4="Tissue",Results!$C$4="Cells")),((G44)/(G$3*G$51)),IF(AND(Results!$C$5="Weight",G$50&gt;0,Results!$C$4="Tissue"),((G44)/(G$3*G$50)),IF(AND(Results!$C$5="Volume",G$52&gt;0,Results!$C$4="Fluid"),((G44)/(G$3*G$52)),IF(AND(Results!$C$4="Cells",Results!$C$5="Million"),((G44)/(G$3*G$50)),"-")))))</f>
        <v>0</v>
      </c>
      <c r="H95" s="18" t="str">
        <f>IF(H44=0,"0",IF(AND(Results!$C$5="Protein",H$51&gt;0,OR(Results!$C$4="Tissue",Results!$C$4="Cells")),((H44)/(H$3*H$51)),IF(AND(Results!$C$5="Weight",H$50&gt;0,Results!$C$4="Tissue"),((H44)/(H$3*H$50)),IF(AND(Results!$C$5="Volume",H$52&gt;0,Results!$C$4="Fluid"),((H44)/(H$3*H$52)),IF(AND(Results!$C$4="Cells",Results!$C$5="Million"),((H44)/(H$3*H$50)),"-")))))</f>
        <v>0</v>
      </c>
      <c r="I95" s="18" t="str">
        <f>IF(I44=0,"0",IF(AND(Results!$C$5="Protein",I$51&gt;0,OR(Results!$C$4="Tissue",Results!$C$4="Cells")),((I44)/(I$3*I$51)),IF(AND(Results!$C$5="Weight",I$50&gt;0,Results!$C$4="Tissue"),((I44)/(I$3*I$50)),IF(AND(Results!$C$5="Volume",I$52&gt;0,Results!$C$4="Fluid"),((I44)/(I$3*I$52)),IF(AND(Results!$C$4="Cells",Results!$C$5="Million"),((I44)/(I$3*I$50)),"-")))))</f>
        <v>0</v>
      </c>
      <c r="J95" s="18" t="str">
        <f>IF(J44=0,"0",IF(AND(Results!$C$5="Protein",J$51&gt;0,OR(Results!$C$4="Tissue",Results!$C$4="Cells")),((J44)/(J$3*J$51)),IF(AND(Results!$C$5="Weight",J$50&gt;0,Results!$C$4="Tissue"),((J44)/(J$3*J$50)),IF(AND(Results!$C$5="Volume",J$52&gt;0,Results!$C$4="Fluid"),((J44)/(J$3*J$52)),IF(AND(Results!$C$4="Cells",Results!$C$5="Million"),((J44)/(J$3*J$50)),"-")))))</f>
        <v>0</v>
      </c>
      <c r="K95" s="18" t="str">
        <f>IF(K44=0,"0",IF(AND(Results!$C$5="Protein",K$51&gt;0,OR(Results!$C$4="Tissue",Results!$C$4="Cells")),((K44)/(K$3*K$51)),IF(AND(Results!$C$5="Weight",K$50&gt;0,Results!$C$4="Tissue"),((K44)/(K$3*K$50)),IF(AND(Results!$C$5="Volume",K$52&gt;0,Results!$C$4="Fluid"),((K44)/(K$3*K$52)),IF(AND(Results!$C$4="Cells",Results!$C$5="Million"),((K44)/(K$3*K$50)),"-")))))</f>
        <v>0</v>
      </c>
      <c r="L95" s="18" t="str">
        <f>IF(L44=0,"0",IF(AND(Results!$C$5="Protein",L$51&gt;0,OR(Results!$C$4="Tissue",Results!$C$4="Cells")),((L44)/(L$3*L$51)),IF(AND(Results!$C$5="Weight",L$50&gt;0,Results!$C$4="Tissue"),((L44)/(L$3*L$50)),IF(AND(Results!$C$5="Volume",L$52&gt;0,Results!$C$4="Fluid"),((L44)/(L$3*L$52)),IF(AND(Results!$C$4="Cells",Results!$C$5="Million"),((L44)/(L$3*L$50)),"-")))))</f>
        <v>0</v>
      </c>
      <c r="M95" s="18" t="str">
        <f>IF(M44=0,"0",IF(AND(Results!$C$5="Protein",M$51&gt;0,OR(Results!$C$4="Tissue",Results!$C$4="Cells")),((M44)/(M$3*M$51)),IF(AND(Results!$C$5="Weight",M$50&gt;0,Results!$C$4="Tissue"),((M44)/(M$3*M$50)),IF(AND(Results!$C$5="Volume",M$52&gt;0,Results!$C$4="Fluid"),((M44)/(M$3*M$52)),IF(AND(Results!$C$4="Cells",Results!$C$5="Million"),((M44)/(M$3*M$50)),"-")))))</f>
        <v>0</v>
      </c>
      <c r="N95" s="18" t="str">
        <f>IF(N44=0,"0",IF(AND(Results!$C$5="Protein",N$51&gt;0,OR(Results!$C$4="Tissue",Results!$C$4="Cells")),((N44)/(N$3*N$51)),IF(AND(Results!$C$5="Weight",N$50&gt;0,Results!$C$4="Tissue"),((N44)/(N$3*N$50)),IF(AND(Results!$C$5="Volume",N$52&gt;0,Results!$C$4="Fluid"),((N44)/(N$3*N$52)),IF(AND(Results!$C$4="Cells",Results!$C$5="Million"),((N44)/(N$3*N$50)),"-")))))</f>
        <v>0</v>
      </c>
      <c r="O95" s="18" t="str">
        <f>IF(O44=0,"0",IF(AND(Results!$C$5="Protein",O$51&gt;0,OR(Results!$C$4="Tissue",Results!$C$4="Cells")),((O44)/(O$3*O$51)),IF(AND(Results!$C$5="Weight",O$50&gt;0,Results!$C$4="Tissue"),((O44)/(O$3*O$50)),IF(AND(Results!$C$5="Volume",O$52&gt;0,Results!$C$4="Fluid"),((O44)/(O$3*O$52)),IF(AND(Results!$C$4="Cells",Results!$C$5="Million"),((O44)/(O$3*O$50)),"-")))))</f>
        <v>0</v>
      </c>
      <c r="P95" s="18" t="str">
        <f>IF(P44=0,"0",IF(AND(Results!$C$5="Protein",P$51&gt;0,OR(Results!$C$4="Tissue",Results!$C$4="Cells")),((P44)/(P$3*P$51)),IF(AND(Results!$C$5="Weight",P$50&gt;0,Results!$C$4="Tissue"),((P44)/(P$3*P$50)),IF(AND(Results!$C$5="Volume",P$52&gt;0,Results!$C$4="Fluid"),((P44)/(P$3*P$52)),IF(AND(Results!$C$4="Cells",Results!$C$5="Million"),((P44)/(P$3*P$50)),"-")))))</f>
        <v>0</v>
      </c>
      <c r="Q95" s="18" t="str">
        <f>IF(Q44=0,"0",IF(AND(Results!$C$5="Protein",Q$51&gt;0,OR(Results!$C$4="Tissue",Results!$C$4="Cells")),((Q44)/(Q$3*Q$51)),IF(AND(Results!$C$5="Weight",Q$50&gt;0,Results!$C$4="Tissue"),((Q44)/(Q$3*Q$50)),IF(AND(Results!$C$5="Volume",Q$52&gt;0,Results!$C$4="Fluid"),((Q44)/(Q$3*Q$52)),IF(AND(Results!$C$4="Cells",Results!$C$5="Million"),((Q44)/(Q$3*Q$50)),"-")))))</f>
        <v>0</v>
      </c>
      <c r="R95" s="18" t="str">
        <f>IF(R44=0,"0",IF(AND(Results!$C$5="Protein",R$51&gt;0,OR(Results!$C$4="Tissue",Results!$C$4="Cells")),((R44)/(R$3*R$51)),IF(AND(Results!$C$5="Weight",R$50&gt;0,Results!$C$4="Tissue"),((R44)/(R$3*R$50)),IF(AND(Results!$C$5="Volume",R$52&gt;0,Results!$C$4="Fluid"),((R44)/(R$3*R$52)),IF(AND(Results!$C$4="Cells",Results!$C$5="Million"),((R44)/(R$3*R$50)),"-")))))</f>
        <v>0</v>
      </c>
      <c r="S95" s="18" t="str">
        <f>IF(S44=0,"0",IF(AND(Results!$C$5="Protein",S$51&gt;0,OR(Results!$C$4="Tissue",Results!$C$4="Cells")),((S44)/(S$3*S$51)),IF(AND(Results!$C$5="Weight",S$50&gt;0,Results!$C$4="Tissue"),((S44)/(S$3*S$50)),IF(AND(Results!$C$5="Volume",S$52&gt;0,Results!$C$4="Fluid"),((S44)/(S$3*S$52)),IF(AND(Results!$C$4="Cells",Results!$C$5="Million"),((S44)/(S$3*S$50)),"-")))))</f>
        <v>0</v>
      </c>
      <c r="T95" s="18" t="str">
        <f>IF(T44=0,"0",IF(AND(Results!$C$5="Protein",T$51&gt;0,OR(Results!$C$4="Tissue",Results!$C$4="Cells")),((T44)/(T$3*T$51)),IF(AND(Results!$C$5="Weight",T$50&gt;0,Results!$C$4="Tissue"),((T44)/(T$3*T$50)),IF(AND(Results!$C$5="Volume",T$52&gt;0,Results!$C$4="Fluid"),((T44)/(T$3*T$52)),IF(AND(Results!$C$4="Cells",Results!$C$5="Million"),((T44)/(T$3*T$50)),"-")))))</f>
        <v>0</v>
      </c>
      <c r="U95" s="18" t="str">
        <f>IF(U44=0,"0",IF(AND(Results!$C$5="Protein",U$51&gt;0,OR(Results!$C$4="Tissue",Results!$C$4="Cells")),((U44)/(U$3*U$51)),IF(AND(Results!$C$5="Weight",U$50&gt;0,Results!$C$4="Tissue"),((U44)/(U$3*U$50)),IF(AND(Results!$C$5="Volume",U$52&gt;0,Results!$C$4="Fluid"),((U44)/(U$3*U$52)),IF(AND(Results!$C$4="Cells",Results!$C$5="Million"),((U44)/(U$3*U$50)),"-")))))</f>
        <v>0</v>
      </c>
      <c r="V95" s="18" t="str">
        <f>IF(V44=0,"0",IF(AND(Results!$C$5="Protein",V$51&gt;0,OR(Results!$C$4="Tissue",Results!$C$4="Cells")),((V44)/(V$3*V$51)),IF(AND(Results!$C$5="Weight",V$50&gt;0,Results!$C$4="Tissue"),((V44)/(V$3*V$50)),IF(AND(Results!$C$5="Volume",V$52&gt;0,Results!$C$4="Fluid"),((V44)/(V$3*V$52)),IF(AND(Results!$C$4="Cells",Results!$C$5="Million"),((V44)/(V$3*V$50)),"-")))))</f>
        <v>0</v>
      </c>
    </row>
    <row r="96" spans="1:22" x14ac:dyDescent="0.25">
      <c r="A96" s="64" t="str">
        <f t="shared" si="0"/>
        <v>L_C22_3w3</v>
      </c>
      <c r="B96" s="64"/>
      <c r="C96" s="18" t="str">
        <f>IF(C45=0,"0",IF(AND(Results!$C$5="Protein",C$51&gt;0,OR(Results!$C$4="Tissue",Results!$C$4="Cells")),((C45)/(C$3*C$51)),IF(AND(Results!$C$5="Weight",C$50&gt;0,Results!$C$4="Tissue"),((C45)/(C$3*C$50)),IF(AND(Results!$C$5="Volume",C$52&gt;0,Results!$C$4="Fluid"),((C45)/(C$3*C$52)),IF(AND(Results!$C$4="Cells",Results!$C$5="Million"),((C45)/(C$3*C$50)),"-")))))</f>
        <v>0</v>
      </c>
      <c r="D96" s="18" t="str">
        <f>IF(D45=0,"0",IF(AND(Results!$C$5="Protein",D$51&gt;0,OR(Results!$C$4="Tissue",Results!$C$4="Cells")),((D45)/(D$3*D$51)),IF(AND(Results!$C$5="Weight",D$50&gt;0,Results!$C$4="Tissue"),((D45)/(D$3*D$50)),IF(AND(Results!$C$5="Volume",D$52&gt;0,Results!$C$4="Fluid"),((D45)/(D$3*D$52)),IF(AND(Results!$C$4="Cells",Results!$C$5="Million"),((D45)/(D$3*D$50)),"-")))))</f>
        <v>0</v>
      </c>
      <c r="E96" s="18" t="str">
        <f>IF(E45=0,"0",IF(AND(Results!$C$5="Protein",E$51&gt;0,OR(Results!$C$4="Tissue",Results!$C$4="Cells")),((E45)/(E$3*E$51)),IF(AND(Results!$C$5="Weight",E$50&gt;0,Results!$C$4="Tissue"),((E45)/(E$3*E$50)),IF(AND(Results!$C$5="Volume",E$52&gt;0,Results!$C$4="Fluid"),((E45)/(E$3*E$52)),IF(AND(Results!$C$4="Cells",Results!$C$5="Million"),((E45)/(E$3*E$50)),"-")))))</f>
        <v>0</v>
      </c>
      <c r="F96" s="18" t="str">
        <f>IF(F45=0,"0",IF(AND(Results!$C$5="Protein",F$51&gt;0,OR(Results!$C$4="Tissue",Results!$C$4="Cells")),((F45)/(F$3*F$51)),IF(AND(Results!$C$5="Weight",F$50&gt;0,Results!$C$4="Tissue"),((F45)/(F$3*F$50)),IF(AND(Results!$C$5="Volume",F$52&gt;0,Results!$C$4="Fluid"),((F45)/(F$3*F$52)),IF(AND(Results!$C$4="Cells",Results!$C$5="Million"),((F45)/(F$3*F$50)),"-")))))</f>
        <v>0</v>
      </c>
      <c r="G96" s="18" t="str">
        <f>IF(G45=0,"0",IF(AND(Results!$C$5="Protein",G$51&gt;0,OR(Results!$C$4="Tissue",Results!$C$4="Cells")),((G45)/(G$3*G$51)),IF(AND(Results!$C$5="Weight",G$50&gt;0,Results!$C$4="Tissue"),((G45)/(G$3*G$50)),IF(AND(Results!$C$5="Volume",G$52&gt;0,Results!$C$4="Fluid"),((G45)/(G$3*G$52)),IF(AND(Results!$C$4="Cells",Results!$C$5="Million"),((G45)/(G$3*G$50)),"-")))))</f>
        <v>0</v>
      </c>
      <c r="H96" s="18" t="str">
        <f>IF(H45=0,"0",IF(AND(Results!$C$5="Protein",H$51&gt;0,OR(Results!$C$4="Tissue",Results!$C$4="Cells")),((H45)/(H$3*H$51)),IF(AND(Results!$C$5="Weight",H$50&gt;0,Results!$C$4="Tissue"),((H45)/(H$3*H$50)),IF(AND(Results!$C$5="Volume",H$52&gt;0,Results!$C$4="Fluid"),((H45)/(H$3*H$52)),IF(AND(Results!$C$4="Cells",Results!$C$5="Million"),((H45)/(H$3*H$50)),"-")))))</f>
        <v>0</v>
      </c>
      <c r="I96" s="18" t="str">
        <f>IF(I45=0,"0",IF(AND(Results!$C$5="Protein",I$51&gt;0,OR(Results!$C$4="Tissue",Results!$C$4="Cells")),((I45)/(I$3*I$51)),IF(AND(Results!$C$5="Weight",I$50&gt;0,Results!$C$4="Tissue"),((I45)/(I$3*I$50)),IF(AND(Results!$C$5="Volume",I$52&gt;0,Results!$C$4="Fluid"),((I45)/(I$3*I$52)),IF(AND(Results!$C$4="Cells",Results!$C$5="Million"),((I45)/(I$3*I$50)),"-")))))</f>
        <v>0</v>
      </c>
      <c r="J96" s="18" t="str">
        <f>IF(J45=0,"0",IF(AND(Results!$C$5="Protein",J$51&gt;0,OR(Results!$C$4="Tissue",Results!$C$4="Cells")),((J45)/(J$3*J$51)),IF(AND(Results!$C$5="Weight",J$50&gt;0,Results!$C$4="Tissue"),((J45)/(J$3*J$50)),IF(AND(Results!$C$5="Volume",J$52&gt;0,Results!$C$4="Fluid"),((J45)/(J$3*J$52)),IF(AND(Results!$C$4="Cells",Results!$C$5="Million"),((J45)/(J$3*J$50)),"-")))))</f>
        <v>0</v>
      </c>
      <c r="K96" s="18" t="str">
        <f>IF(K45=0,"0",IF(AND(Results!$C$5="Protein",K$51&gt;0,OR(Results!$C$4="Tissue",Results!$C$4="Cells")),((K45)/(K$3*K$51)),IF(AND(Results!$C$5="Weight",K$50&gt;0,Results!$C$4="Tissue"),((K45)/(K$3*K$50)),IF(AND(Results!$C$5="Volume",K$52&gt;0,Results!$C$4="Fluid"),((K45)/(K$3*K$52)),IF(AND(Results!$C$4="Cells",Results!$C$5="Million"),((K45)/(K$3*K$50)),"-")))))</f>
        <v>0</v>
      </c>
      <c r="L96" s="18" t="str">
        <f>IF(L45=0,"0",IF(AND(Results!$C$5="Protein",L$51&gt;0,OR(Results!$C$4="Tissue",Results!$C$4="Cells")),((L45)/(L$3*L$51)),IF(AND(Results!$C$5="Weight",L$50&gt;0,Results!$C$4="Tissue"),((L45)/(L$3*L$50)),IF(AND(Results!$C$5="Volume",L$52&gt;0,Results!$C$4="Fluid"),((L45)/(L$3*L$52)),IF(AND(Results!$C$4="Cells",Results!$C$5="Million"),((L45)/(L$3*L$50)),"-")))))</f>
        <v>0</v>
      </c>
      <c r="M96" s="18" t="str">
        <f>IF(M45=0,"0",IF(AND(Results!$C$5="Protein",M$51&gt;0,OR(Results!$C$4="Tissue",Results!$C$4="Cells")),((M45)/(M$3*M$51)),IF(AND(Results!$C$5="Weight",M$50&gt;0,Results!$C$4="Tissue"),((M45)/(M$3*M$50)),IF(AND(Results!$C$5="Volume",M$52&gt;0,Results!$C$4="Fluid"),((M45)/(M$3*M$52)),IF(AND(Results!$C$4="Cells",Results!$C$5="Million"),((M45)/(M$3*M$50)),"-")))))</f>
        <v>0</v>
      </c>
      <c r="N96" s="18" t="str">
        <f>IF(N45=0,"0",IF(AND(Results!$C$5="Protein",N$51&gt;0,OR(Results!$C$4="Tissue",Results!$C$4="Cells")),((N45)/(N$3*N$51)),IF(AND(Results!$C$5="Weight",N$50&gt;0,Results!$C$4="Tissue"),((N45)/(N$3*N$50)),IF(AND(Results!$C$5="Volume",N$52&gt;0,Results!$C$4="Fluid"),((N45)/(N$3*N$52)),IF(AND(Results!$C$4="Cells",Results!$C$5="Million"),((N45)/(N$3*N$50)),"-")))))</f>
        <v>0</v>
      </c>
      <c r="O96" s="18" t="str">
        <f>IF(O45=0,"0",IF(AND(Results!$C$5="Protein",O$51&gt;0,OR(Results!$C$4="Tissue",Results!$C$4="Cells")),((O45)/(O$3*O$51)),IF(AND(Results!$C$5="Weight",O$50&gt;0,Results!$C$4="Tissue"),((O45)/(O$3*O$50)),IF(AND(Results!$C$5="Volume",O$52&gt;0,Results!$C$4="Fluid"),((O45)/(O$3*O$52)),IF(AND(Results!$C$4="Cells",Results!$C$5="Million"),((O45)/(O$3*O$50)),"-")))))</f>
        <v>0</v>
      </c>
      <c r="P96" s="18" t="str">
        <f>IF(P45=0,"0",IF(AND(Results!$C$5="Protein",P$51&gt;0,OR(Results!$C$4="Tissue",Results!$C$4="Cells")),((P45)/(P$3*P$51)),IF(AND(Results!$C$5="Weight",P$50&gt;0,Results!$C$4="Tissue"),((P45)/(P$3*P$50)),IF(AND(Results!$C$5="Volume",P$52&gt;0,Results!$C$4="Fluid"),((P45)/(P$3*P$52)),IF(AND(Results!$C$4="Cells",Results!$C$5="Million"),((P45)/(P$3*P$50)),"-")))))</f>
        <v>0</v>
      </c>
      <c r="Q96" s="18" t="str">
        <f>IF(Q45=0,"0",IF(AND(Results!$C$5="Protein",Q$51&gt;0,OR(Results!$C$4="Tissue",Results!$C$4="Cells")),((Q45)/(Q$3*Q$51)),IF(AND(Results!$C$5="Weight",Q$50&gt;0,Results!$C$4="Tissue"),((Q45)/(Q$3*Q$50)),IF(AND(Results!$C$5="Volume",Q$52&gt;0,Results!$C$4="Fluid"),((Q45)/(Q$3*Q$52)),IF(AND(Results!$C$4="Cells",Results!$C$5="Million"),((Q45)/(Q$3*Q$50)),"-")))))</f>
        <v>0</v>
      </c>
      <c r="R96" s="18" t="str">
        <f>IF(R45=0,"0",IF(AND(Results!$C$5="Protein",R$51&gt;0,OR(Results!$C$4="Tissue",Results!$C$4="Cells")),((R45)/(R$3*R$51)),IF(AND(Results!$C$5="Weight",R$50&gt;0,Results!$C$4="Tissue"),((R45)/(R$3*R$50)),IF(AND(Results!$C$5="Volume",R$52&gt;0,Results!$C$4="Fluid"),((R45)/(R$3*R$52)),IF(AND(Results!$C$4="Cells",Results!$C$5="Million"),((R45)/(R$3*R$50)),"-")))))</f>
        <v>0</v>
      </c>
      <c r="S96" s="18" t="str">
        <f>IF(S45=0,"0",IF(AND(Results!$C$5="Protein",S$51&gt;0,OR(Results!$C$4="Tissue",Results!$C$4="Cells")),((S45)/(S$3*S$51)),IF(AND(Results!$C$5="Weight",S$50&gt;0,Results!$C$4="Tissue"),((S45)/(S$3*S$50)),IF(AND(Results!$C$5="Volume",S$52&gt;0,Results!$C$4="Fluid"),((S45)/(S$3*S$52)),IF(AND(Results!$C$4="Cells",Results!$C$5="Million"),((S45)/(S$3*S$50)),"-")))))</f>
        <v>0</v>
      </c>
      <c r="T96" s="18" t="str">
        <f>IF(T45=0,"0",IF(AND(Results!$C$5="Protein",T$51&gt;0,OR(Results!$C$4="Tissue",Results!$C$4="Cells")),((T45)/(T$3*T$51)),IF(AND(Results!$C$5="Weight",T$50&gt;0,Results!$C$4="Tissue"),((T45)/(T$3*T$50)),IF(AND(Results!$C$5="Volume",T$52&gt;0,Results!$C$4="Fluid"),((T45)/(T$3*T$52)),IF(AND(Results!$C$4="Cells",Results!$C$5="Million"),((T45)/(T$3*T$50)),"-")))))</f>
        <v>0</v>
      </c>
      <c r="U96" s="18" t="str">
        <f>IF(U45=0,"0",IF(AND(Results!$C$5="Protein",U$51&gt;0,OR(Results!$C$4="Tissue",Results!$C$4="Cells")),((U45)/(U$3*U$51)),IF(AND(Results!$C$5="Weight",U$50&gt;0,Results!$C$4="Tissue"),((U45)/(U$3*U$50)),IF(AND(Results!$C$5="Volume",U$52&gt;0,Results!$C$4="Fluid"),((U45)/(U$3*U$52)),IF(AND(Results!$C$4="Cells",Results!$C$5="Million"),((U45)/(U$3*U$50)),"-")))))</f>
        <v>0</v>
      </c>
      <c r="V96" s="18" t="str">
        <f>IF(V45=0,"0",IF(AND(Results!$C$5="Protein",V$51&gt;0,OR(Results!$C$4="Tissue",Results!$C$4="Cells")),((V45)/(V$3*V$51)),IF(AND(Results!$C$5="Weight",V$50&gt;0,Results!$C$4="Tissue"),((V45)/(V$3*V$50)),IF(AND(Results!$C$5="Volume",V$52&gt;0,Results!$C$4="Fluid"),((V45)/(V$3*V$52)),IF(AND(Results!$C$4="Cells",Results!$C$5="Million"),((V45)/(V$3*V$50)),"-")))))</f>
        <v>0</v>
      </c>
    </row>
    <row r="97" spans="1:22" x14ac:dyDescent="0.25">
      <c r="A97" s="64" t="str">
        <f t="shared" si="0"/>
        <v>L_C22_4w6</v>
      </c>
      <c r="B97" s="64"/>
      <c r="C97" s="18" t="str">
        <f>IF(C46=0,"0",IF(AND(Results!$C$5="Protein",C$51&gt;0,OR(Results!$C$4="Tissue",Results!$C$4="Cells")),((C46)/(C$3*C$51)),IF(AND(Results!$C$5="Weight",C$50&gt;0,Results!$C$4="Tissue"),((C46)/(C$3*C$50)),IF(AND(Results!$C$5="Volume",C$52&gt;0,Results!$C$4="Fluid"),((C46)/(C$3*C$52)),IF(AND(Results!$C$4="Cells",Results!$C$5="Million"),((C46)/(C$3*C$50)),"-")))))</f>
        <v>0</v>
      </c>
      <c r="D97" s="18" t="str">
        <f>IF(D46=0,"0",IF(AND(Results!$C$5="Protein",D$51&gt;0,OR(Results!$C$4="Tissue",Results!$C$4="Cells")),((D46)/(D$3*D$51)),IF(AND(Results!$C$5="Weight",D$50&gt;0,Results!$C$4="Tissue"),((D46)/(D$3*D$50)),IF(AND(Results!$C$5="Volume",D$52&gt;0,Results!$C$4="Fluid"),((D46)/(D$3*D$52)),IF(AND(Results!$C$4="Cells",Results!$C$5="Million"),((D46)/(D$3*D$50)),"-")))))</f>
        <v>0</v>
      </c>
      <c r="E97" s="18" t="str">
        <f>IF(E46=0,"0",IF(AND(Results!$C$5="Protein",E$51&gt;0,OR(Results!$C$4="Tissue",Results!$C$4="Cells")),((E46)/(E$3*E$51)),IF(AND(Results!$C$5="Weight",E$50&gt;0,Results!$C$4="Tissue"),((E46)/(E$3*E$50)),IF(AND(Results!$C$5="Volume",E$52&gt;0,Results!$C$4="Fluid"),((E46)/(E$3*E$52)),IF(AND(Results!$C$4="Cells",Results!$C$5="Million"),((E46)/(E$3*E$50)),"-")))))</f>
        <v>0</v>
      </c>
      <c r="F97" s="18" t="str">
        <f>IF(F46=0,"0",IF(AND(Results!$C$5="Protein",F$51&gt;0,OR(Results!$C$4="Tissue",Results!$C$4="Cells")),((F46)/(F$3*F$51)),IF(AND(Results!$C$5="Weight",F$50&gt;0,Results!$C$4="Tissue"),((F46)/(F$3*F$50)),IF(AND(Results!$C$5="Volume",F$52&gt;0,Results!$C$4="Fluid"),((F46)/(F$3*F$52)),IF(AND(Results!$C$4="Cells",Results!$C$5="Million"),((F46)/(F$3*F$50)),"-")))))</f>
        <v>0</v>
      </c>
      <c r="G97" s="18" t="str">
        <f>IF(G46=0,"0",IF(AND(Results!$C$5="Protein",G$51&gt;0,OR(Results!$C$4="Tissue",Results!$C$4="Cells")),((G46)/(G$3*G$51)),IF(AND(Results!$C$5="Weight",G$50&gt;0,Results!$C$4="Tissue"),((G46)/(G$3*G$50)),IF(AND(Results!$C$5="Volume",G$52&gt;0,Results!$C$4="Fluid"),((G46)/(G$3*G$52)),IF(AND(Results!$C$4="Cells",Results!$C$5="Million"),((G46)/(G$3*G$50)),"-")))))</f>
        <v>0</v>
      </c>
      <c r="H97" s="18" t="str">
        <f>IF(H46=0,"0",IF(AND(Results!$C$5="Protein",H$51&gt;0,OR(Results!$C$4="Tissue",Results!$C$4="Cells")),((H46)/(H$3*H$51)),IF(AND(Results!$C$5="Weight",H$50&gt;0,Results!$C$4="Tissue"),((H46)/(H$3*H$50)),IF(AND(Results!$C$5="Volume",H$52&gt;0,Results!$C$4="Fluid"),((H46)/(H$3*H$52)),IF(AND(Results!$C$4="Cells",Results!$C$5="Million"),((H46)/(H$3*H$50)),"-")))))</f>
        <v>0</v>
      </c>
      <c r="I97" s="18" t="str">
        <f>IF(I46=0,"0",IF(AND(Results!$C$5="Protein",I$51&gt;0,OR(Results!$C$4="Tissue",Results!$C$4="Cells")),((I46)/(I$3*I$51)),IF(AND(Results!$C$5="Weight",I$50&gt;0,Results!$C$4="Tissue"),((I46)/(I$3*I$50)),IF(AND(Results!$C$5="Volume",I$52&gt;0,Results!$C$4="Fluid"),((I46)/(I$3*I$52)),IF(AND(Results!$C$4="Cells",Results!$C$5="Million"),((I46)/(I$3*I$50)),"-")))))</f>
        <v>0</v>
      </c>
      <c r="J97" s="18" t="str">
        <f>IF(J46=0,"0",IF(AND(Results!$C$5="Protein",J$51&gt;0,OR(Results!$C$4="Tissue",Results!$C$4="Cells")),((J46)/(J$3*J$51)),IF(AND(Results!$C$5="Weight",J$50&gt;0,Results!$C$4="Tissue"),((J46)/(J$3*J$50)),IF(AND(Results!$C$5="Volume",J$52&gt;0,Results!$C$4="Fluid"),((J46)/(J$3*J$52)),IF(AND(Results!$C$4="Cells",Results!$C$5="Million"),((J46)/(J$3*J$50)),"-")))))</f>
        <v>0</v>
      </c>
      <c r="K97" s="18" t="str">
        <f>IF(K46=0,"0",IF(AND(Results!$C$5="Protein",K$51&gt;0,OR(Results!$C$4="Tissue",Results!$C$4="Cells")),((K46)/(K$3*K$51)),IF(AND(Results!$C$5="Weight",K$50&gt;0,Results!$C$4="Tissue"),((K46)/(K$3*K$50)),IF(AND(Results!$C$5="Volume",K$52&gt;0,Results!$C$4="Fluid"),((K46)/(K$3*K$52)),IF(AND(Results!$C$4="Cells",Results!$C$5="Million"),((K46)/(K$3*K$50)),"-")))))</f>
        <v>0</v>
      </c>
      <c r="L97" s="18" t="str">
        <f>IF(L46=0,"0",IF(AND(Results!$C$5="Protein",L$51&gt;0,OR(Results!$C$4="Tissue",Results!$C$4="Cells")),((L46)/(L$3*L$51)),IF(AND(Results!$C$5="Weight",L$50&gt;0,Results!$C$4="Tissue"),((L46)/(L$3*L$50)),IF(AND(Results!$C$5="Volume",L$52&gt;0,Results!$C$4="Fluid"),((L46)/(L$3*L$52)),IF(AND(Results!$C$4="Cells",Results!$C$5="Million"),((L46)/(L$3*L$50)),"-")))))</f>
        <v>0</v>
      </c>
      <c r="M97" s="18" t="str">
        <f>IF(M46=0,"0",IF(AND(Results!$C$5="Protein",M$51&gt;0,OR(Results!$C$4="Tissue",Results!$C$4="Cells")),((M46)/(M$3*M$51)),IF(AND(Results!$C$5="Weight",M$50&gt;0,Results!$C$4="Tissue"),((M46)/(M$3*M$50)),IF(AND(Results!$C$5="Volume",M$52&gt;0,Results!$C$4="Fluid"),((M46)/(M$3*M$52)),IF(AND(Results!$C$4="Cells",Results!$C$5="Million"),((M46)/(M$3*M$50)),"-")))))</f>
        <v>0</v>
      </c>
      <c r="N97" s="18" t="str">
        <f>IF(N46=0,"0",IF(AND(Results!$C$5="Protein",N$51&gt;0,OR(Results!$C$4="Tissue",Results!$C$4="Cells")),((N46)/(N$3*N$51)),IF(AND(Results!$C$5="Weight",N$50&gt;0,Results!$C$4="Tissue"),((N46)/(N$3*N$50)),IF(AND(Results!$C$5="Volume",N$52&gt;0,Results!$C$4="Fluid"),((N46)/(N$3*N$52)),IF(AND(Results!$C$4="Cells",Results!$C$5="Million"),((N46)/(N$3*N$50)),"-")))))</f>
        <v>0</v>
      </c>
      <c r="O97" s="18" t="str">
        <f>IF(O46=0,"0",IF(AND(Results!$C$5="Protein",O$51&gt;0,OR(Results!$C$4="Tissue",Results!$C$4="Cells")),((O46)/(O$3*O$51)),IF(AND(Results!$C$5="Weight",O$50&gt;0,Results!$C$4="Tissue"),((O46)/(O$3*O$50)),IF(AND(Results!$C$5="Volume",O$52&gt;0,Results!$C$4="Fluid"),((O46)/(O$3*O$52)),IF(AND(Results!$C$4="Cells",Results!$C$5="Million"),((O46)/(O$3*O$50)),"-")))))</f>
        <v>0</v>
      </c>
      <c r="P97" s="18" t="str">
        <f>IF(P46=0,"0",IF(AND(Results!$C$5="Protein",P$51&gt;0,OR(Results!$C$4="Tissue",Results!$C$4="Cells")),((P46)/(P$3*P$51)),IF(AND(Results!$C$5="Weight",P$50&gt;0,Results!$C$4="Tissue"),((P46)/(P$3*P$50)),IF(AND(Results!$C$5="Volume",P$52&gt;0,Results!$C$4="Fluid"),((P46)/(P$3*P$52)),IF(AND(Results!$C$4="Cells",Results!$C$5="Million"),((P46)/(P$3*P$50)),"-")))))</f>
        <v>0</v>
      </c>
      <c r="Q97" s="18" t="str">
        <f>IF(Q46=0,"0",IF(AND(Results!$C$5="Protein",Q$51&gt;0,OR(Results!$C$4="Tissue",Results!$C$4="Cells")),((Q46)/(Q$3*Q$51)),IF(AND(Results!$C$5="Weight",Q$50&gt;0,Results!$C$4="Tissue"),((Q46)/(Q$3*Q$50)),IF(AND(Results!$C$5="Volume",Q$52&gt;0,Results!$C$4="Fluid"),((Q46)/(Q$3*Q$52)),IF(AND(Results!$C$4="Cells",Results!$C$5="Million"),((Q46)/(Q$3*Q$50)),"-")))))</f>
        <v>0</v>
      </c>
      <c r="R97" s="18" t="str">
        <f>IF(R46=0,"0",IF(AND(Results!$C$5="Protein",R$51&gt;0,OR(Results!$C$4="Tissue",Results!$C$4="Cells")),((R46)/(R$3*R$51)),IF(AND(Results!$C$5="Weight",R$50&gt;0,Results!$C$4="Tissue"),((R46)/(R$3*R$50)),IF(AND(Results!$C$5="Volume",R$52&gt;0,Results!$C$4="Fluid"),((R46)/(R$3*R$52)),IF(AND(Results!$C$4="Cells",Results!$C$5="Million"),((R46)/(R$3*R$50)),"-")))))</f>
        <v>0</v>
      </c>
      <c r="S97" s="18" t="str">
        <f>IF(S46=0,"0",IF(AND(Results!$C$5="Protein",S$51&gt;0,OR(Results!$C$4="Tissue",Results!$C$4="Cells")),((S46)/(S$3*S$51)),IF(AND(Results!$C$5="Weight",S$50&gt;0,Results!$C$4="Tissue"),((S46)/(S$3*S$50)),IF(AND(Results!$C$5="Volume",S$52&gt;0,Results!$C$4="Fluid"),((S46)/(S$3*S$52)),IF(AND(Results!$C$4="Cells",Results!$C$5="Million"),((S46)/(S$3*S$50)),"-")))))</f>
        <v>0</v>
      </c>
      <c r="T97" s="18" t="str">
        <f>IF(T46=0,"0",IF(AND(Results!$C$5="Protein",T$51&gt;0,OR(Results!$C$4="Tissue",Results!$C$4="Cells")),((T46)/(T$3*T$51)),IF(AND(Results!$C$5="Weight",T$50&gt;0,Results!$C$4="Tissue"),((T46)/(T$3*T$50)),IF(AND(Results!$C$5="Volume",T$52&gt;0,Results!$C$4="Fluid"),((T46)/(T$3*T$52)),IF(AND(Results!$C$4="Cells",Results!$C$5="Million"),((T46)/(T$3*T$50)),"-")))))</f>
        <v>0</v>
      </c>
      <c r="U97" s="18" t="str">
        <f>IF(U46=0,"0",IF(AND(Results!$C$5="Protein",U$51&gt;0,OR(Results!$C$4="Tissue",Results!$C$4="Cells")),((U46)/(U$3*U$51)),IF(AND(Results!$C$5="Weight",U$50&gt;0,Results!$C$4="Tissue"),((U46)/(U$3*U$50)),IF(AND(Results!$C$5="Volume",U$52&gt;0,Results!$C$4="Fluid"),((U46)/(U$3*U$52)),IF(AND(Results!$C$4="Cells",Results!$C$5="Million"),((U46)/(U$3*U$50)),"-")))))</f>
        <v>0</v>
      </c>
      <c r="V97" s="18" t="str">
        <f>IF(V46=0,"0",IF(AND(Results!$C$5="Protein",V$51&gt;0,OR(Results!$C$4="Tissue",Results!$C$4="Cells")),((V46)/(V$3*V$51)),IF(AND(Results!$C$5="Weight",V$50&gt;0,Results!$C$4="Tissue"),((V46)/(V$3*V$50)),IF(AND(Results!$C$5="Volume",V$52&gt;0,Results!$C$4="Fluid"),((V46)/(V$3*V$52)),IF(AND(Results!$C$4="Cells",Results!$C$5="Million"),((V46)/(V$3*V$50)),"-")))))</f>
        <v>0</v>
      </c>
    </row>
    <row r="98" spans="1:22" x14ac:dyDescent="0.25">
      <c r="A98" s="64" t="str">
        <f t="shared" si="0"/>
        <v>L_C22_5w3</v>
      </c>
      <c r="B98" s="64"/>
      <c r="C98" s="18">
        <f>IF(C47=0,"0",IF(AND(Results!$C$5="Protein",C$51&gt;0,OR(Results!$C$4="Tissue",Results!$C$4="Cells")),((C47)/(C$3*C$51)),IF(AND(Results!$C$5="Weight",C$50&gt;0,Results!$C$4="Tissue"),((C47)/(C$3*C$50)),IF(AND(Results!$C$5="Volume",C$52&gt;0,Results!$C$4="Fluid"),((C47)/(C$3*C$52)),IF(AND(Results!$C$4="Cells",Results!$C$5="Million"),((C47)/(C$3*C$50)),"-")))))</f>
        <v>1.0315016597589505E-2</v>
      </c>
      <c r="D98" s="18" t="str">
        <f>IF(D47=0,"0",IF(AND(Results!$C$5="Protein",D$51&gt;0,OR(Results!$C$4="Tissue",Results!$C$4="Cells")),((D47)/(D$3*D$51)),IF(AND(Results!$C$5="Weight",D$50&gt;0,Results!$C$4="Tissue"),((D47)/(D$3*D$50)),IF(AND(Results!$C$5="Volume",D$52&gt;0,Results!$C$4="Fluid"),((D47)/(D$3*D$52)),IF(AND(Results!$C$4="Cells",Results!$C$5="Million"),((D47)/(D$3*D$50)),"-")))))</f>
        <v>0</v>
      </c>
      <c r="E98" s="18">
        <f>IF(E47=0,"0",IF(AND(Results!$C$5="Protein",E$51&gt;0,OR(Results!$C$4="Tissue",Results!$C$4="Cells")),((E47)/(E$3*E$51)),IF(AND(Results!$C$5="Weight",E$50&gt;0,Results!$C$4="Tissue"),((E47)/(E$3*E$50)),IF(AND(Results!$C$5="Volume",E$52&gt;0,Results!$C$4="Fluid"),((E47)/(E$3*E$52)),IF(AND(Results!$C$4="Cells",Results!$C$5="Million"),((E47)/(E$3*E$50)),"-")))))</f>
        <v>1.4536950775413317E-2</v>
      </c>
      <c r="F98" s="18">
        <f>IF(F47=0,"0",IF(AND(Results!$C$5="Protein",F$51&gt;0,OR(Results!$C$4="Tissue",Results!$C$4="Cells")),((F47)/(F$3*F$51)),IF(AND(Results!$C$5="Weight",F$50&gt;0,Results!$C$4="Tissue"),((F47)/(F$3*F$50)),IF(AND(Results!$C$5="Volume",F$52&gt;0,Results!$C$4="Fluid"),((F47)/(F$3*F$52)),IF(AND(Results!$C$4="Cells",Results!$C$5="Million"),((F47)/(F$3*F$50)),"-")))))</f>
        <v>1.1971302026800331E-2</v>
      </c>
      <c r="G98" s="18">
        <f>IF(G47=0,"0",IF(AND(Results!$C$5="Protein",G$51&gt;0,OR(Results!$C$4="Tissue",Results!$C$4="Cells")),((G47)/(G$3*G$51)),IF(AND(Results!$C$5="Weight",G$50&gt;0,Results!$C$4="Tissue"),((G47)/(G$3*G$50)),IF(AND(Results!$C$5="Volume",G$52&gt;0,Results!$C$4="Fluid"),((G47)/(G$3*G$52)),IF(AND(Results!$C$4="Cells",Results!$C$5="Million"),((G47)/(G$3*G$50)),"-")))))</f>
        <v>1.46709939629928E-2</v>
      </c>
      <c r="H98" s="18">
        <f>IF(H47=0,"0",IF(AND(Results!$C$5="Protein",H$51&gt;0,OR(Results!$C$4="Tissue",Results!$C$4="Cells")),((H47)/(H$3*H$51)),IF(AND(Results!$C$5="Weight",H$50&gt;0,Results!$C$4="Tissue"),((H47)/(H$3*H$50)),IF(AND(Results!$C$5="Volume",H$52&gt;0,Results!$C$4="Fluid"),((H47)/(H$3*H$52)),IF(AND(Results!$C$4="Cells",Results!$C$5="Million"),((H47)/(H$3*H$50)),"-")))))</f>
        <v>1.635647295842179E-2</v>
      </c>
      <c r="I98" s="18">
        <f>IF(I47=0,"0",IF(AND(Results!$C$5="Protein",I$51&gt;0,OR(Results!$C$4="Tissue",Results!$C$4="Cells")),((I47)/(I$3*I$51)),IF(AND(Results!$C$5="Weight",I$50&gt;0,Results!$C$4="Tissue"),((I47)/(I$3*I$50)),IF(AND(Results!$C$5="Volume",I$52&gt;0,Results!$C$4="Fluid"),((I47)/(I$3*I$52)),IF(AND(Results!$C$4="Cells",Results!$C$5="Million"),((I47)/(I$3*I$50)),"-")))))</f>
        <v>6.5884701364729865E-3</v>
      </c>
      <c r="J98" s="18">
        <f>IF(J47=0,"0",IF(AND(Results!$C$5="Protein",J$51&gt;0,OR(Results!$C$4="Tissue",Results!$C$4="Cells")),((J47)/(J$3*J$51)),IF(AND(Results!$C$5="Weight",J$50&gt;0,Results!$C$4="Tissue"),((J47)/(J$3*J$50)),IF(AND(Results!$C$5="Volume",J$52&gt;0,Results!$C$4="Fluid"),((J47)/(J$3*J$52)),IF(AND(Results!$C$4="Cells",Results!$C$5="Million"),((J47)/(J$3*J$50)),"-")))))</f>
        <v>5.303975791941147E-3</v>
      </c>
      <c r="K98" s="18">
        <f>IF(K47=0,"0",IF(AND(Results!$C$5="Protein",K$51&gt;0,OR(Results!$C$4="Tissue",Results!$C$4="Cells")),((K47)/(K$3*K$51)),IF(AND(Results!$C$5="Weight",K$50&gt;0,Results!$C$4="Tissue"),((K47)/(K$3*K$50)),IF(AND(Results!$C$5="Volume",K$52&gt;0,Results!$C$4="Fluid"),((K47)/(K$3*K$52)),IF(AND(Results!$C$4="Cells",Results!$C$5="Million"),((K47)/(K$3*K$50)),"-")))))</f>
        <v>6.3828316422188851E-3</v>
      </c>
      <c r="L98" s="18">
        <f>IF(L47=0,"0",IF(AND(Results!$C$5="Protein",L$51&gt;0,OR(Results!$C$4="Tissue",Results!$C$4="Cells")),((L47)/(L$3*L$51)),IF(AND(Results!$C$5="Weight",L$50&gt;0,Results!$C$4="Tissue"),((L47)/(L$3*L$50)),IF(AND(Results!$C$5="Volume",L$52&gt;0,Results!$C$4="Fluid"),((L47)/(L$3*L$52)),IF(AND(Results!$C$4="Cells",Results!$C$5="Million"),((L47)/(L$3*L$50)),"-")))))</f>
        <v>6.0926071492098336E-3</v>
      </c>
      <c r="M98" s="18">
        <f>IF(M47=0,"0",IF(AND(Results!$C$5="Protein",M$51&gt;0,OR(Results!$C$4="Tissue",Results!$C$4="Cells")),((M47)/(M$3*M$51)),IF(AND(Results!$C$5="Weight",M$50&gt;0,Results!$C$4="Tissue"),((M47)/(M$3*M$50)),IF(AND(Results!$C$5="Volume",M$52&gt;0,Results!$C$4="Fluid"),((M47)/(M$3*M$52)),IF(AND(Results!$C$4="Cells",Results!$C$5="Million"),((M47)/(M$3*M$50)),"-")))))</f>
        <v>1.2784501427963533E-2</v>
      </c>
      <c r="N98" s="18">
        <f>IF(N47=0,"0",IF(AND(Results!$C$5="Protein",N$51&gt;0,OR(Results!$C$4="Tissue",Results!$C$4="Cells")),((N47)/(N$3*N$51)),IF(AND(Results!$C$5="Weight",N$50&gt;0,Results!$C$4="Tissue"),((N47)/(N$3*N$50)),IF(AND(Results!$C$5="Volume",N$52&gt;0,Results!$C$4="Fluid"),((N47)/(N$3*N$52)),IF(AND(Results!$C$4="Cells",Results!$C$5="Million"),((N47)/(N$3*N$50)),"-")))))</f>
        <v>8.9430884024503561E-3</v>
      </c>
      <c r="O98" s="18">
        <f>IF(O47=0,"0",IF(AND(Results!$C$5="Protein",O$51&gt;0,OR(Results!$C$4="Tissue",Results!$C$4="Cells")),((O47)/(O$3*O$51)),IF(AND(Results!$C$5="Weight",O$50&gt;0,Results!$C$4="Tissue"),((O47)/(O$3*O$50)),IF(AND(Results!$C$5="Volume",O$52&gt;0,Results!$C$4="Fluid"),((O47)/(O$3*O$52)),IF(AND(Results!$C$4="Cells",Results!$C$5="Million"),((O47)/(O$3*O$50)),"-")))))</f>
        <v>1.1589002979072836E-2</v>
      </c>
      <c r="P98" s="18">
        <f>IF(P47=0,"0",IF(AND(Results!$C$5="Protein",P$51&gt;0,OR(Results!$C$4="Tissue",Results!$C$4="Cells")),((P47)/(P$3*P$51)),IF(AND(Results!$C$5="Weight",P$50&gt;0,Results!$C$4="Tissue"),((P47)/(P$3*P$50)),IF(AND(Results!$C$5="Volume",P$52&gt;0,Results!$C$4="Fluid"),((P47)/(P$3*P$52)),IF(AND(Results!$C$4="Cells",Results!$C$5="Million"),((P47)/(P$3*P$50)),"-")))))</f>
        <v>2.3613626645210807E-2</v>
      </c>
      <c r="Q98" s="18">
        <f>IF(Q47=0,"0",IF(AND(Results!$C$5="Protein",Q$51&gt;0,OR(Results!$C$4="Tissue",Results!$C$4="Cells")),((Q47)/(Q$3*Q$51)),IF(AND(Results!$C$5="Weight",Q$50&gt;0,Results!$C$4="Tissue"),((Q47)/(Q$3*Q$50)),IF(AND(Results!$C$5="Volume",Q$52&gt;0,Results!$C$4="Fluid"),((Q47)/(Q$3*Q$52)),IF(AND(Results!$C$4="Cells",Results!$C$5="Million"),((Q47)/(Q$3*Q$50)),"-")))))</f>
        <v>1.3867119679471527E-2</v>
      </c>
      <c r="R98" s="18">
        <f>IF(R47=0,"0",IF(AND(Results!$C$5="Protein",R$51&gt;0,OR(Results!$C$4="Tissue",Results!$C$4="Cells")),((R47)/(R$3*R$51)),IF(AND(Results!$C$5="Weight",R$50&gt;0,Results!$C$4="Tissue"),((R47)/(R$3*R$50)),IF(AND(Results!$C$5="Volume",R$52&gt;0,Results!$C$4="Fluid"),((R47)/(R$3*R$52)),IF(AND(Results!$C$4="Cells",Results!$C$5="Million"),((R47)/(R$3*R$50)),"-")))))</f>
        <v>1.1614311251446933E-2</v>
      </c>
      <c r="S98" s="18">
        <f>IF(S47=0,"0",IF(AND(Results!$C$5="Protein",S$51&gt;0,OR(Results!$C$4="Tissue",Results!$C$4="Cells")),((S47)/(S$3*S$51)),IF(AND(Results!$C$5="Weight",S$50&gt;0,Results!$C$4="Tissue"),((S47)/(S$3*S$50)),IF(AND(Results!$C$5="Volume",S$52&gt;0,Results!$C$4="Fluid"),((S47)/(S$3*S$52)),IF(AND(Results!$C$4="Cells",Results!$C$5="Million"),((S47)/(S$3*S$50)),"-")))))</f>
        <v>1.4468858538907635E-2</v>
      </c>
      <c r="T98" s="18">
        <f>IF(T47=0,"0",IF(AND(Results!$C$5="Protein",T$51&gt;0,OR(Results!$C$4="Tissue",Results!$C$4="Cells")),((T47)/(T$3*T$51)),IF(AND(Results!$C$5="Weight",T$50&gt;0,Results!$C$4="Tissue"),((T47)/(T$3*T$50)),IF(AND(Results!$C$5="Volume",T$52&gt;0,Results!$C$4="Fluid"),((T47)/(T$3*T$52)),IF(AND(Results!$C$4="Cells",Results!$C$5="Million"),((T47)/(T$3*T$50)),"-")))))</f>
        <v>1.6337334116195933E-2</v>
      </c>
      <c r="U98" s="18">
        <f>IF(U47=0,"0",IF(AND(Results!$C$5="Protein",U$51&gt;0,OR(Results!$C$4="Tissue",Results!$C$4="Cells")),((U47)/(U$3*U$51)),IF(AND(Results!$C$5="Weight",U$50&gt;0,Results!$C$4="Tissue"),((U47)/(U$3*U$50)),IF(AND(Results!$C$5="Volume",U$52&gt;0,Results!$C$4="Fluid"),((U47)/(U$3*U$52)),IF(AND(Results!$C$4="Cells",Results!$C$5="Million"),((U47)/(U$3*U$50)),"-")))))</f>
        <v>2.1214756000009036E-2</v>
      </c>
      <c r="V98" s="18">
        <f>IF(V47=0,"0",IF(AND(Results!$C$5="Protein",V$51&gt;0,OR(Results!$C$4="Tissue",Results!$C$4="Cells")),((V47)/(V$3*V$51)),IF(AND(Results!$C$5="Weight",V$50&gt;0,Results!$C$4="Tissue"),((V47)/(V$3*V$50)),IF(AND(Results!$C$5="Volume",V$52&gt;0,Results!$C$4="Fluid"),((V47)/(V$3*V$52)),IF(AND(Results!$C$4="Cells",Results!$C$5="Million"),((V47)/(V$3*V$50)),"-")))))</f>
        <v>7.252928226895594E-3</v>
      </c>
    </row>
    <row r="99" spans="1:22" x14ac:dyDescent="0.25">
      <c r="A99" s="64" t="str">
        <f t="shared" si="0"/>
        <v>L_C22_6w3</v>
      </c>
      <c r="B99" s="64"/>
      <c r="C99" s="18" t="str">
        <f>IF(C48=0,"0",IF(AND(Results!$C$5="Protein",C$51&gt;0,OR(Results!$C$4="Tissue",Results!$C$4="Cells")),((C48)/(C$3*C$51)),IF(AND(Results!$C$5="Weight",C$50&gt;0,Results!$C$4="Tissue"),((C48)/(C$3*C$50)),IF(AND(Results!$C$5="Volume",C$52&gt;0,Results!$C$4="Fluid"),((C48)/(C$3*C$52)),IF(AND(Results!$C$4="Cells",Results!$C$5="Million"),((C48)/(C$3*C$50)),"-")))))</f>
        <v>0</v>
      </c>
      <c r="D99" s="18" t="str">
        <f>IF(D48=0,"0",IF(AND(Results!$C$5="Protein",D$51&gt;0,OR(Results!$C$4="Tissue",Results!$C$4="Cells")),((D48)/(D$3*D$51)),IF(AND(Results!$C$5="Weight",D$50&gt;0,Results!$C$4="Tissue"),((D48)/(D$3*D$50)),IF(AND(Results!$C$5="Volume",D$52&gt;0,Results!$C$4="Fluid"),((D48)/(D$3*D$52)),IF(AND(Results!$C$4="Cells",Results!$C$5="Million"),((D48)/(D$3*D$50)),"-")))))</f>
        <v>0</v>
      </c>
      <c r="E99" s="18" t="str">
        <f>IF(E48=0,"0",IF(AND(Results!$C$5="Protein",E$51&gt;0,OR(Results!$C$4="Tissue",Results!$C$4="Cells")),((E48)/(E$3*E$51)),IF(AND(Results!$C$5="Weight",E$50&gt;0,Results!$C$4="Tissue"),((E48)/(E$3*E$50)),IF(AND(Results!$C$5="Volume",E$52&gt;0,Results!$C$4="Fluid"),((E48)/(E$3*E$52)),IF(AND(Results!$C$4="Cells",Results!$C$5="Million"),((E48)/(E$3*E$50)),"-")))))</f>
        <v>0</v>
      </c>
      <c r="F99" s="18" t="str">
        <f>IF(F48=0,"0",IF(AND(Results!$C$5="Protein",F$51&gt;0,OR(Results!$C$4="Tissue",Results!$C$4="Cells")),((F48)/(F$3*F$51)),IF(AND(Results!$C$5="Weight",F$50&gt;0,Results!$C$4="Tissue"),((F48)/(F$3*F$50)),IF(AND(Results!$C$5="Volume",F$52&gt;0,Results!$C$4="Fluid"),((F48)/(F$3*F$52)),IF(AND(Results!$C$4="Cells",Results!$C$5="Million"),((F48)/(F$3*F$50)),"-")))))</f>
        <v>0</v>
      </c>
      <c r="G99" s="18" t="str">
        <f>IF(G48=0,"0",IF(AND(Results!$C$5="Protein",G$51&gt;0,OR(Results!$C$4="Tissue",Results!$C$4="Cells")),((G48)/(G$3*G$51)),IF(AND(Results!$C$5="Weight",G$50&gt;0,Results!$C$4="Tissue"),((G48)/(G$3*G$50)),IF(AND(Results!$C$5="Volume",G$52&gt;0,Results!$C$4="Fluid"),((G48)/(G$3*G$52)),IF(AND(Results!$C$4="Cells",Results!$C$5="Million"),((G48)/(G$3*G$50)),"-")))))</f>
        <v>0</v>
      </c>
      <c r="H99" s="18" t="str">
        <f>IF(H48=0,"0",IF(AND(Results!$C$5="Protein",H$51&gt;0,OR(Results!$C$4="Tissue",Results!$C$4="Cells")),((H48)/(H$3*H$51)),IF(AND(Results!$C$5="Weight",H$50&gt;0,Results!$C$4="Tissue"),((H48)/(H$3*H$50)),IF(AND(Results!$C$5="Volume",H$52&gt;0,Results!$C$4="Fluid"),((H48)/(H$3*H$52)),IF(AND(Results!$C$4="Cells",Results!$C$5="Million"),((H48)/(H$3*H$50)),"-")))))</f>
        <v>0</v>
      </c>
      <c r="I99" s="18" t="str">
        <f>IF(I48=0,"0",IF(AND(Results!$C$5="Protein",I$51&gt;0,OR(Results!$C$4="Tissue",Results!$C$4="Cells")),((I48)/(I$3*I$51)),IF(AND(Results!$C$5="Weight",I$50&gt;0,Results!$C$4="Tissue"),((I48)/(I$3*I$50)),IF(AND(Results!$C$5="Volume",I$52&gt;0,Results!$C$4="Fluid"),((I48)/(I$3*I$52)),IF(AND(Results!$C$4="Cells",Results!$C$5="Million"),((I48)/(I$3*I$50)),"-")))))</f>
        <v>0</v>
      </c>
      <c r="J99" s="18" t="str">
        <f>IF(J48=0,"0",IF(AND(Results!$C$5="Protein",J$51&gt;0,OR(Results!$C$4="Tissue",Results!$C$4="Cells")),((J48)/(J$3*J$51)),IF(AND(Results!$C$5="Weight",J$50&gt;0,Results!$C$4="Tissue"),((J48)/(J$3*J$50)),IF(AND(Results!$C$5="Volume",J$52&gt;0,Results!$C$4="Fluid"),((J48)/(J$3*J$52)),IF(AND(Results!$C$4="Cells",Results!$C$5="Million"),((J48)/(J$3*J$50)),"-")))))</f>
        <v>0</v>
      </c>
      <c r="K99" s="18" t="str">
        <f>IF(K48=0,"0",IF(AND(Results!$C$5="Protein",K$51&gt;0,OR(Results!$C$4="Tissue",Results!$C$4="Cells")),((K48)/(K$3*K$51)),IF(AND(Results!$C$5="Weight",K$50&gt;0,Results!$C$4="Tissue"),((K48)/(K$3*K$50)),IF(AND(Results!$C$5="Volume",K$52&gt;0,Results!$C$4="Fluid"),((K48)/(K$3*K$52)),IF(AND(Results!$C$4="Cells",Results!$C$5="Million"),((K48)/(K$3*K$50)),"-")))))</f>
        <v>0</v>
      </c>
      <c r="L99" s="18" t="str">
        <f>IF(L48=0,"0",IF(AND(Results!$C$5="Protein",L$51&gt;0,OR(Results!$C$4="Tissue",Results!$C$4="Cells")),((L48)/(L$3*L$51)),IF(AND(Results!$C$5="Weight",L$50&gt;0,Results!$C$4="Tissue"),((L48)/(L$3*L$50)),IF(AND(Results!$C$5="Volume",L$52&gt;0,Results!$C$4="Fluid"),((L48)/(L$3*L$52)),IF(AND(Results!$C$4="Cells",Results!$C$5="Million"),((L48)/(L$3*L$50)),"-")))))</f>
        <v>0</v>
      </c>
      <c r="M99" s="18" t="str">
        <f>IF(M48=0,"0",IF(AND(Results!$C$5="Protein",M$51&gt;0,OR(Results!$C$4="Tissue",Results!$C$4="Cells")),((M48)/(M$3*M$51)),IF(AND(Results!$C$5="Weight",M$50&gt;0,Results!$C$4="Tissue"),((M48)/(M$3*M$50)),IF(AND(Results!$C$5="Volume",M$52&gt;0,Results!$C$4="Fluid"),((M48)/(M$3*M$52)),IF(AND(Results!$C$4="Cells",Results!$C$5="Million"),((M48)/(M$3*M$50)),"-")))))</f>
        <v>0</v>
      </c>
      <c r="N99" s="18" t="str">
        <f>IF(N48=0,"0",IF(AND(Results!$C$5="Protein",N$51&gt;0,OR(Results!$C$4="Tissue",Results!$C$4="Cells")),((N48)/(N$3*N$51)),IF(AND(Results!$C$5="Weight",N$50&gt;0,Results!$C$4="Tissue"),((N48)/(N$3*N$50)),IF(AND(Results!$C$5="Volume",N$52&gt;0,Results!$C$4="Fluid"),((N48)/(N$3*N$52)),IF(AND(Results!$C$4="Cells",Results!$C$5="Million"),((N48)/(N$3*N$50)),"-")))))</f>
        <v>0</v>
      </c>
      <c r="O99" s="18" t="str">
        <f>IF(O48=0,"0",IF(AND(Results!$C$5="Protein",O$51&gt;0,OR(Results!$C$4="Tissue",Results!$C$4="Cells")),((O48)/(O$3*O$51)),IF(AND(Results!$C$5="Weight",O$50&gt;0,Results!$C$4="Tissue"),((O48)/(O$3*O$50)),IF(AND(Results!$C$5="Volume",O$52&gt;0,Results!$C$4="Fluid"),((O48)/(O$3*O$52)),IF(AND(Results!$C$4="Cells",Results!$C$5="Million"),((O48)/(O$3*O$50)),"-")))))</f>
        <v>0</v>
      </c>
      <c r="P99" s="18" t="str">
        <f>IF(P48=0,"0",IF(AND(Results!$C$5="Protein",P$51&gt;0,OR(Results!$C$4="Tissue",Results!$C$4="Cells")),((P48)/(P$3*P$51)),IF(AND(Results!$C$5="Weight",P$50&gt;0,Results!$C$4="Tissue"),((P48)/(P$3*P$50)),IF(AND(Results!$C$5="Volume",P$52&gt;0,Results!$C$4="Fluid"),((P48)/(P$3*P$52)),IF(AND(Results!$C$4="Cells",Results!$C$5="Million"),((P48)/(P$3*P$50)),"-")))))</f>
        <v>0</v>
      </c>
      <c r="Q99" s="18" t="str">
        <f>IF(Q48=0,"0",IF(AND(Results!$C$5="Protein",Q$51&gt;0,OR(Results!$C$4="Tissue",Results!$C$4="Cells")),((Q48)/(Q$3*Q$51)),IF(AND(Results!$C$5="Weight",Q$50&gt;0,Results!$C$4="Tissue"),((Q48)/(Q$3*Q$50)),IF(AND(Results!$C$5="Volume",Q$52&gt;0,Results!$C$4="Fluid"),((Q48)/(Q$3*Q$52)),IF(AND(Results!$C$4="Cells",Results!$C$5="Million"),((Q48)/(Q$3*Q$50)),"-")))))</f>
        <v>0</v>
      </c>
      <c r="R99" s="18" t="str">
        <f>IF(R48=0,"0",IF(AND(Results!$C$5="Protein",R$51&gt;0,OR(Results!$C$4="Tissue",Results!$C$4="Cells")),((R48)/(R$3*R$51)),IF(AND(Results!$C$5="Weight",R$50&gt;0,Results!$C$4="Tissue"),((R48)/(R$3*R$50)),IF(AND(Results!$C$5="Volume",R$52&gt;0,Results!$C$4="Fluid"),((R48)/(R$3*R$52)),IF(AND(Results!$C$4="Cells",Results!$C$5="Million"),((R48)/(R$3*R$50)),"-")))))</f>
        <v>0</v>
      </c>
      <c r="S99" s="18" t="str">
        <f>IF(S48=0,"0",IF(AND(Results!$C$5="Protein",S$51&gt;0,OR(Results!$C$4="Tissue",Results!$C$4="Cells")),((S48)/(S$3*S$51)),IF(AND(Results!$C$5="Weight",S$50&gt;0,Results!$C$4="Tissue"),((S48)/(S$3*S$50)),IF(AND(Results!$C$5="Volume",S$52&gt;0,Results!$C$4="Fluid"),((S48)/(S$3*S$52)),IF(AND(Results!$C$4="Cells",Results!$C$5="Million"),((S48)/(S$3*S$50)),"-")))))</f>
        <v>0</v>
      </c>
      <c r="T99" s="18" t="str">
        <f>IF(T48=0,"0",IF(AND(Results!$C$5="Protein",T$51&gt;0,OR(Results!$C$4="Tissue",Results!$C$4="Cells")),((T48)/(T$3*T$51)),IF(AND(Results!$C$5="Weight",T$50&gt;0,Results!$C$4="Tissue"),((T48)/(T$3*T$50)),IF(AND(Results!$C$5="Volume",T$52&gt;0,Results!$C$4="Fluid"),((T48)/(T$3*T$52)),IF(AND(Results!$C$4="Cells",Results!$C$5="Million"),((T48)/(T$3*T$50)),"-")))))</f>
        <v>0</v>
      </c>
      <c r="U99" s="18" t="str">
        <f>IF(U48=0,"0",IF(AND(Results!$C$5="Protein",U$51&gt;0,OR(Results!$C$4="Tissue",Results!$C$4="Cells")),((U48)/(U$3*U$51)),IF(AND(Results!$C$5="Weight",U$50&gt;0,Results!$C$4="Tissue"),((U48)/(U$3*U$50)),IF(AND(Results!$C$5="Volume",U$52&gt;0,Results!$C$4="Fluid"),((U48)/(U$3*U$52)),IF(AND(Results!$C$4="Cells",Results!$C$5="Million"),((U48)/(U$3*U$50)),"-")))))</f>
        <v>0</v>
      </c>
      <c r="V99" s="18" t="str">
        <f>IF(V48=0,"0",IF(AND(Results!$C$5="Protein",V$51&gt;0,OR(Results!$C$4="Tissue",Results!$C$4="Cells")),((V48)/(V$3*V$51)),IF(AND(Results!$C$5="Weight",V$50&gt;0,Results!$C$4="Tissue"),((V48)/(V$3*V$50)),IF(AND(Results!$C$5="Volume",V$52&gt;0,Results!$C$4="Fluid"),((V48)/(V$3*V$52)),IF(AND(Results!$C$4="Cells",Results!$C$5="Million"),((V48)/(V$3*V$50)),"-")))))</f>
        <v>0</v>
      </c>
    </row>
  </sheetData>
  <sheetProtection algorithmName="SHA-512" hashValue="KTfYWVBdLFbe4YIpG7A3BI2aK9FQCe8h9pnY++5egppxI5i5gVJO+IyDl5mXDT9ojp5WpSaMb2UsWPXjOZvuyg==" saltValue="YiKLkxGjESx8A2+GFcVEjA==" spinCount="100000" sheet="1" objects="1" scenarios="1"/>
  <sortState ref="A3:K30">
    <sortCondition ref="A3"/>
  </sortState>
  <mergeCells count="48">
    <mergeCell ref="A1:B1"/>
    <mergeCell ref="A2:B2"/>
    <mergeCell ref="A57:B57"/>
    <mergeCell ref="A54:B54"/>
    <mergeCell ref="A55:B55"/>
    <mergeCell ref="A56:B56"/>
    <mergeCell ref="A69:B69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1:B81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8:B88"/>
    <mergeCell ref="A89:B89"/>
    <mergeCell ref="A82:B82"/>
    <mergeCell ref="A83:B83"/>
    <mergeCell ref="A84:B84"/>
    <mergeCell ref="A85:B85"/>
    <mergeCell ref="A86:B86"/>
    <mergeCell ref="A87:B87"/>
    <mergeCell ref="A90:B90"/>
    <mergeCell ref="A91:B91"/>
    <mergeCell ref="A92:B92"/>
    <mergeCell ref="A93:B93"/>
    <mergeCell ref="A94:B94"/>
    <mergeCell ref="A98:B98"/>
    <mergeCell ref="A99:B99"/>
    <mergeCell ref="A95:B95"/>
    <mergeCell ref="A96:B96"/>
    <mergeCell ref="A97:B97"/>
  </mergeCells>
  <dataValidations count="3">
    <dataValidation type="list" allowBlank="1" showInputMessage="1" showErrorMessage="1" sqref="B52">
      <formula1>"ml,µl"</formula1>
    </dataValidation>
    <dataValidation type="list" allowBlank="1" showInputMessage="1" showErrorMessage="1" sqref="B51">
      <formula1>"mg, µg"</formula1>
    </dataValidation>
    <dataValidation type="list" allowBlank="1" showInputMessage="1" showErrorMessage="1" sqref="B50">
      <formula1>"g, mg, million"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zoomScale="85" zoomScaleNormal="85" workbookViewId="0">
      <selection activeCell="B19" sqref="B19"/>
    </sheetView>
  </sheetViews>
  <sheetFormatPr baseColWidth="10" defaultColWidth="11.42578125" defaultRowHeight="17.25" customHeight="1" x14ac:dyDescent="0.25"/>
  <cols>
    <col min="1" max="1" width="15.7109375" bestFit="1" customWidth="1"/>
    <col min="2" max="2" width="11.28515625" customWidth="1"/>
    <col min="3" max="3" width="36.7109375" bestFit="1" customWidth="1"/>
    <col min="4" max="4" width="189.140625" bestFit="1" customWidth="1"/>
  </cols>
  <sheetData>
    <row r="1" spans="1:4" ht="17.25" customHeight="1" x14ac:dyDescent="0.25">
      <c r="B1" s="26" t="s">
        <v>73</v>
      </c>
      <c r="C1" s="27" t="s">
        <v>74</v>
      </c>
      <c r="D1" s="32" t="s">
        <v>75</v>
      </c>
    </row>
    <row r="2" spans="1:4" ht="17.25" customHeight="1" x14ac:dyDescent="0.25">
      <c r="A2" t="s">
        <v>4</v>
      </c>
      <c r="B2" s="21">
        <v>28837</v>
      </c>
      <c r="C2" s="29" t="s">
        <v>76</v>
      </c>
      <c r="D2" s="34" t="s">
        <v>77</v>
      </c>
    </row>
    <row r="3" spans="1:4" ht="17.25" customHeight="1" x14ac:dyDescent="0.25">
      <c r="A3" t="s">
        <v>5</v>
      </c>
      <c r="B3" s="21">
        <v>30813</v>
      </c>
      <c r="C3" s="29" t="s">
        <v>78</v>
      </c>
      <c r="D3" s="34" t="s">
        <v>79</v>
      </c>
    </row>
    <row r="4" spans="1:4" ht="17.25" customHeight="1" x14ac:dyDescent="0.25">
      <c r="A4" t="s">
        <v>6</v>
      </c>
      <c r="B4" s="21">
        <v>32368</v>
      </c>
      <c r="C4" s="29" t="s">
        <v>80</v>
      </c>
      <c r="D4" s="34" t="s">
        <v>81</v>
      </c>
    </row>
    <row r="5" spans="1:4" ht="17.25" customHeight="1" x14ac:dyDescent="0.25">
      <c r="A5" t="s">
        <v>7</v>
      </c>
      <c r="B5" s="21">
        <v>30805</v>
      </c>
      <c r="C5" s="29" t="s">
        <v>82</v>
      </c>
      <c r="D5" s="34" t="s">
        <v>83</v>
      </c>
    </row>
    <row r="6" spans="1:4" ht="17.25" customHeight="1" x14ac:dyDescent="0.25">
      <c r="A6" t="s">
        <v>8</v>
      </c>
      <c r="B6" s="21">
        <v>45919</v>
      </c>
      <c r="C6" s="29" t="s">
        <v>84</v>
      </c>
      <c r="D6" s="34" t="s">
        <v>85</v>
      </c>
    </row>
    <row r="7" spans="1:4" ht="17.25" customHeight="1" x14ac:dyDescent="0.25">
      <c r="A7" t="s">
        <v>9</v>
      </c>
      <c r="B7" s="21">
        <v>28875</v>
      </c>
      <c r="C7" s="29" t="s">
        <v>86</v>
      </c>
      <c r="D7" s="34" t="s">
        <v>87</v>
      </c>
    </row>
    <row r="8" spans="1:4" ht="17.25" customHeight="1" x14ac:dyDescent="0.25">
      <c r="A8" t="s">
        <v>10</v>
      </c>
      <c r="B8" s="21">
        <v>42504</v>
      </c>
      <c r="C8" s="29" t="s">
        <v>88</v>
      </c>
      <c r="D8" s="34" t="s">
        <v>89</v>
      </c>
    </row>
    <row r="9" spans="1:4" ht="17.25" customHeight="1" x14ac:dyDescent="0.25">
      <c r="A9" t="s">
        <v>11</v>
      </c>
      <c r="B9" s="21">
        <v>15756</v>
      </c>
      <c r="C9" s="29" t="s">
        <v>90</v>
      </c>
      <c r="D9" s="34" t="s">
        <v>91</v>
      </c>
    </row>
    <row r="10" spans="1:4" ht="17.25" customHeight="1" x14ac:dyDescent="0.25">
      <c r="A10" t="s">
        <v>12</v>
      </c>
      <c r="B10" s="21">
        <v>32365</v>
      </c>
      <c r="C10" s="30" t="s">
        <v>92</v>
      </c>
      <c r="D10" s="35" t="s">
        <v>93</v>
      </c>
    </row>
    <row r="11" spans="1:4" ht="17.25" customHeight="1" x14ac:dyDescent="0.25">
      <c r="A11" t="s">
        <v>13</v>
      </c>
      <c r="B11" s="21">
        <v>28842</v>
      </c>
      <c r="C11" s="30" t="s">
        <v>94</v>
      </c>
      <c r="D11" s="35" t="s">
        <v>95</v>
      </c>
    </row>
    <row r="12" spans="1:4" ht="17.25" customHeight="1" x14ac:dyDescent="0.25">
      <c r="A12" t="s">
        <v>66</v>
      </c>
      <c r="B12" s="21">
        <v>39246</v>
      </c>
      <c r="C12" s="30" t="s">
        <v>96</v>
      </c>
      <c r="D12" s="35" t="s">
        <v>97</v>
      </c>
    </row>
    <row r="13" spans="1:4" ht="17.25" customHeight="1" x14ac:dyDescent="0.25">
      <c r="A13" t="s">
        <v>14</v>
      </c>
      <c r="B13" s="22">
        <v>28822</v>
      </c>
      <c r="C13" s="28" t="s">
        <v>98</v>
      </c>
      <c r="D13" s="33" t="s">
        <v>99</v>
      </c>
    </row>
    <row r="14" spans="1:4" ht="17.25" customHeight="1" x14ac:dyDescent="0.25">
      <c r="A14" t="s">
        <v>15</v>
      </c>
      <c r="B14" s="20">
        <v>39248</v>
      </c>
      <c r="C14" s="28" t="s">
        <v>100</v>
      </c>
      <c r="D14" s="33" t="s">
        <v>101</v>
      </c>
    </row>
    <row r="15" spans="1:4" ht="17.25" customHeight="1" x14ac:dyDescent="0.25">
      <c r="A15" t="s">
        <v>16</v>
      </c>
      <c r="B15" s="22">
        <v>28941</v>
      </c>
      <c r="C15" s="28" t="s">
        <v>102</v>
      </c>
      <c r="D15" s="33" t="s">
        <v>103</v>
      </c>
    </row>
    <row r="16" spans="1:4" ht="17.25" customHeight="1" x14ac:dyDescent="0.25">
      <c r="A16" t="s">
        <v>17</v>
      </c>
      <c r="B16" s="23">
        <v>42394</v>
      </c>
      <c r="C16" s="28" t="s">
        <v>104</v>
      </c>
      <c r="D16" s="33" t="s">
        <v>105</v>
      </c>
    </row>
    <row r="17" spans="1:4" ht="17.25" customHeight="1" x14ac:dyDescent="0.25">
      <c r="A17" t="s">
        <v>18</v>
      </c>
      <c r="B17" s="21">
        <v>28866</v>
      </c>
      <c r="C17" s="30" t="s">
        <v>106</v>
      </c>
      <c r="D17" s="35" t="s">
        <v>107</v>
      </c>
    </row>
    <row r="18" spans="1:4" ht="17.25" customHeight="1" x14ac:dyDescent="0.25">
      <c r="A18" t="s">
        <v>20</v>
      </c>
      <c r="B18" s="24">
        <v>53206</v>
      </c>
      <c r="C18" s="28" t="s">
        <v>108</v>
      </c>
      <c r="D18" s="33" t="s">
        <v>109</v>
      </c>
    </row>
    <row r="19" spans="1:4" ht="17.25" customHeight="1" x14ac:dyDescent="0.25">
      <c r="A19" t="s">
        <v>21</v>
      </c>
      <c r="B19" s="24">
        <v>78634</v>
      </c>
      <c r="C19" s="31"/>
      <c r="D19" s="36"/>
    </row>
    <row r="20" spans="1:4" ht="17.25" customHeight="1" x14ac:dyDescent="0.25">
      <c r="A20" t="s">
        <v>22</v>
      </c>
      <c r="B20" s="24">
        <v>83030</v>
      </c>
      <c r="C20" s="31" t="s">
        <v>110</v>
      </c>
      <c r="D20" s="36" t="s">
        <v>111</v>
      </c>
    </row>
    <row r="21" spans="1:4" ht="17.25" customHeight="1" x14ac:dyDescent="0.25">
      <c r="A21" t="s">
        <v>23</v>
      </c>
      <c r="B21" s="24">
        <v>28716</v>
      </c>
      <c r="C21" s="31" t="s">
        <v>112</v>
      </c>
      <c r="D21" s="36" t="s">
        <v>113</v>
      </c>
    </row>
    <row r="22" spans="1:4" ht="17.25" customHeight="1" x14ac:dyDescent="0.25">
      <c r="A22" t="s">
        <v>24</v>
      </c>
      <c r="B22" s="24">
        <v>140946</v>
      </c>
      <c r="C22" s="31"/>
      <c r="D22" s="36"/>
    </row>
    <row r="23" spans="1:4" ht="17.25" customHeight="1" x14ac:dyDescent="0.25">
      <c r="A23" t="s">
        <v>25</v>
      </c>
      <c r="B23" s="24">
        <v>36021</v>
      </c>
      <c r="C23" s="31" t="s">
        <v>114</v>
      </c>
      <c r="D23" s="36" t="s">
        <v>115</v>
      </c>
    </row>
    <row r="24" spans="1:4" ht="17.25" customHeight="1" x14ac:dyDescent="0.25">
      <c r="A24" t="s">
        <v>26</v>
      </c>
      <c r="B24" s="24">
        <v>27997</v>
      </c>
      <c r="C24" s="31" t="s">
        <v>116</v>
      </c>
      <c r="D24" s="36" t="s">
        <v>117</v>
      </c>
    </row>
    <row r="25" spans="1:4" ht="17.25" customHeight="1" x14ac:dyDescent="0.25">
      <c r="A25" t="s">
        <v>27</v>
      </c>
      <c r="B25" s="24">
        <v>28727</v>
      </c>
      <c r="C25" s="31" t="s">
        <v>118</v>
      </c>
      <c r="D25" s="36" t="s">
        <v>119</v>
      </c>
    </row>
    <row r="26" spans="1:4" ht="17.25" customHeight="1" x14ac:dyDescent="0.25">
      <c r="A26" t="s">
        <v>28</v>
      </c>
      <c r="B26" s="24">
        <v>32425</v>
      </c>
      <c r="C26" s="31" t="s">
        <v>120</v>
      </c>
      <c r="D26" s="36" t="s">
        <v>121</v>
      </c>
    </row>
    <row r="27" spans="1:4" ht="17.25" customHeight="1" x14ac:dyDescent="0.25">
      <c r="A27" t="s">
        <v>29</v>
      </c>
      <c r="B27" s="24">
        <v>28792</v>
      </c>
      <c r="C27" s="31" t="s">
        <v>122</v>
      </c>
      <c r="D27" s="36" t="s">
        <v>123</v>
      </c>
    </row>
    <row r="28" spans="1:4" ht="17.25" customHeight="1" x14ac:dyDescent="0.25">
      <c r="A28" t="s">
        <v>30</v>
      </c>
      <c r="B28" s="24">
        <v>140963</v>
      </c>
      <c r="C28" s="31"/>
      <c r="D28" s="36"/>
    </row>
    <row r="29" spans="1:4" ht="17.25" customHeight="1" x14ac:dyDescent="0.25">
      <c r="A29" t="s">
        <v>32</v>
      </c>
      <c r="B29" s="24">
        <v>132494</v>
      </c>
      <c r="C29" s="31"/>
      <c r="D29" s="36"/>
    </row>
    <row r="30" spans="1:4" ht="17.25" customHeight="1" x14ac:dyDescent="0.25">
      <c r="A30" t="s">
        <v>33</v>
      </c>
      <c r="B30" s="24">
        <v>132494</v>
      </c>
      <c r="C30" s="31"/>
      <c r="D30" s="36"/>
    </row>
    <row r="31" spans="1:4" ht="17.25" customHeight="1" x14ac:dyDescent="0.25">
      <c r="A31" t="s">
        <v>34</v>
      </c>
      <c r="B31" s="24">
        <v>132499</v>
      </c>
      <c r="C31" s="29"/>
      <c r="D31" s="36"/>
    </row>
    <row r="32" spans="1:4" ht="17.25" customHeight="1" x14ac:dyDescent="0.25">
      <c r="A32" t="s">
        <v>35</v>
      </c>
      <c r="B32" s="24">
        <v>180361</v>
      </c>
      <c r="C32" s="29" t="s">
        <v>124</v>
      </c>
      <c r="D32" s="36" t="s">
        <v>125</v>
      </c>
    </row>
    <row r="33" spans="1:4" ht="17.25" customHeight="1" x14ac:dyDescent="0.25">
      <c r="A33" t="s">
        <v>36</v>
      </c>
      <c r="B33" s="24">
        <v>17351</v>
      </c>
      <c r="C33" s="29" t="s">
        <v>126</v>
      </c>
      <c r="D33" s="36" t="s">
        <v>127</v>
      </c>
    </row>
    <row r="34" spans="1:4" ht="17.25" customHeight="1" x14ac:dyDescent="0.25">
      <c r="A34" t="s">
        <v>37</v>
      </c>
      <c r="B34" s="24">
        <v>44526</v>
      </c>
      <c r="C34" s="29" t="s">
        <v>128</v>
      </c>
      <c r="D34" s="36" t="s">
        <v>129</v>
      </c>
    </row>
    <row r="35" spans="1:4" ht="17.25" customHeight="1" x14ac:dyDescent="0.25">
      <c r="A35" t="s">
        <v>38</v>
      </c>
      <c r="B35" s="24">
        <v>28661</v>
      </c>
      <c r="C35" s="29" t="s">
        <v>130</v>
      </c>
      <c r="D35" s="36" t="s">
        <v>131</v>
      </c>
    </row>
    <row r="36" spans="1:4" ht="17.25" customHeight="1" x14ac:dyDescent="0.25">
      <c r="A36" t="s">
        <v>39</v>
      </c>
      <c r="B36" s="24">
        <v>27432</v>
      </c>
      <c r="C36" s="29" t="s">
        <v>132</v>
      </c>
      <c r="D36" s="36" t="s">
        <v>133</v>
      </c>
    </row>
    <row r="37" spans="1:4" ht="17.25" customHeight="1" x14ac:dyDescent="0.25">
      <c r="A37" t="s">
        <v>40</v>
      </c>
      <c r="B37" s="25">
        <v>32389</v>
      </c>
      <c r="C37" s="29" t="s">
        <v>134</v>
      </c>
      <c r="D37" s="36" t="s">
        <v>135</v>
      </c>
    </row>
    <row r="38" spans="1:4" ht="17.25" customHeight="1" x14ac:dyDescent="0.25">
      <c r="A38" t="s">
        <v>41</v>
      </c>
      <c r="B38" s="25">
        <v>93415</v>
      </c>
      <c r="C38" s="29" t="s">
        <v>136</v>
      </c>
      <c r="D38" s="36" t="s">
        <v>137</v>
      </c>
    </row>
    <row r="39" spans="1:4" ht="17.25" customHeight="1" x14ac:dyDescent="0.25">
      <c r="A39" t="s">
        <v>42</v>
      </c>
      <c r="B39" s="25">
        <v>53460</v>
      </c>
      <c r="C39" s="29" t="s">
        <v>138</v>
      </c>
      <c r="D39" s="36" t="s">
        <v>139</v>
      </c>
    </row>
    <row r="40" spans="1:4" ht="17.25" customHeight="1" x14ac:dyDescent="0.25">
      <c r="A40" t="s">
        <v>43</v>
      </c>
      <c r="B40" s="25">
        <v>15843</v>
      </c>
      <c r="C40" s="29" t="s">
        <v>140</v>
      </c>
      <c r="D40" s="34" t="s">
        <v>141</v>
      </c>
    </row>
    <row r="41" spans="1:4" ht="17.25" customHeight="1" x14ac:dyDescent="0.25">
      <c r="A41" t="s">
        <v>44</v>
      </c>
      <c r="B41" s="25">
        <v>15843</v>
      </c>
      <c r="C41" s="29" t="s">
        <v>140</v>
      </c>
      <c r="D41" s="34" t="s">
        <v>141</v>
      </c>
    </row>
    <row r="42" spans="1:4" ht="17.25" customHeight="1" x14ac:dyDescent="0.25">
      <c r="A42" t="s">
        <v>45</v>
      </c>
      <c r="B42" s="25">
        <v>28364</v>
      </c>
      <c r="C42" s="29" t="s">
        <v>142</v>
      </c>
      <c r="D42" s="34" t="s">
        <v>143</v>
      </c>
    </row>
    <row r="43" spans="1:4" ht="17.25" customHeight="1" x14ac:dyDescent="0.25">
      <c r="A43" t="s">
        <v>46</v>
      </c>
      <c r="B43" s="25">
        <v>75117</v>
      </c>
      <c r="C43" s="29" t="s">
        <v>144</v>
      </c>
      <c r="D43" s="34" t="s">
        <v>145</v>
      </c>
    </row>
    <row r="44" spans="1:4" ht="17.25" customHeight="1" x14ac:dyDescent="0.25">
      <c r="A44" t="s">
        <v>47</v>
      </c>
      <c r="B44" s="25">
        <v>77807</v>
      </c>
      <c r="C44" s="29" t="s">
        <v>146</v>
      </c>
      <c r="D44" s="34" t="s">
        <v>147</v>
      </c>
    </row>
    <row r="45" spans="1:4" ht="17.25" customHeight="1" x14ac:dyDescent="0.25">
      <c r="A45" t="s">
        <v>48</v>
      </c>
      <c r="B45" s="25">
        <v>53487</v>
      </c>
      <c r="C45" s="29" t="s">
        <v>148</v>
      </c>
      <c r="D45" s="34" t="s">
        <v>149</v>
      </c>
    </row>
    <row r="46" spans="1:4" ht="17.25" customHeight="1" x14ac:dyDescent="0.25">
      <c r="A46" t="s">
        <v>49</v>
      </c>
      <c r="B46" s="25">
        <v>53488</v>
      </c>
      <c r="C46" s="29" t="s">
        <v>150</v>
      </c>
      <c r="D46" s="34" t="s">
        <v>151</v>
      </c>
    </row>
    <row r="47" spans="1:4" ht="17.25" customHeight="1" x14ac:dyDescent="0.25">
      <c r="A47" t="s">
        <v>50</v>
      </c>
      <c r="B47" s="25">
        <v>28125</v>
      </c>
      <c r="C47" s="29" t="s">
        <v>152</v>
      </c>
      <c r="D47" s="34" t="s">
        <v>153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4ff881ca51d1354232c90b46a429ded2">
  <xsd:schema xmlns:xsd="http://www.w3.org/2001/XMLSchema" xmlns:xs="http://www.w3.org/2001/XMLSchema" xmlns:p="http://schemas.microsoft.com/office/2006/metadata/properties" xmlns:ns2="7b6a087e-a11d-4f06-8ae6-022eca126b7e" xmlns:ns3="e68a6edb-406f-4ece-ad46-1736b5fcf761" targetNamespace="http://schemas.microsoft.com/office/2006/metadata/properties" ma:root="true" ma:fieldsID="1c837692f4a1a746ea9b902cdb0fe603" ns2:_="" ns3:_="">
    <xsd:import namespace="7b6a087e-a11d-4f06-8ae6-022eca126b7e"/>
    <xsd:import namespace="e68a6edb-406f-4ece-ad46-1736b5fcf761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a6edb-406f-4ece-ad46-1736b5fcf76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Props1.xml><?xml version="1.0" encoding="utf-8"?>
<ds:datastoreItem xmlns:ds="http://schemas.openxmlformats.org/officeDocument/2006/customXml" ds:itemID="{E5374A5C-C51F-48D9-BC25-970706E07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326ED7-7937-4944-9E51-7C2A96D0EB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a087e-a11d-4f06-8ae6-022eca126b7e"/>
    <ds:schemaRef ds:uri="e68a6edb-406f-4ece-ad46-1736b5fcf7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E54A1F-08C2-4B56-A55E-5F939015EF5B}">
  <ds:schemaRefs>
    <ds:schemaRef ds:uri="http://schemas.microsoft.com/office/2006/metadata/properties"/>
    <ds:schemaRef ds:uri="http://schemas.microsoft.com/office/infopath/2007/PartnerControls"/>
    <ds:schemaRef ds:uri="7b6a087e-a11d-4f06-8ae6-022eca126b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Results</vt:lpstr>
      <vt:lpstr>Raw Datas</vt:lpstr>
      <vt:lpstr>Identifiants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Anne.Tailleux</dc:creator>
  <cp:keywords/>
  <dc:description/>
  <cp:lastModifiedBy>Anaelle Durbec</cp:lastModifiedBy>
  <cp:revision/>
  <dcterms:created xsi:type="dcterms:W3CDTF">2020-12-06T14:02:17Z</dcterms:created>
  <dcterms:modified xsi:type="dcterms:W3CDTF">2025-08-05T14:36:50Z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